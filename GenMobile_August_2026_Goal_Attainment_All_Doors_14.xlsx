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Attainment'!$A$4:$AF$999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<sst xmlns="http://schemas.openxmlformats.org/spreadsheetml/2006/main" count="11180" uniqueCount="7878">
  <si>
    <t xml:space="preserve">GEN MOBILE - AUGUST 2026 GOAL ATTAINMENT BY DOOR</t>
  </si>
  <si>
    <t xml:space="preserve">All 995 approved ERL doors. Activation goal applies only to doors whose 3-month average (col R) meets the minimum. Phone goal applies to all doors that purchased phones in July, regardless of that minimum.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</si>
  <si>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</si>
  <si>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</si>
  <si>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</si>
  <si>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</si>
  <si>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</si>
  <si>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total:</t>
  </si>
  <si>
    <t xml:space="preserve">Total incl. reference: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</si>
  <si>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</si>
  <si>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</si>
  <si>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</si>
  <si>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</si>
  <si>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</si>
  <si>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</si>
  <si>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</si>
  <si>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</si>
  <si>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</si>
  <si>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</si>
  <si>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</si>
  <si>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</si>
  <si>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</si>
  <si>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</si>
  <si>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</si>
  <si>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</si>
  <si>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</si>
  <si>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</si>
  <si>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</si>
  <si>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</si>
  <si>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</si>
  <si>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</si>
  <si>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</si>
  <si>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</si>
  <si>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</si>
  <si>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</si>
  <si>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</si>
  <si>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</si>
  <si>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 Goal</t>
  </si>
  <si>
    <t xml:space="preserve">Aug 2026 Phones Actual</t>
  </si>
  <si>
    <t xml:space="preserve">Phone Gap to Goal</t>
  </si>
  <si>
    <t xml:space="preserve">Phone % to Attainment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</si>
  <si>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</si>
  <si>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</si>
  <si>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</si>
  <si>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</si>
  <si>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</si>
  <si>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</si>
  <si>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</si>
  <si>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</si>
  <si>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</si>
  <si>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</si>
  <si>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</si>
  <si>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</si>
  <si>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</si>
  <si>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</si>
  <si>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</si>
  <si>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</si>
  <si>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</si>
  <si>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</si>
  <si>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</si>
  <si>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</si>
  <si>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</si>
  <si>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</si>
  <si>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</si>
  <si>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</si>
  <si>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</si>
  <si>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</si>
  <si>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</si>
  <si>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</si>
  <si>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</si>
  <si>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</si>
  <si>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</si>
  <si>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</si>
  <si>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</si>
  <si>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</si>
  <si>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</si>
  <si>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</si>
  <si>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</si>
  <si>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</si>
  <si>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</si>
  <si>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</si>
  <si>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</si>
  <si>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</si>
  <si>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</si>
  <si>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</si>
  <si>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</si>
  <si>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</si>
  <si>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</si>
  <si>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209883</t>
  </si>
  <si>
    <t xml:space="preserve">37-02 Main St</t>
  </si>
  <si>
    <t xml:space="preserve">F4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</si>
  <si>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</si>
  <si>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</si>
  <si>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</si>
  <si>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</si>
  <si>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</si>
  <si>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</si>
  <si>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</si>
  <si>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</si>
  <si>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</si>
  <si>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</si>
  <si>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</si>
  <si>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</si>
  <si>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</si>
  <si>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</si>
  <si>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</si>
  <si>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</si>
  <si>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</si>
  <si>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</si>
  <si>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</si>
  <si>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</si>
  <si>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</si>
  <si>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</si>
  <si>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</si>
  <si>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</si>
  <si>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</si>
  <si>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</si>
  <si>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</si>
  <si>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</si>
  <si>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</si>
  <si>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</si>
  <si>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</si>
  <si>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</si>
  <si>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</si>
  <si>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</si>
  <si>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</si>
  <si>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</si>
  <si>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</si>
  <si>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</si>
  <si>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</si>
  <si>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</si>
  <si>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</si>
  <si>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</si>
  <si>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</si>
  <si>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</si>
  <si>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</si>
  <si>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</si>
  <si>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</si>
  <si>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</si>
  <si>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</si>
  <si>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</si>
  <si>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</si>
  <si>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</si>
  <si>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</si>
  <si>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</si>
  <si>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</si>
  <si>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</si>
  <si>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</si>
  <si>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</si>
  <si>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</si>
  <si>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</si>
  <si>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</si>
  <si>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</si>
  <si>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</si>
  <si>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</si>
  <si>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</si>
  <si>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</si>
  <si>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</si>
  <si>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</si>
  <si>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</si>
  <si>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</si>
  <si>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</si>
  <si>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</si>
  <si>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</si>
  <si>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</si>
  <si>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</si>
  <si>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</si>
  <si>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</si>
  <si>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</si>
  <si>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</si>
  <si>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</si>
  <si>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</si>
  <si>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</si>
  <si>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</si>
  <si>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</si>
  <si>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</si>
  <si>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</si>
  <si>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</si>
  <si>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</si>
  <si>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</si>
  <si>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</si>
  <si>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</si>
  <si>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</si>
  <si>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</si>
  <si>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</si>
  <si>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</si>
  <si>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</si>
  <si>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</si>
  <si>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</si>
  <si>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</si>
  <si>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</si>
  <si>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</si>
  <si>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</si>
  <si>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</si>
  <si>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</si>
  <si>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</si>
  <si>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</si>
  <si>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</si>
  <si>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</si>
  <si>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</si>
  <si>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</si>
  <si>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</si>
  <si>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</si>
  <si>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</si>
  <si>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</si>
  <si>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</si>
  <si>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</si>
  <si>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</si>
  <si>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</si>
  <si>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</si>
  <si>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</si>
  <si>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</si>
  <si>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</si>
  <si>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</si>
  <si>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</si>
  <si>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</si>
  <si>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</si>
  <si>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</si>
  <si>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</si>
  <si>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</si>
  <si>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</si>
  <si>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</si>
  <si>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</si>
  <si>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</si>
  <si>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</si>
  <si>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</si>
  <si>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</si>
  <si>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</si>
  <si>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</si>
  <si>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</si>
  <si>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</si>
  <si>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</si>
  <si>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</si>
  <si>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</si>
  <si>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</si>
  <si>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</si>
  <si>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</si>
  <si>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</si>
  <si>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</si>
  <si>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</si>
  <si>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</si>
  <si>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</si>
  <si>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</si>
  <si>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</si>
  <si>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</si>
  <si>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</si>
  <si>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</si>
  <si>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</si>
  <si>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</si>
  <si>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</si>
  <si>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</si>
  <si>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</si>
  <si>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</si>
  <si>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</si>
  <si>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</si>
  <si>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</si>
  <si>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</si>
  <si>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</si>
  <si>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</si>
  <si>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</si>
  <si>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</si>
  <si>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</si>
  <si>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</si>
  <si>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</si>
  <si>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</si>
  <si>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</si>
  <si>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</si>
  <si>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</si>
  <si>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</si>
  <si>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</si>
  <si>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</si>
  <si>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</si>
  <si>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</si>
  <si>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</si>
  <si>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</si>
  <si>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</si>
  <si>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</si>
  <si>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</si>
  <si>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</si>
  <si>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</si>
  <si>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</si>
  <si>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</si>
  <si>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</si>
  <si>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</si>
  <si>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</si>
  <si>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</si>
  <si>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</si>
  <si>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</si>
  <si>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</si>
  <si>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</si>
  <si>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</si>
  <si>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</si>
  <si>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</si>
  <si>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</si>
  <si>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</si>
  <si>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</si>
  <si>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</si>
  <si>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</si>
  <si>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</si>
  <si>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</si>
  <si>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</si>
  <si>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</si>
  <si>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</si>
  <si>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</si>
  <si>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</si>
  <si>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</si>
  <si>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</si>
  <si>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</si>
  <si>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</si>
  <si>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</si>
  <si>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</si>
  <si>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</si>
  <si>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</si>
  <si>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</si>
  <si>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</si>
  <si>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</si>
  <si>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</si>
  <si>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</si>
  <si>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</si>
  <si>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</si>
  <si>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</si>
  <si>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</si>
  <si>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</si>
  <si>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</si>
  <si>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</si>
  <si>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</si>
  <si>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</si>
  <si>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</si>
  <si>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</si>
  <si>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</si>
  <si>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</si>
  <si>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</si>
  <si>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</si>
  <si>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</si>
  <si>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</si>
  <si>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</si>
  <si>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</si>
  <si>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</si>
  <si>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</si>
  <si>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</si>
  <si>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</si>
  <si>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</si>
  <si>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</si>
  <si>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</si>
  <si>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</si>
  <si>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</si>
  <si>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</si>
  <si>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</si>
  <si>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</si>
  <si>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</si>
  <si>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</si>
  <si>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</si>
  <si>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</si>
  <si>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</si>
  <si>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</si>
  <si>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</si>
  <si>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</si>
  <si>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</si>
  <si>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</si>
  <si>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</si>
  <si>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</si>
  <si>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</si>
  <si>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</si>
  <si>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</si>
  <si>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</si>
  <si>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</si>
  <si>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</si>
  <si>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</si>
  <si>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</si>
  <si>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</si>
  <si>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</si>
  <si>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</si>
  <si>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</si>
  <si>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</si>
  <si>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</si>
  <si>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</si>
  <si>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</si>
  <si>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</si>
  <si>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</si>
  <si>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</si>
  <si>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</si>
  <si>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</si>
  <si>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</si>
  <si>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</si>
  <si>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</si>
  <si>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</si>
  <si>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</si>
  <si>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</si>
  <si>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</si>
  <si>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</si>
  <si>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</si>
  <si>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</si>
  <si>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</si>
  <si>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</si>
  <si>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</si>
  <si>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</si>
  <si>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</si>
  <si>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</si>
  <si>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</si>
  <si>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</si>
  <si>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</si>
  <si>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</si>
  <si>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</si>
  <si>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</si>
  <si>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</si>
  <si>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</si>
  <si>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</si>
  <si>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</si>
  <si>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</si>
  <si>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</si>
  <si>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</si>
  <si>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</si>
  <si>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</si>
  <si>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</si>
  <si>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</si>
  <si>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</si>
  <si>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</si>
  <si>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</si>
  <si>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</si>
  <si>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</si>
  <si>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</si>
  <si>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</si>
  <si>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</si>
  <si>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</si>
  <si>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</si>
  <si>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</si>
  <si>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</si>
  <si>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</si>
  <si>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</si>
  <si>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</si>
  <si>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</si>
  <si>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</si>
  <si>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</si>
  <si>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</si>
  <si>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</si>
  <si>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</si>
  <si>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</si>
  <si>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</si>
  <si>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</si>
  <si>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</si>
  <si>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</si>
  <si>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</si>
  <si>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</si>
  <si>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</si>
  <si>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</si>
  <si>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</si>
  <si>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</si>
  <si>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</si>
  <si>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</si>
  <si>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</si>
  <si>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</si>
  <si>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</si>
  <si>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</si>
  <si>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</si>
  <si>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</si>
  <si>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</si>
  <si>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</si>
  <si>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</si>
  <si>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</si>
  <si>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</si>
  <si>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</si>
  <si>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</si>
  <si>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</si>
  <si>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</si>
  <si>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</si>
  <si>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</si>
  <si>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</si>
  <si>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</si>
  <si>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</si>
  <si>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</si>
  <si>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</si>
  <si>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</si>
  <si>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</si>
  <si>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</si>
  <si>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</si>
  <si>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</si>
  <si>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</si>
  <si>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</si>
  <si>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</si>
  <si>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</si>
  <si>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</si>
  <si>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</si>
  <si>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</si>
  <si>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</si>
  <si>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</si>
  <si>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</si>
  <si>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</si>
  <si>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</si>
  <si>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</si>
  <si>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</si>
  <si>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</si>
  <si>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</si>
  <si>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</si>
  <si>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</si>
  <si>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</si>
  <si>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</si>
  <si>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</si>
  <si>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</si>
  <si>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</si>
  <si>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</si>
  <si>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</si>
  <si>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</si>
  <si>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</si>
  <si>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</si>
  <si>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</si>
  <si>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</si>
  <si>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</si>
  <si>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</si>
  <si>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</si>
  <si>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</si>
  <si>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</si>
  <si>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</si>
  <si>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</si>
  <si>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</si>
  <si>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</si>
  <si>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</si>
  <si>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</si>
  <si>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</si>
  <si>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</si>
  <si>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</si>
  <si>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</si>
  <si>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</si>
  <si>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</si>
  <si>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</si>
  <si>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</si>
  <si>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</si>
  <si>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</si>
  <si>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</si>
  <si>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</si>
  <si>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</si>
  <si>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</si>
  <si>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</si>
  <si>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</si>
  <si>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</si>
  <si>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</si>
  <si>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</si>
  <si>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</si>
  <si>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</si>
  <si>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</si>
  <si>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</si>
  <si>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</si>
  <si>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</si>
  <si>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</si>
  <si>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</si>
  <si>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</si>
  <si>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</si>
  <si>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</si>
  <si>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</si>
  <si>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</si>
  <si>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</si>
  <si>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</si>
  <si>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</si>
  <si>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</si>
  <si>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</si>
  <si>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</si>
  <si>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</si>
  <si>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</si>
  <si>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</si>
  <si>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</si>
  <si>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</si>
  <si>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</si>
  <si>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</si>
  <si>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</si>
  <si>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</si>
  <si>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</si>
  <si>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</si>
  <si>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</si>
  <si>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</si>
  <si>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</si>
  <si>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</si>
  <si>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</si>
  <si>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</si>
  <si>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</si>
  <si>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</si>
  <si>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</si>
  <si>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</si>
  <si>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</si>
  <si>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</si>
  <si>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</si>
  <si>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</si>
  <si>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</si>
  <si>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</si>
  <si>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</si>
  <si>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</si>
  <si>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</si>
  <si>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</si>
  <si>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</si>
  <si>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</si>
  <si>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</si>
  <si>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</si>
  <si>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</si>
  <si>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</si>
  <si>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</si>
  <si>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</si>
  <si>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</si>
  <si>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</si>
  <si>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</si>
  <si>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</si>
  <si>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</si>
  <si>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</si>
  <si>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</si>
  <si>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</si>
  <si>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</si>
  <si>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</si>
  <si>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</si>
  <si>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</si>
  <si>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</si>
  <si>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</si>
  <si>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</si>
  <si>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</si>
  <si>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</si>
  <si>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</si>
  <si>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</si>
  <si>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</si>
  <si>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</si>
  <si>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</si>
  <si>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</si>
  <si>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</si>
  <si>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</si>
  <si>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</si>
  <si>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</si>
  <si>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</si>
  <si>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</si>
  <si>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</si>
  <si>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</si>
  <si>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</si>
  <si>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</si>
  <si>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</si>
  <si>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</si>
  <si>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</si>
  <si>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</si>
  <si>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</si>
  <si>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</si>
  <si>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</si>
  <si>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</si>
  <si>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</si>
  <si>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</si>
  <si>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</si>
  <si>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</si>
  <si>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</si>
  <si>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</si>
  <si>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</si>
  <si>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</si>
  <si>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</si>
  <si>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</si>
  <si>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</si>
  <si>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</si>
  <si>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</si>
  <si>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</si>
  <si>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</si>
  <si>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</si>
  <si>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</si>
  <si>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</si>
  <si>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</si>
  <si>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</si>
  <si>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</si>
  <si>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</si>
  <si>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</si>
  <si>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</si>
  <si>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</si>
  <si>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</si>
  <si>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</si>
  <si>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</si>
  <si>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</si>
  <si>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</si>
  <si>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</si>
  <si>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</si>
  <si>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</si>
  <si>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</si>
  <si>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</si>
  <si>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</si>
  <si>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</si>
  <si>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</si>
  <si>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</si>
  <si>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</si>
  <si>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</si>
  <si>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</si>
  <si>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</si>
  <si>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</si>
  <si>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</si>
  <si>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</si>
  <si>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</si>
  <si>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</si>
  <si>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</si>
  <si>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</si>
  <si>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</si>
  <si>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</si>
  <si>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</si>
  <si>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</si>
  <si>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</si>
  <si>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</si>
  <si>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</si>
  <si>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</si>
  <si>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</si>
  <si>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</si>
  <si>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</si>
  <si>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</si>
  <si>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</si>
  <si>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</si>
  <si>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</si>
  <si>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</si>
  <si>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</si>
  <si>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</si>
  <si>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</si>
  <si>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</si>
  <si>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</si>
  <si>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</si>
  <si>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</si>
  <si>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</si>
  <si>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</si>
  <si>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</si>
  <si>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</si>
  <si>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</si>
  <si>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</si>
  <si>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</si>
  <si>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</si>
  <si>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</si>
  <si>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</si>
  <si>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</si>
  <si>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</si>
  <si>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</si>
  <si>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</si>
  <si>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</si>
  <si>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</si>
  <si>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</si>
  <si>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</si>
  <si>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</si>
  <si>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</si>
  <si>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</si>
  <si>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</si>
  <si>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</si>
  <si>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</si>
  <si>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</si>
  <si>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</si>
  <si>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</si>
  <si>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</si>
  <si>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</si>
  <si>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</si>
  <si>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</si>
  <si>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</si>
  <si>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</si>
  <si>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</si>
  <si>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</si>
  <si>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</si>
  <si>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</si>
  <si>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</si>
  <si>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</si>
  <si>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</si>
  <si>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</si>
  <si>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</si>
  <si>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</si>
  <si>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</si>
  <si>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</si>
  <si>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</si>
  <si>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</si>
  <si>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</si>
  <si>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</si>
  <si>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</si>
  <si>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</si>
  <si>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</si>
  <si>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</si>
  <si>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</si>
  <si>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</si>
  <si>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</si>
  <si>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</si>
  <si>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</si>
  <si>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</si>
  <si>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</si>
  <si>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</si>
  <si>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</si>
  <si>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</si>
  <si>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</si>
  <si>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</si>
  <si>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</si>
  <si>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</si>
  <si>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</si>
  <si>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</si>
  <si>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</si>
  <si>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</si>
  <si>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</si>
  <si>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</si>
  <si>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</si>
  <si>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</si>
  <si>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</si>
  <si>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</si>
  <si>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</si>
  <si>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</si>
  <si>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</si>
  <si>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</si>
  <si>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</si>
  <si>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</si>
  <si>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</si>
  <si>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</si>
  <si>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</si>
  <si>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</si>
  <si>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</si>
  <si>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</si>
  <si>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</si>
  <si>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</si>
  <si>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</si>
  <si>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</si>
  <si>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</si>
  <si>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</si>
  <si>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</si>
  <si>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</si>
  <si>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</si>
  <si>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</si>
  <si>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</si>
  <si>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</si>
  <si>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</si>
  <si>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</si>
  <si>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</si>
  <si>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</si>
  <si>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</si>
  <si>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</si>
  <si>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</si>
  <si>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</si>
  <si>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</si>
  <si>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</si>
  <si>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</si>
  <si>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</si>
  <si>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</si>
  <si>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</si>
  <si>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</si>
  <si>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</si>
  <si>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</si>
  <si>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</si>
  <si>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</si>
  <si>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</si>
  <si>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</si>
  <si>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</si>
  <si>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</si>
  <si>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</si>
  <si>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</si>
  <si>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</si>
  <si>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</si>
  <si>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</si>
  <si>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</si>
  <si>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</si>
  <si>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</si>
  <si>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</si>
  <si>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</si>
  <si>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</si>
  <si>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</si>
  <si>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</si>
  <si>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</si>
  <si>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</si>
  <si>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</si>
  <si>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</si>
  <si>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</si>
  <si>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</si>
  <si>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</si>
  <si>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</si>
  <si>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</si>
  <si>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</si>
  <si>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</si>
  <si>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</si>
  <si>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</si>
  <si>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</si>
  <si>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</si>
  <si>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</si>
  <si>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</si>
  <si>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</si>
  <si>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</si>
  <si>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</si>
  <si>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</si>
  <si>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</si>
  <si>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</si>
  <si>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</si>
  <si>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</si>
  <si>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</si>
  <si>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</si>
  <si>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</si>
  <si>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</si>
  <si>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</si>
  <si>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</si>
  <si>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</si>
  <si>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</si>
  <si>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</si>
  <si>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</si>
  <si>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</si>
  <si>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</si>
  <si>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</si>
  <si>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</si>
  <si>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</si>
  <si>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</si>
  <si>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</si>
  <si>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</si>
  <si>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</si>
  <si>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</si>
  <si>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</si>
  <si>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</si>
  <si>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</si>
  <si>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</si>
  <si>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</si>
  <si>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</si>
  <si>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</si>
  <si>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</si>
  <si>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</si>
  <si>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</si>
  <si>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</si>
  <si>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</si>
  <si>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</si>
  <si>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</si>
  <si>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</si>
  <si>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</si>
  <si>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</si>
  <si>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</si>
  <si>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</si>
  <si>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</si>
  <si>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</si>
  <si>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</si>
  <si>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</si>
  <si>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</si>
  <si>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</si>
  <si>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</si>
  <si>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</si>
  <si>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</si>
  <si>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</si>
  <si>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</si>
  <si>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</si>
  <si>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</si>
  <si>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</si>
  <si>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</si>
  <si>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</si>
  <si>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</si>
  <si>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</si>
  <si>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</si>
  <si>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</si>
  <si>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</si>
  <si>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</si>
  <si>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</si>
  <si>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</si>
  <si>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</si>
  <si>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</si>
  <si>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</si>
  <si>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</si>
  <si>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</si>
  <si>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</si>
  <si>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</si>
  <si>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</si>
  <si>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</si>
  <si>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</si>
  <si>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</si>
  <si>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</si>
  <si>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</si>
  <si>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</si>
  <si>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</si>
  <si>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</si>
  <si>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</si>
  <si>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</si>
  <si>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</si>
  <si>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</si>
  <si>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</si>
  <si>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</si>
  <si>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</si>
  <si>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</si>
  <si>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</si>
  <si>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</si>
  <si>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</si>
  <si>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</si>
  <si>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</si>
  <si>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</si>
  <si>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</si>
  <si>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</si>
  <si>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</si>
  <si>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</si>
  <si>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</si>
  <si>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</si>
  <si>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</si>
  <si>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</si>
  <si>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</si>
  <si>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</si>
  <si>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</si>
  <si>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</si>
  <si>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</si>
  <si>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</si>
  <si>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</si>
  <si>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</si>
  <si>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</si>
  <si>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</si>
  <si>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</si>
  <si>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</si>
  <si>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</si>
  <si>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</si>
  <si>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</si>
  <si>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</si>
  <si>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</si>
  <si>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</si>
  <si>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</si>
  <si>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</si>
  <si>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</si>
  <si>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</si>
  <si>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</si>
  <si>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</si>
  <si>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</si>
  <si>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</si>
  <si>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</si>
  <si>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</si>
  <si>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</si>
  <si>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</si>
  <si>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</si>
  <si>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</si>
  <si>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</si>
  <si>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</si>
  <si>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</si>
  <si>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</si>
  <si>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</si>
  <si>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</si>
  <si>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</si>
  <si>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</si>
  <si>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</si>
  <si>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</si>
  <si>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</si>
  <si>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</si>
  <si>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</si>
  <si>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</si>
  <si>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</si>
  <si>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</si>
  <si>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</si>
  <si>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</si>
  <si>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</si>
  <si>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</si>
  <si>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</si>
  <si>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</si>
  <si>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</si>
  <si>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</si>
  <si>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</si>
  <si>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</si>
  <si>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</si>
  <si>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</si>
  <si>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</si>
  <si>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</si>
  <si>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</si>
  <si>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</si>
  <si>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</si>
  <si>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</si>
  <si>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</si>
  <si>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</si>
  <si>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</si>
  <si>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</si>
  <si>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</si>
  <si>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</si>
  <si>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</si>
  <si>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</si>
  <si>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</si>
  <si>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</si>
  <si>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</si>
  <si>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</si>
  <si>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</si>
  <si>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</si>
  <si>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</si>
  <si>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</si>
  <si>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</si>
  <si>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</si>
  <si>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</si>
  <si>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</si>
  <si>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</si>
  <si>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</si>
  <si>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</si>
  <si>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</si>
  <si>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</si>
  <si>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</si>
  <si>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</si>
  <si>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</si>
  <si>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</si>
  <si>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</si>
  <si>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</si>
  <si>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</si>
  <si>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</si>
  <si>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</si>
  <si>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</si>
  <si>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</si>
  <si>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</si>
  <si>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</si>
  <si>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</si>
  <si>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</si>
  <si>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</si>
  <si>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</si>
  <si>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</si>
  <si>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</si>
  <si>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</si>
  <si>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</si>
  <si>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</si>
  <si>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</si>
  <si>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</si>
  <si>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</si>
  <si>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</si>
  <si>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</si>
  <si>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</si>
  <si>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</si>
  <si>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</si>
  <si>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</si>
  <si>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</si>
  <si>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</si>
  <si>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</si>
  <si>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</si>
  <si>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</si>
  <si>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</si>
  <si>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</si>
  <si>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</si>
  <si>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</si>
  <si>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</si>
  <si>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</si>
  <si>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</si>
  <si>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</si>
  <si>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</si>
  <si>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</si>
  <si>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</si>
  <si>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</si>
  <si>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</si>
  <si>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</si>
  <si>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</si>
  <si>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</si>
  <si>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</si>
  <si>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</si>
  <si>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</si>
  <si>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</si>
  <si>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</si>
  <si>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</si>
  <si>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</si>
  <si>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</si>
  <si>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</si>
  <si>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</si>
  <si>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</si>
  <si>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</si>
  <si>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</si>
  <si>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</si>
  <si>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</si>
  <si>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</si>
  <si>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</si>
  <si>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</si>
  <si>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</si>
  <si>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</si>
  <si>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</si>
  <si>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</si>
  <si>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</si>
  <si>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</si>
  <si>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</si>
  <si>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</si>
  <si>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</si>
  <si>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</si>
  <si>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</si>
  <si>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</si>
  <si>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</si>
  <si>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</si>
  <si>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</si>
  <si>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</si>
  <si>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</si>
  <si>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</si>
  <si>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</si>
  <si>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</si>
  <si>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</si>
  <si>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</si>
  <si>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</si>
  <si>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</si>
  <si>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</si>
  <si>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</si>
  <si>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</si>
  <si>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</si>
  <si>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</si>
  <si>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</si>
  <si>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</si>
  <si>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</si>
  <si>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</si>
  <si>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</si>
  <si>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</si>
  <si>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</si>
  <si>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</si>
  <si>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</si>
  <si>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</si>
  <si>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</si>
  <si>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</si>
  <si>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</si>
  <si>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</si>
  <si>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</si>
  <si>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</si>
  <si>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</si>
  <si>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</si>
  <si>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</si>
  <si>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</si>
  <si>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</si>
  <si>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</si>
  <si>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</si>
  <si>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</si>
  <si>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</si>
  <si>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</si>
  <si>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</si>
  <si>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</si>
  <si>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</si>
  <si>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</si>
  <si>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</si>
  <si>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</si>
  <si>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</si>
  <si>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</si>
  <si>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</si>
  <si>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</si>
  <si>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</si>
  <si>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</si>
  <si>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</si>
  <si>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</si>
  <si>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</si>
  <si>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</si>
  <si>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</si>
  <si>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</si>
  <si>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</si>
  <si>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</si>
  <si>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</si>
  <si>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</si>
  <si>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</si>
  <si>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</si>
  <si>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</si>
  <si>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</si>
  <si>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</si>
  <si>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</si>
  <si>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</si>
  <si>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</si>
  <si>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</si>
  <si>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</si>
  <si>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</si>
  <si>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</si>
  <si>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</si>
  <si>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</si>
  <si>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</si>
  <si>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</si>
  <si>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</si>
  <si>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</si>
  <si>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</si>
  <si>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</si>
  <si>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</si>
  <si>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</si>
  <si>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</si>
  <si>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</si>
  <si>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</si>
  <si>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</si>
  <si>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</si>
  <si>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</si>
  <si>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</si>
  <si>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</si>
  <si>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</si>
  <si>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</si>
  <si>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</si>
  <si>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</si>
  <si>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</si>
  <si>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</si>
  <si>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</si>
  <si>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</si>
  <si>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</si>
  <si>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</si>
  <si>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</si>
  <si>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</si>
  <si>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</si>
  <si>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</si>
  <si>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</si>
  <si>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</si>
  <si>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</si>
  <si>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</si>
  <si>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</si>
  <si>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</si>
  <si>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</si>
  <si>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</si>
  <si>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</si>
  <si>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</si>
  <si>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</si>
  <si>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</si>
  <si>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</si>
  <si>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</si>
  <si>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</si>
  <si>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</si>
  <si>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</si>
  <si>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</si>
  <si>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</si>
  <si>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</si>
  <si>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</si>
  <si>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</si>
  <si>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</si>
  <si>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</si>
  <si>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</si>
  <si>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</si>
  <si>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</si>
  <si>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</si>
  <si>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</si>
  <si>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</si>
  <si>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</si>
  <si>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</si>
  <si>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</si>
  <si>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</si>
  <si>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</si>
  <si>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</si>
  <si>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</si>
  <si>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</si>
  <si>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</si>
  <si>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</si>
  <si>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</si>
  <si>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</si>
  <si>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</si>
  <si>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</si>
  <si>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</si>
  <si>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</si>
  <si>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</si>
  <si>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</si>
  <si>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</si>
  <si>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</si>
  <si>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</si>
  <si>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</si>
  <si>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</si>
  <si>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</si>
  <si>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</si>
  <si>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</si>
  <si>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</si>
  <si>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</si>
  <si>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</si>
  <si>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</si>
  <si>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</si>
  <si>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</si>
  <si>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</si>
  <si>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</si>
  <si>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</si>
  <si>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</si>
  <si>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</si>
  <si>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</si>
  <si>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</si>
  <si>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</si>
  <si>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</si>
  <si>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</si>
  <si>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</si>
  <si>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</si>
  <si>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</si>
  <si>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</si>
  <si>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</si>
  <si>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</si>
  <si>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</si>
  <si>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</si>
  <si>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</si>
  <si>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</si>
  <si>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</si>
  <si>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</si>
  <si>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</si>
  <si>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</si>
  <si>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</si>
  <si>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</si>
  <si>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</si>
  <si>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</si>
  <si>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</si>
  <si>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</si>
  <si>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</si>
  <si>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</si>
  <si>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</si>
  <si>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</si>
  <si>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</si>
  <si>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</si>
  <si>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</si>
  <si>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</si>
  <si>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</si>
  <si>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</si>
  <si>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</si>
  <si>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</si>
  <si>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</si>
  <si>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</si>
  <si>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</si>
  <si>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</si>
  <si>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</si>
  <si>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</si>
  <si>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</si>
  <si>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</si>
  <si>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</si>
  <si>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</si>
  <si>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</si>
  <si>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</si>
  <si>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</si>
  <si>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</si>
  <si>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</si>
  <si>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</si>
  <si>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</si>
  <si>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</si>
  <si>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</si>
  <si>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</si>
  <si>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</si>
  <si>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</si>
  <si>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</si>
  <si>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</si>
  <si>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</si>
  <si>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</si>
  <si>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</si>
  <si>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</si>
  <si>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</si>
  <si>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</si>
  <si>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</si>
  <si>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</si>
  <si>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</si>
  <si>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</si>
  <si>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</si>
  <si>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</si>
  <si>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</si>
  <si>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</si>
  <si>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</si>
  <si>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</si>
  <si>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</si>
  <si>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</si>
  <si>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</si>
  <si>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</si>
  <si>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</si>
  <si>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</si>
  <si>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</si>
  <si>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</si>
  <si>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</si>
  <si>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</si>
  <si>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</si>
  <si>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</si>
  <si>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</si>
  <si>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</si>
  <si>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</si>
  <si>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</si>
  <si>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</si>
  <si>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</si>
  <si>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</si>
  <si>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</si>
  <si>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</si>
  <si>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</si>
  <si>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</si>
  <si>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</si>
  <si>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</si>
  <si>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</si>
  <si>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</si>
  <si>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</si>
  <si>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</si>
  <si>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</si>
  <si>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</si>
  <si>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</si>
  <si>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</si>
  <si>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</si>
  <si>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</si>
  <si>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</si>
  <si>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</si>
  <si>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</si>
  <si>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</si>
  <si>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</si>
  <si>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</si>
  <si>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</si>
  <si>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</si>
  <si>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</si>
  <si>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</si>
  <si>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</si>
  <si>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</si>
  <si>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</si>
  <si>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</si>
  <si>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</si>
  <si>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</si>
  <si>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</si>
  <si>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</si>
  <si>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</si>
  <si>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</si>
  <si>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</si>
  <si>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</si>
  <si>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</si>
  <si>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</si>
  <si>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</si>
  <si>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</si>
  <si>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</si>
  <si>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</si>
  <si>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</si>
  <si>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</si>
  <si>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</si>
  <si>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</si>
  <si>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</si>
  <si>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</si>
  <si>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</si>
  <si>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</si>
  <si>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</si>
  <si>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</si>
  <si>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</si>
  <si>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</si>
  <si>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</si>
  <si>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</si>
  <si>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</si>
  <si>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</si>
  <si>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</si>
  <si>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</si>
  <si>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</si>
  <si>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</si>
  <si>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</si>
  <si>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</si>
  <si>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</si>
  <si>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</si>
  <si>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</si>
  <si>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</si>
  <si>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</si>
  <si>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</si>
  <si>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</si>
  <si>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</si>
  <si>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</si>
  <si>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</si>
  <si>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</si>
  <si>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</si>
  <si>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</si>
  <si>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</si>
  <si>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</si>
  <si>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</si>
  <si>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</si>
  <si>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</si>
  <si>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</si>
  <si>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</si>
  <si>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</si>
  <si>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</si>
  <si>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</si>
  <si>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</si>
  <si>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</si>
  <si>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</si>
  <si>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</si>
  <si>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</si>
  <si>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</si>
  <si>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</si>
  <si>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</si>
  <si>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</si>
  <si>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</si>
  <si>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</si>
  <si>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</si>
  <si>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</si>
  <si>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</si>
  <si>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</si>
  <si>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</si>
  <si>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</si>
  <si>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</si>
  <si>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</si>
  <si>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</si>
  <si>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</si>
  <si>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</si>
  <si>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</si>
  <si>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</si>
  <si>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</si>
  <si>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</si>
  <si>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</si>
  <si>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</si>
  <si>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</si>
  <si>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</si>
  <si>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</si>
  <si>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</si>
  <si>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</si>
  <si>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</si>
  <si>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</si>
  <si>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</si>
  <si>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</si>
  <si>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</si>
  <si>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</si>
  <si>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</si>
  <si>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</si>
  <si>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</si>
  <si>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</si>
  <si>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</si>
  <si>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</si>
  <si>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</si>
  <si>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</si>
  <si>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</si>
  <si>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</si>
  <si>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</si>
  <si>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</si>
  <si>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</si>
  <si>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</si>
  <si>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</si>
  <si>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</si>
  <si>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</si>
  <si>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</si>
  <si>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</si>
  <si>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</si>
  <si>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</si>
  <si>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</si>
  <si>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</si>
  <si>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</si>
  <si>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</si>
  <si>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</si>
  <si>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</si>
  <si>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</si>
  <si>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</si>
  <si>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</si>
  <si>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</si>
  <si>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</si>
  <si>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</si>
  <si>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</si>
  <si>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</si>
  <si>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</si>
  <si>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</si>
  <si>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</si>
  <si>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</si>
  <si>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</si>
  <si>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</si>
  <si>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</si>
  <si>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</si>
  <si>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</si>
  <si>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</si>
  <si>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</si>
  <si>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</si>
  <si>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</si>
  <si>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</si>
  <si>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</si>
  <si>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</si>
  <si>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</si>
  <si>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</si>
  <si>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</si>
  <si>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</si>
  <si>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</si>
  <si>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</si>
  <si>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</si>
  <si>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</si>
  <si>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</si>
  <si>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</si>
  <si>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</si>
  <si>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</si>
  <si>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</si>
  <si>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</si>
  <si>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</si>
  <si>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</si>
  <si>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</si>
  <si>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</si>
  <si>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</si>
  <si>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</si>
  <si>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</si>
  <si>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</si>
  <si>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</si>
  <si>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</si>
  <si>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</si>
  <si>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</si>
  <si>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</si>
  <si>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</si>
  <si>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</si>
  <si>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</si>
  <si>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</si>
  <si>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</si>
  <si>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</si>
  <si>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</si>
  <si>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</si>
  <si>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</si>
  <si>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</si>
  <si>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</si>
  <si>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</si>
  <si>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</si>
  <si>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</si>
  <si>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</si>
  <si>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</si>
  <si>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</si>
  <si>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</si>
  <si>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</si>
  <si>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</si>
  <si>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</si>
  <si>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</si>
  <si>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</si>
  <si>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</si>
  <si>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</si>
  <si>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</si>
  <si>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</si>
  <si>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</si>
  <si>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</si>
  <si>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</si>
  <si>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</si>
  <si>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</si>
  <si>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</si>
  <si>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</si>
  <si>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</si>
  <si>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</si>
  <si>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</si>
  <si>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</si>
  <si>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</si>
  <si>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</si>
  <si>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</si>
  <si>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</si>
  <si>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</si>
  <si>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</si>
  <si>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</si>
  <si>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</si>
  <si>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</si>
  <si>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</si>
  <si>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</si>
  <si>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</si>
  <si>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</si>
  <si>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</si>
  <si>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</si>
  <si>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</si>
  <si>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</si>
  <si>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</si>
  <si>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</si>
  <si>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</si>
  <si>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</si>
  <si>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</si>
  <si>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</si>
  <si>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</si>
  <si>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</si>
  <si>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</si>
  <si>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</si>
  <si>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</si>
  <si>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</si>
  <si>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</si>
  <si>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</si>
  <si>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</si>
  <si>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</si>
  <si>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</si>
  <si>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</si>
  <si>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</si>
  <si>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</si>
  <si>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</si>
  <si>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</si>
  <si>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</si>
  <si>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</si>
  <si>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</si>
  <si>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</si>
  <si>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</si>
  <si>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</si>
  <si>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</si>
  <si>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</si>
  <si>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</si>
  <si>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</si>
  <si>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</si>
  <si>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</si>
  <si>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</si>
  <si>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</si>
  <si>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</si>
  <si>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</si>
  <si>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</si>
  <si>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</si>
  <si>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</si>
  <si>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</si>
  <si>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</si>
  <si>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</si>
  <si>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</si>
  <si>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</si>
  <si>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</si>
  <si>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</si>
  <si>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</si>
  <si>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</si>
  <si>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</si>
  <si>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</si>
  <si>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</si>
  <si>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</si>
  <si>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</si>
  <si>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</si>
  <si>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</si>
  <si>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</si>
  <si>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</si>
  <si>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</si>
  <si>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</si>
  <si>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</si>
  <si>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</si>
  <si>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</si>
  <si>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</si>
  <si>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</si>
  <si>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</si>
  <si>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</si>
  <si>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</si>
  <si>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</si>
  <si>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</si>
  <si>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</si>
  <si>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</si>
  <si>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</si>
  <si>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</si>
  <si>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</si>
  <si>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</si>
  <si>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</si>
  <si>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</si>
  <si>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</si>
  <si>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</si>
  <si>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</si>
  <si>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</si>
  <si>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</si>
  <si>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</si>
  <si>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</si>
  <si>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</si>
  <si>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</si>
  <si>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</si>
  <si>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</si>
  <si>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</si>
  <si>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</si>
  <si>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</si>
  <si>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</si>
  <si>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</si>
  <si>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</si>
  <si>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</si>
  <si>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</si>
  <si>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</si>
  <si>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</si>
  <si>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</si>
  <si>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</si>
  <si>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</si>
  <si>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</si>
  <si>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</si>
  <si>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</si>
  <si>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</si>
  <si>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</si>
  <si>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</si>
  <si>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</si>
  <si>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</si>
  <si>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</si>
  <si>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</si>
  <si>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</si>
  <si>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</si>
  <si>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</si>
  <si>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</si>
  <si>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</si>
  <si>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</si>
  <si>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</si>
  <si>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</si>
  <si>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</si>
  <si>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</si>
  <si>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</si>
  <si>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</si>
  <si>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</si>
  <si>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</si>
  <si>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</si>
  <si>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</si>
  <si>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</si>
  <si>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</si>
  <si>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</si>
  <si>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</si>
  <si>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</si>
  <si>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</si>
  <si>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</si>
  <si>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</si>
  <si>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</si>
  <si>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</si>
  <si>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</si>
  <si>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</si>
  <si>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</si>
  <si>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</si>
  <si>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</si>
  <si>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</si>
  <si>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</si>
  <si>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</si>
  <si>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</si>
  <si>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</si>
  <si>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</si>
  <si>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</si>
  <si>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</si>
  <si>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</si>
  <si>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</si>
  <si>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</si>
  <si>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</si>
  <si>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</si>
  <si>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</si>
  <si>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</si>
  <si>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</si>
  <si>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</si>
  <si>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</si>
  <si>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</si>
  <si>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</si>
  <si>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</si>
  <si>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</si>
  <si>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</si>
  <si>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</si>
  <si>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</si>
  <si>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</si>
  <si>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</si>
  <si>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</si>
  <si>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</si>
  <si>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</si>
  <si>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</si>
  <si>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</si>
  <si>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</si>
  <si>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</si>
  <si>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</si>
  <si>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</si>
  <si>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</si>
  <si>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</si>
  <si>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</si>
  <si>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</si>
  <si>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</si>
  <si>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</si>
  <si>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</si>
  <si>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</si>
  <si>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</si>
  <si>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</si>
  <si>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</si>
  <si>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</si>
  <si>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</si>
  <si>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</si>
  <si>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</si>
  <si>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</si>
  <si>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</si>
  <si>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</si>
  <si>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</si>
  <si>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</si>
  <si>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</si>
  <si>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</si>
  <si>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</si>
  <si>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</si>
  <si>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</si>
  <si>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</si>
  <si>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</si>
  <si>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</si>
  <si>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</si>
  <si>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</si>
  <si>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</si>
  <si>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</si>
  <si>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</si>
  <si>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</si>
  <si>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</si>
  <si>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</si>
  <si>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</si>
  <si>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</si>
  <si>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</si>
  <si>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</si>
  <si>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</si>
  <si>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</si>
  <si>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</si>
  <si>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</si>
  <si>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</si>
  <si>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</si>
  <si>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</si>
  <si>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</si>
  <si>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</si>
  <si>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</si>
  <si>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</si>
  <si>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</si>
  <si>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</si>
  <si>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</si>
  <si>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</si>
  <si>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</si>
  <si>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</si>
  <si>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</si>
  <si>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</si>
  <si>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</si>
  <si>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</si>
  <si>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</si>
  <si>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</si>
  <si>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</si>
  <si>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</si>
  <si>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</si>
  <si>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</si>
  <si>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</si>
  <si>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</si>
  <si>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</si>
  <si>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</si>
  <si>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</si>
  <si>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</si>
  <si>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</si>
  <si>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</si>
  <si>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</si>
  <si>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</si>
  <si>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</si>
  <si>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</si>
  <si>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</si>
  <si>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</si>
  <si>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</si>
  <si>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</si>
  <si>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</si>
  <si>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</si>
  <si>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</si>
  <si>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</si>
  <si>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</si>
  <si>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</si>
  <si>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</si>
  <si>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</si>
  <si>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</si>
  <si>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</si>
  <si>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</si>
  <si>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</si>
  <si>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</si>
  <si>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</si>
  <si>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</si>
  <si>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</si>
  <si>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</si>
  <si>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</si>
  <si>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</si>
  <si>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</si>
  <si>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</si>
  <si>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</si>
  <si>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</si>
  <si>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</si>
  <si>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</si>
  <si>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</si>
  <si>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</si>
  <si>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</si>
  <si>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</si>
  <si>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</si>
  <si>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</si>
  <si>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</si>
  <si>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</si>
  <si>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</si>
  <si>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</si>
  <si>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</si>
  <si>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</si>
  <si>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</si>
  <si>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</si>
  <si>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</si>
  <si>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</si>
  <si>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</si>
  <si>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</si>
  <si>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</si>
  <si>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</si>
  <si>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</si>
  <si>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</si>
  <si>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</si>
  <si>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</si>
  <si>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</si>
  <si>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</si>
  <si>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</si>
  <si>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</si>
  <si>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</si>
  <si>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</si>
  <si>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</si>
  <si>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</si>
  <si>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</si>
  <si>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</si>
  <si>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</si>
  <si>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</si>
  <si>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</si>
  <si>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</si>
  <si>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</si>
  <si>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</si>
  <si>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</si>
  <si>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</si>
  <si>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</si>
  <si>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</si>
  <si>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</si>
  <si>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</si>
  <si>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</si>
  <si>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</si>
  <si>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</si>
  <si>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</si>
  <si>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</si>
  <si>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</si>
  <si>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</si>
  <si>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</si>
  <si>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</si>
  <si>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</si>
  <si>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</si>
  <si>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</si>
  <si>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</si>
  <si>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</si>
  <si>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</si>
  <si>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</si>
  <si>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</si>
  <si>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</si>
  <si>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</si>
  <si>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</si>
  <si>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</si>
  <si>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</si>
  <si>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</si>
  <si>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</si>
  <si>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</si>
  <si>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</si>
  <si>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</si>
  <si>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</si>
  <si>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</si>
  <si>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</si>
  <si>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</si>
  <si>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</si>
  <si>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</si>
  <si>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</si>
  <si>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</si>
  <si>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</si>
  <si>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</si>
  <si>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</si>
  <si>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</si>
  <si>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</si>
  <si>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</si>
  <si>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</si>
  <si>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</si>
  <si>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</si>
  <si>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</si>
  <si>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</si>
  <si>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</si>
  <si>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</si>
  <si>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</si>
  <si>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</si>
  <si>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</si>
  <si>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</si>
  <si>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</si>
  <si>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</si>
  <si>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</si>
  <si>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</si>
  <si>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</si>
  <si>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</si>
  <si>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</si>
  <si>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</si>
  <si>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</si>
  <si>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</si>
  <si>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</si>
  <si>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</si>
  <si>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</si>
  <si>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</si>
  <si>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</si>
  <si>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</si>
  <si>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</si>
  <si>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</si>
  <si>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</si>
  <si>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</si>
  <si>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</si>
  <si>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</si>
  <si>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</si>
  <si>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</si>
  <si>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</si>
  <si>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</si>
  <si>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</si>
  <si>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</si>
  <si>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</si>
  <si>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</si>
  <si>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</si>
  <si>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</si>
  <si>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</si>
  <si>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</si>
  <si>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</si>
  <si>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</si>
  <si>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</si>
  <si>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</si>
  <si>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</si>
  <si>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</si>
  <si>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</si>
  <si>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</si>
  <si>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</si>
  <si>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</si>
  <si>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</si>
  <si>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</si>
  <si>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</si>
  <si>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</si>
  <si>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</si>
  <si>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</si>
  <si>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</si>
  <si>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</si>
  <si>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</si>
  <si>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</si>
  <si>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</si>
  <si>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</si>
  <si>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</si>
  <si>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</si>
  <si>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</si>
  <si>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</si>
  <si>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</si>
  <si>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</si>
  <si>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</si>
  <si>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</si>
  <si>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</si>
  <si>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</si>
  <si>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</si>
  <si>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</si>
  <si>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</si>
  <si>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</si>
  <si>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</si>
  <si>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</si>
  <si>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</si>
  <si>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</si>
  <si>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</si>
  <si>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</si>
  <si>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</si>
  <si>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</si>
  <si>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</si>
  <si>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</si>
  <si>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</si>
  <si>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</si>
  <si>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</si>
  <si>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</si>
  <si>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</si>
  <si>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</si>
  <si>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</si>
  <si>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</si>
  <si>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</si>
  <si>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</si>
  <si>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</si>
  <si>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</si>
  <si>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</si>
  <si>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</si>
  <si>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</si>
  <si>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</si>
  <si>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</si>
  <si>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</si>
  <si>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</si>
  <si>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</si>
  <si>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</si>
  <si>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</si>
  <si>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</si>
  <si>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</si>
  <si>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</si>
  <si>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</si>
  <si>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</si>
  <si>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</si>
  <si>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</si>
  <si>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</si>
  <si>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</si>
  <si>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</si>
  <si>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</si>
  <si>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</si>
  <si>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</si>
  <si>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</si>
  <si>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</si>
  <si>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</si>
  <si>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</si>
  <si>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</si>
  <si>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</si>
  <si>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</si>
  <si>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</si>
  <si>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</si>
  <si>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</si>
  <si>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</si>
  <si>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</si>
  <si>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</si>
  <si>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</si>
  <si>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</si>
  <si>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</si>
  <si>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</si>
  <si>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</si>
  <si>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</si>
  <si>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</si>
  <si>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</si>
  <si>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</si>
  <si>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</si>
  <si>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</si>
  <si>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</si>
  <si>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</si>
  <si>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</si>
  <si>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</si>
  <si>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</si>
  <si>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</si>
  <si>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</si>
  <si>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</si>
  <si>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</si>
  <si>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</si>
  <si>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</si>
  <si>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</si>
  <si>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</si>
  <si>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</si>
  <si>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</si>
  <si>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</si>
  <si>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</si>
  <si>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</si>
  <si>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</si>
  <si>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</si>
  <si>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</si>
  <si>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</si>
  <si>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</si>
  <si>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</si>
  <si>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</si>
  <si>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</si>
  <si>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</si>
  <si>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</si>
  <si>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</si>
  <si>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</si>
  <si>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</si>
  <si>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</si>
  <si>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</si>
  <si>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</si>
  <si>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</si>
  <si>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</si>
  <si>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</si>
  <si>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</si>
  <si>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</si>
  <si>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</si>
  <si>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</si>
  <si>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</si>
  <si>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</si>
  <si>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</si>
  <si>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</si>
  <si>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</si>
  <si>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</si>
  <si>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</si>
  <si>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</si>
  <si>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</si>
  <si>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</si>
  <si>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</si>
  <si>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</si>
  <si>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</si>
  <si>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</si>
  <si>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</si>
  <si>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</si>
  <si>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</si>
  <si>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</si>
  <si>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</si>
  <si>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</si>
  <si>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</si>
  <si>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</si>
  <si>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</si>
  <si>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</si>
  <si>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</si>
  <si>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</si>
  <si>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</si>
  <si>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</si>
  <si>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</si>
  <si>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</si>
  <si>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</si>
  <si>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</si>
  <si>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</si>
  <si>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</si>
  <si>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</si>
  <si>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</si>
  <si>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</si>
  <si>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</si>
  <si>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</si>
  <si>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</si>
  <si>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</si>
  <si>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</si>
  <si>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</si>
  <si>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</si>
  <si>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</si>
  <si>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</si>
  <si>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</si>
  <si>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</si>
  <si>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</si>
  <si>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</si>
  <si>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</si>
  <si>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</si>
  <si>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</si>
  <si>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</si>
  <si>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</si>
  <si>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</si>
  <si>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</si>
  <si>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</si>
  <si>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</si>
  <si>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</si>
  <si>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</si>
  <si>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</si>
  <si>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</si>
  <si>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</si>
  <si>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</si>
  <si>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</si>
  <si>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</si>
  <si>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</si>
  <si>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</si>
  <si>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</si>
  <si>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</si>
  <si>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</si>
  <si>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</si>
  <si>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</si>
  <si>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</si>
  <si>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</si>
  <si>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</si>
  <si>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</si>
  <si>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</si>
  <si>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</si>
  <si>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</si>
  <si>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</si>
  <si>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</si>
  <si>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</si>
  <si>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</si>
  <si>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</si>
  <si>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</si>
  <si>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</si>
  <si>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</si>
  <si>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</si>
  <si>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</si>
  <si>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</si>
  <si>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</si>
  <si>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</si>
  <si>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213061</t>
  </si>
  <si>
    <t xml:space="preserve">824 S HIGHWAY 395</t>
  </si>
  <si>
    <t xml:space="preserve">Hermiston</t>
  </si>
  <si>
    <t xml:space="preserve">97838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</si>
  <si>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</si>
  <si>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</si>
  <si>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</si>
  <si>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</si>
  <si>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</si>
  <si>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</si>
  <si>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</si>
  <si>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</si>
  <si>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</si>
  <si>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</si>
  <si>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</si>
  <si>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</si>
  <si>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</si>
  <si>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</si>
  <si>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</si>
  <si>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</si>
  <si>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</si>
  <si>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</si>
  <si>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</si>
  <si>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</si>
  <si>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</si>
  <si>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</si>
  <si>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</si>
  <si>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</si>
  <si>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</si>
  <si>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</si>
  <si>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</si>
  <si>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</si>
  <si>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</si>
  <si>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</si>
  <si>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</si>
  <si>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</si>
  <si>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</si>
  <si>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</si>
  <si>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</si>
  <si>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</si>
  <si>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</si>
  <si>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</si>
  <si>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</si>
  <si>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</si>
  <si>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</si>
  <si>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</si>
  <si>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</si>
  <si>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</si>
  <si>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</si>
  <si>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</si>
  <si>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</si>
  <si>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</si>
  <si>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</si>
  <si>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</si>
  <si>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</si>
  <si>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</si>
  <si>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</si>
  <si>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</si>
  <si>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</si>
  <si>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</si>
  <si>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</si>
  <si>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</si>
  <si>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</si>
  <si>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</si>
  <si>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</si>
  <si>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</si>
  <si>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</si>
  <si>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</si>
  <si>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</si>
  <si>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</si>
  <si>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</si>
  <si>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</si>
  <si>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</si>
  <si>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</si>
  <si>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</si>
  <si>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</si>
  <si>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</si>
  <si>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</si>
  <si>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</si>
  <si>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</si>
  <si>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</si>
  <si>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</si>
  <si>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</si>
  <si>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</si>
  <si>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</si>
  <si>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</si>
  <si>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</si>
  <si>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</si>
  <si>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</si>
  <si>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</si>
  <si>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</si>
  <si>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</si>
  <si>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</si>
  <si>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</si>
  <si>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</si>
  <si>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</si>
  <si>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</si>
  <si>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</si>
  <si>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</si>
  <si>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</si>
  <si>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</si>
  <si>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</si>
  <si>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</si>
  <si>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</si>
  <si>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</si>
  <si>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</si>
  <si>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</si>
  <si>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</si>
  <si>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</si>
  <si>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</si>
  <si>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</si>
  <si>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</si>
  <si>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</si>
  <si>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</si>
  <si>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</si>
  <si>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</si>
  <si>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</si>
  <si>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</si>
  <si>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</si>
  <si>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</si>
  <si>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</si>
  <si>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</si>
  <si>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</si>
  <si>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</si>
  <si>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</si>
  <si>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</si>
  <si>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</si>
  <si>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</si>
  <si>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</si>
  <si>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</si>
  <si>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</si>
  <si>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</si>
  <si>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</si>
  <si>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</si>
  <si>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</si>
  <si>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</si>
  <si>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</si>
  <si>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</si>
  <si>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</si>
  <si>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</si>
  <si>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</si>
  <si>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</si>
  <si>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</si>
  <si>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</si>
  <si>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</si>
  <si>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</si>
  <si>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</si>
  <si>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</si>
  <si>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</si>
  <si>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</si>
  <si>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</si>
  <si>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</si>
  <si>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</si>
  <si>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</si>
  <si>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</si>
  <si>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</si>
  <si>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</si>
  <si>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</si>
  <si>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</si>
  <si>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</si>
  <si>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</si>
  <si>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</si>
  <si>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</si>
  <si>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</si>
  <si>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</si>
  <si>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</si>
  <si>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</si>
  <si>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</si>
  <si>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</si>
  <si>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</si>
  <si>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</si>
  <si>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</si>
  <si>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</si>
  <si>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</si>
  <si>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</si>
  <si>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</si>
  <si>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</si>
  <si>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</si>
  <si>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</si>
  <si>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</si>
  <si>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</si>
  <si>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</si>
  <si>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</si>
  <si>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</si>
  <si>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</si>
  <si>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</si>
  <si>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</si>
  <si>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</si>
  <si>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</si>
  <si>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</si>
  <si>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</si>
  <si>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</si>
  <si>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</si>
  <si>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</si>
  <si>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</si>
  <si>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</si>
  <si>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</si>
  <si>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</si>
  <si>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</si>
  <si>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</si>
  <si>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</si>
  <si>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</si>
  <si>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</si>
  <si>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</si>
  <si>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</si>
  <si>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</si>
  <si>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</si>
  <si>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</si>
  <si>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</si>
  <si>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</si>
  <si>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</si>
  <si>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</si>
  <si>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</si>
  <si>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</si>
  <si>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</si>
  <si>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</si>
  <si>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</si>
  <si>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</si>
  <si>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</si>
  <si>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</si>
  <si>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</si>
  <si>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</si>
  <si>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</si>
  <si>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</si>
  <si>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</si>
  <si>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</si>
  <si>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</si>
  <si>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</si>
  <si>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</si>
  <si>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</si>
  <si>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</si>
  <si>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</si>
  <si>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</si>
  <si>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</si>
  <si>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</si>
  <si>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</si>
  <si>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</si>
  <si>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</si>
  <si>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</si>
  <si>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</si>
  <si>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</si>
  <si>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</si>
  <si>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</si>
  <si>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</si>
  <si>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</si>
  <si>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</si>
  <si>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</si>
  <si>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</si>
  <si>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</si>
  <si>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</si>
  <si>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</si>
  <si>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</si>
  <si>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</si>
  <si>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</si>
  <si>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</si>
  <si>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</si>
  <si>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</si>
  <si>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</si>
  <si>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</si>
  <si>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</si>
  <si>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</si>
  <si>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</si>
  <si>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</si>
  <si>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</si>
  <si>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</si>
  <si>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</si>
  <si>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</si>
  <si>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</si>
  <si>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</si>
  <si>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</si>
  <si>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</si>
  <si>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</si>
  <si>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</si>
  <si>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</si>
  <si>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</si>
  <si>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</si>
  <si>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</si>
  <si>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</si>
  <si>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</si>
  <si>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</si>
  <si>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</si>
  <si>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</si>
  <si>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</si>
  <si>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</si>
  <si>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</si>
  <si>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</si>
  <si>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</si>
  <si>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</si>
  <si>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</si>
  <si>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</si>
  <si>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</si>
  <si>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</si>
  <si>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</si>
  <si>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</si>
  <si>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</si>
  <si>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</si>
  <si>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</si>
  <si>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</si>
  <si>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</si>
  <si>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</si>
  <si>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</si>
  <si>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</si>
  <si>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</si>
  <si>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</si>
  <si>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</si>
  <si>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</si>
  <si>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</si>
  <si>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</si>
  <si>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</si>
  <si>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</si>
  <si>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</si>
  <si>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</si>
  <si>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</si>
  <si>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</si>
  <si>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</si>
  <si>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</si>
  <si>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</si>
  <si>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</si>
  <si>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</si>
  <si>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</si>
  <si>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</si>
  <si>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</si>
  <si>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</si>
  <si>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</si>
  <si>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</si>
  <si>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</si>
  <si>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</si>
  <si>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</si>
  <si>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</si>
  <si>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</si>
  <si>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</si>
  <si>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</si>
  <si>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</si>
  <si>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</si>
  <si>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</si>
  <si>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</si>
  <si>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</si>
  <si>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</si>
  <si>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</si>
  <si>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</si>
  <si>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</si>
  <si>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</si>
  <si>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</si>
  <si>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</si>
  <si>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</si>
  <si>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</si>
  <si>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</si>
  <si>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</si>
  <si>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</si>
  <si>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</si>
  <si>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</si>
  <si>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</si>
  <si>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</si>
  <si>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</si>
  <si>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</si>
  <si>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</si>
  <si>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</si>
  <si>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</si>
  <si>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</si>
  <si>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</si>
  <si>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</si>
  <si>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</si>
  <si>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</si>
  <si>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</si>
  <si>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</si>
  <si>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</si>
  <si>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</si>
  <si>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</si>
  <si>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</si>
  <si>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</si>
  <si>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</si>
  <si>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</si>
  <si>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</si>
  <si>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</si>
  <si>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</si>
  <si>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</si>
  <si>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</si>
  <si>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</si>
  <si>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</si>
  <si>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</si>
  <si>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</si>
  <si>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</si>
  <si>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</si>
  <si>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</si>
  <si>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</si>
  <si>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</si>
  <si>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</si>
  <si>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</si>
  <si>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</si>
  <si>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</si>
  <si>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</si>
  <si>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</si>
  <si>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</si>
  <si>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</si>
  <si>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</si>
  <si>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</si>
  <si>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</si>
  <si>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</si>
  <si>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</si>
  <si>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</si>
  <si>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</si>
  <si>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</si>
  <si>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</si>
  <si>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</si>
  <si>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</si>
  <si>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</si>
  <si>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</si>
  <si>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</si>
  <si>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</si>
  <si>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</si>
  <si>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</si>
  <si>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</si>
  <si>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</si>
  <si>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</si>
  <si>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</si>
  <si>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</si>
  <si>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</si>
  <si>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</si>
  <si>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</si>
  <si>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</si>
  <si>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</si>
  <si>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</si>
  <si>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</si>
  <si>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</si>
  <si>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</si>
  <si>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</si>
  <si>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</si>
  <si>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</si>
  <si>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</si>
  <si>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</si>
  <si>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</si>
  <si>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</si>
  <si>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</si>
  <si>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</si>
  <si>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</si>
  <si>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</si>
  <si>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</si>
  <si>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</si>
  <si>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</si>
  <si>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</si>
  <si>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</si>
  <si>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</si>
  <si>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</si>
  <si>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</si>
  <si>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</si>
  <si>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</si>
  <si>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</si>
  <si>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</si>
  <si>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</si>
  <si>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</si>
  <si>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</si>
  <si>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</si>
  <si>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</si>
  <si>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</si>
  <si>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</si>
  <si>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</si>
  <si>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</si>
  <si>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</si>
  <si>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</si>
  <si>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</si>
  <si>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</si>
  <si>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</si>
  <si>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</si>
  <si>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</si>
  <si>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</si>
  <si>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</si>
  <si>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</si>
  <si>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</si>
  <si>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</si>
  <si>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</si>
  <si>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</si>
  <si>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</si>
  <si>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</si>
  <si>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</si>
  <si>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</si>
  <si>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</si>
  <si>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</si>
  <si>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</si>
  <si>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</si>
  <si>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</si>
  <si>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</si>
  <si>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</si>
  <si>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</si>
  <si>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</si>
  <si>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</si>
  <si>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</si>
  <si>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</si>
  <si>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</si>
  <si>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</si>
  <si>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</si>
  <si>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</si>
  <si>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</si>
  <si>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</si>
  <si>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</si>
  <si>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</si>
  <si>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</si>
  <si>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</si>
  <si>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</si>
  <si>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</si>
  <si>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</si>
  <si>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</si>
  <si>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</si>
  <si>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</si>
  <si>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</si>
  <si>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</si>
  <si>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</si>
  <si>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</si>
  <si>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</si>
  <si>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</si>
  <si>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</si>
  <si>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</si>
  <si>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</si>
  <si>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</si>
  <si>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</si>
  <si>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</si>
  <si>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</si>
  <si>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</si>
  <si>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</si>
  <si>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</si>
  <si>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</si>
  <si>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</si>
  <si>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</si>
  <si>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</si>
  <si>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</si>
  <si>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</si>
  <si>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</si>
  <si>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</si>
  <si>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</si>
  <si>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</si>
  <si>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</si>
  <si>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</si>
  <si>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</si>
  <si>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</si>
  <si>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</si>
  <si>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</si>
  <si>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</si>
  <si>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</si>
  <si>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</si>
  <si>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</si>
  <si>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</si>
  <si>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</si>
  <si>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</si>
  <si>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</si>
  <si>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</si>
  <si>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</si>
  <si>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</si>
  <si>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</si>
  <si>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</si>
  <si>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</si>
  <si>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</si>
  <si>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</si>
  <si>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</si>
  <si>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</si>
  <si>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</si>
  <si>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</si>
  <si>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</si>
  <si>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</si>
  <si>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</si>
  <si>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</si>
  <si>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</si>
  <si>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</si>
  <si>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</si>
  <si>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</si>
  <si>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</si>
  <si>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</si>
  <si>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</si>
  <si>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</si>
  <si>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</si>
  <si>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</si>
  <si>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</si>
  <si>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</si>
  <si>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</si>
  <si>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</si>
  <si>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</si>
  <si>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</si>
  <si>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</si>
  <si>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</si>
  <si>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</si>
  <si>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</si>
  <si>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</si>
  <si>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</si>
  <si>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</si>
  <si>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</si>
  <si>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</si>
  <si>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</si>
  <si>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</si>
  <si>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</si>
  <si>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</si>
  <si>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</si>
  <si>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</si>
  <si>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</si>
  <si>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</si>
  <si>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</si>
  <si>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</si>
  <si>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</si>
  <si>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</si>
  <si>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</si>
  <si>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</si>
  <si>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</si>
  <si>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</si>
  <si>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</si>
  <si>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</si>
  <si>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</si>
  <si>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</si>
  <si>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</si>
  <si>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</si>
  <si>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</si>
  <si>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</si>
  <si>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</si>
  <si>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</si>
  <si>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</si>
  <si>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</si>
  <si>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</si>
  <si>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</si>
  <si>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</si>
  <si>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</si>
  <si>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</si>
  <si>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</si>
  <si>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</si>
  <si>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</si>
  <si>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</si>
  <si>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</si>
  <si>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</si>
  <si>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</si>
  <si>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</si>
  <si>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</si>
  <si>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</si>
  <si>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</si>
  <si>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</si>
  <si>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</si>
  <si>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</si>
  <si>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</si>
  <si>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</si>
  <si>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</si>
  <si>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</si>
  <si>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</si>
  <si>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</si>
  <si>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</si>
  <si>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</si>
  <si>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</si>
  <si>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</si>
  <si>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</si>
  <si>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</si>
  <si>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</si>
  <si>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</si>
  <si>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</si>
  <si>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</si>
  <si>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</si>
  <si>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</si>
  <si>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</si>
  <si>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</si>
  <si>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</si>
  <si>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</si>
  <si>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</si>
  <si>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</si>
  <si>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</si>
  <si>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</si>
  <si>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</si>
  <si>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</si>
  <si>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</si>
  <si>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</si>
  <si>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</si>
  <si>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</si>
  <si>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</si>
  <si>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</si>
  <si>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</si>
  <si>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</si>
  <si>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</si>
  <si>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</si>
  <si>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</si>
  <si>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</si>
  <si>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</si>
  <si>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</si>
  <si>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</si>
  <si>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</si>
  <si>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</si>
  <si>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</si>
  <si>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</si>
  <si>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</si>
  <si>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</si>
  <si>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</si>
  <si>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</si>
  <si>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</si>
  <si>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</si>
  <si>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</si>
  <si>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</si>
  <si>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</si>
  <si>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</si>
  <si>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</si>
  <si>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</si>
  <si>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</si>
  <si>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</si>
  <si>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</si>
  <si>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</si>
  <si>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</si>
  <si>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</si>
  <si>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</si>
  <si>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</si>
  <si>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</si>
  <si>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</si>
  <si>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</si>
  <si>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</si>
  <si>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</si>
  <si>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</si>
  <si>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</si>
  <si>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</si>
  <si>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</si>
  <si>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</si>
  <si>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</si>
  <si>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</si>
  <si>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</si>
  <si>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</si>
  <si>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</si>
  <si>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</si>
  <si>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</si>
  <si>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</si>
  <si>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</si>
  <si>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</si>
  <si>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</si>
  <si>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</si>
  <si>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</si>
  <si>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</si>
  <si>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</si>
  <si>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</si>
  <si>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</si>
  <si>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</si>
  <si>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</si>
  <si>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</si>
  <si>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</si>
  <si>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</si>
  <si>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</si>
  <si>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</si>
  <si>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</si>
  <si>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</si>
  <si>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</si>
  <si>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</si>
  <si>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</si>
  <si>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</si>
  <si>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</si>
  <si>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</si>
  <si>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</si>
  <si>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</si>
  <si>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</si>
  <si>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</si>
  <si>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</si>
  <si>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</si>
  <si>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</si>
  <si>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</si>
  <si>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</si>
  <si>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</si>
  <si>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</si>
  <si>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</si>
  <si>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</si>
  <si>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</si>
  <si>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</si>
  <si>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</si>
  <si>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</si>
  <si>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</si>
  <si>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</si>
  <si>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</si>
  <si>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</si>
  <si>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</si>
  <si>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</si>
  <si>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</si>
  <si>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</si>
  <si>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</si>
  <si>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</si>
  <si>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</si>
  <si>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</si>
  <si>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</si>
  <si>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</si>
  <si>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</si>
  <si>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</si>
  <si>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</si>
  <si>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</si>
  <si>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</si>
  <si>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</si>
  <si>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</si>
  <si>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</si>
  <si>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</si>
  <si>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</si>
  <si>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</si>
  <si>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</si>
  <si>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</si>
  <si>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</si>
  <si>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</si>
  <si>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</si>
  <si>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</si>
  <si>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</si>
  <si>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</si>
  <si>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</si>
  <si>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</si>
  <si>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</si>
  <si>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</si>
  <si>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</si>
  <si>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</si>
  <si>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</si>
  <si>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</si>
  <si>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</si>
  <si>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</si>
  <si>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</si>
  <si>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</si>
  <si>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</si>
  <si>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</si>
  <si>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</si>
  <si>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</si>
  <si>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</si>
  <si>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</si>
  <si>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</si>
  <si>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</si>
  <si>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</si>
  <si>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</si>
  <si>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</si>
  <si>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</si>
  <si>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</si>
  <si>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</si>
  <si>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</si>
  <si>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</si>
  <si>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</si>
  <si>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</si>
  <si>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</si>
  <si>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</si>
  <si>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</si>
  <si>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</si>
  <si>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</si>
  <si>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</si>
  <si>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</si>
  <si>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</si>
  <si>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</si>
  <si>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</si>
  <si>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</si>
  <si>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</si>
  <si>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</si>
  <si>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</si>
  <si>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</si>
  <si>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</si>
  <si>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</si>
  <si>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</si>
  <si>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</si>
  <si>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</si>
  <si>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</si>
  <si>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</si>
  <si>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</si>
  <si>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</si>
  <si>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</si>
  <si>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</si>
  <si>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</si>
  <si>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</si>
  <si>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</si>
  <si>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</si>
  <si>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</si>
  <si>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</si>
  <si>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</si>
  <si>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</si>
  <si>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</si>
  <si>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</si>
  <si>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</si>
  <si>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</si>
  <si>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</si>
  <si>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</si>
  <si>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</si>
  <si>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</si>
  <si>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</si>
  <si>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</si>
  <si>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</si>
  <si>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</si>
  <si>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</si>
  <si>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</si>
  <si>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</si>
  <si>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</si>
  <si>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</si>
  <si>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</si>
  <si>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</si>
  <si>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</si>
  <si>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</si>
  <si>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</si>
  <si>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</si>
  <si>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</si>
  <si>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</si>
  <si>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</si>
  <si>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</si>
  <si>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</si>
  <si>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</si>
  <si>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</si>
  <si>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</si>
  <si>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</si>
  <si>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</si>
  <si>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</si>
  <si>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</si>
  <si>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</si>
  <si>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</si>
  <si>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</si>
  <si>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</si>
  <si>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</si>
  <si>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</si>
  <si>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</si>
  <si>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</si>
  <si>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</si>
  <si>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</si>
  <si>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</si>
  <si>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</si>
  <si>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</si>
  <si>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</si>
  <si>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</si>
  <si>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</si>
  <si>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</si>
  <si>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</si>
  <si>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</si>
  <si>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</si>
  <si>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</si>
  <si>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</si>
  <si>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</si>
  <si>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</si>
  <si>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</si>
  <si>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</si>
  <si>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</si>
  <si>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</si>
  <si>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</si>
  <si>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</si>
  <si>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</si>
  <si>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</si>
  <si>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</si>
  <si>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</si>
  <si>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</si>
  <si>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</si>
  <si>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</si>
  <si>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</si>
  <si>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</si>
  <si>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</si>
  <si>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</si>
  <si>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</si>
  <si>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</si>
  <si>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</si>
  <si>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</si>
  <si>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</si>
  <si>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</si>
  <si>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</si>
  <si>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</si>
  <si>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</si>
  <si>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</si>
  <si>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</si>
  <si>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</si>
  <si>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</si>
  <si>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</si>
  <si>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</si>
  <si>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</si>
  <si>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</si>
  <si>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</si>
  <si>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</si>
  <si>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</si>
  <si>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</si>
  <si>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</si>
  <si>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</si>
  <si>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</si>
  <si>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</si>
  <si>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</si>
  <si>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</si>
  <si>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</si>
  <si>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</si>
  <si>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</si>
  <si>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</si>
  <si>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</si>
  <si>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</si>
  <si>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</si>
  <si>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</si>
  <si>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</si>
  <si>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</si>
  <si>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</si>
  <si>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</si>
  <si>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</si>
  <si>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</si>
  <si>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</si>
  <si>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</si>
  <si>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</si>
  <si>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</si>
  <si>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</si>
  <si>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</si>
  <si>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</si>
  <si>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</si>
  <si>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</si>
  <si>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</si>
  <si>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</si>
  <si>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</si>
  <si>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</si>
  <si>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</si>
  <si>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</si>
  <si>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</si>
  <si>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</si>
  <si>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</si>
  <si>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</si>
  <si>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</si>
  <si>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</si>
  <si>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</si>
  <si>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</si>
  <si>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</si>
  <si>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</si>
  <si>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</si>
  <si>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</si>
  <si>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</si>
  <si>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</si>
  <si>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</si>
  <si>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</si>
  <si>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</si>
  <si>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</si>
  <si>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</si>
  <si>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</si>
  <si>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</si>
  <si>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</si>
  <si>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</si>
  <si>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</si>
  <si>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</si>
  <si>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</si>
  <si>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</si>
  <si>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</si>
  <si>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</si>
  <si>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</si>
  <si>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</si>
  <si>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</si>
  <si>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</si>
  <si>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</si>
  <si>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</si>
  <si>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</si>
  <si>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</si>
  <si>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</si>
  <si>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</si>
  <si>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</si>
  <si>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</si>
  <si>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</si>
  <si>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</si>
  <si>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</si>
  <si>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</si>
  <si>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</si>
  <si>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</si>
  <si>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</si>
  <si>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</si>
  <si>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</si>
  <si>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</si>
  <si>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</si>
  <si>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</si>
  <si>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</si>
  <si>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</si>
  <si>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</si>
  <si>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</si>
  <si>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</si>
  <si>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</si>
  <si>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</si>
  <si>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</si>
  <si>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</si>
  <si>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</si>
  <si>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</si>
  <si>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</si>
  <si>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</si>
  <si>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</si>
  <si>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</si>
  <si>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</si>
  <si>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</si>
  <si>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</si>
  <si>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</si>
  <si>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</si>
  <si>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</si>
  <si>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</si>
  <si>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</si>
  <si>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</si>
  <si>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</si>
  <si>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</si>
  <si>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</si>
  <si>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</si>
  <si>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</si>
  <si>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</si>
  <si>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</si>
  <si>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</si>
  <si>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</si>
  <si>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</si>
  <si>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</si>
  <si>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</si>
  <si>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</si>
  <si>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</si>
  <si>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</si>
  <si>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</si>
  <si>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</si>
  <si>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</si>
  <si>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</si>
  <si>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</si>
  <si>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</si>
  <si>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</si>
  <si>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</si>
  <si>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</si>
  <si>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</si>
  <si>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</si>
  <si>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</si>
  <si>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</si>
  <si>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</si>
  <si>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</si>
  <si>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</si>
  <si>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</si>
  <si>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</si>
  <si>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</si>
  <si>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</si>
  <si>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</si>
  <si>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</si>
  <si>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</si>
  <si>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</si>
  <si>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</si>
  <si>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</si>
  <si>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</si>
  <si>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</si>
  <si>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</si>
  <si>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</si>
  <si>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</si>
  <si>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</si>
  <si>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</si>
  <si>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</si>
  <si>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</si>
  <si>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</si>
  <si>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</si>
  <si>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</si>
  <si>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</si>
  <si>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</si>
  <si>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</si>
  <si>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</si>
  <si>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</si>
  <si>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</si>
  <si>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</si>
  <si>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</si>
  <si>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</si>
  <si>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</si>
  <si>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</si>
  <si>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</si>
  <si>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</si>
  <si>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</si>
  <si>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</si>
  <si>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</si>
  <si>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</si>
  <si>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</si>
  <si>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</si>
  <si>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</si>
  <si>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</si>
  <si>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</si>
  <si>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</si>
  <si>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</si>
  <si>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</si>
  <si>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</si>
  <si>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</si>
  <si>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</si>
  <si>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</si>
  <si>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</si>
  <si>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</si>
  <si>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</si>
  <si>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</si>
  <si>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</si>
  <si>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</si>
  <si>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</si>
  <si>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</si>
  <si>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</si>
  <si>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</si>
  <si>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</si>
  <si>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</si>
  <si>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</si>
  <si>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</si>
  <si>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</si>
  <si>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</si>
  <si>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</si>
  <si>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</si>
  <si>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</si>
  <si>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</si>
  <si>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</si>
  <si>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</si>
  <si>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</si>
  <si>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</si>
  <si>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</si>
  <si>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</si>
  <si>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</si>
  <si>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</si>
  <si>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</si>
  <si>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</si>
  <si>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</si>
  <si>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</si>
  <si>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</si>
  <si>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</si>
  <si>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</si>
  <si>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</si>
  <si>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</si>
  <si>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</si>
  <si>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</si>
  <si>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</si>
  <si>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</si>
  <si>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</si>
  <si>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</si>
  <si>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</si>
  <si>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</si>
  <si>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</si>
  <si>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</si>
  <si>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</si>
  <si>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</si>
  <si>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</si>
  <si>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</si>
  <si>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</si>
  <si>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</si>
  <si>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</si>
  <si>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</si>
  <si>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</si>
  <si>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</si>
  <si>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</si>
  <si>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</si>
  <si>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</si>
  <si>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</si>
  <si>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</si>
  <si>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</si>
  <si>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</si>
  <si>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</si>
  <si>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</si>
  <si>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</si>
  <si>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</si>
  <si>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</si>
  <si>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</si>
  <si>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</si>
  <si>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</si>
  <si>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</si>
  <si>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</si>
  <si>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</si>
  <si>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</si>
  <si>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</si>
  <si>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</si>
  <si>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</si>
  <si>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</si>
  <si>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</si>
  <si>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</si>
  <si>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</si>
  <si>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</si>
  <si>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</si>
  <si>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</si>
  <si>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</si>
  <si>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</si>
  <si>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</si>
  <si>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</si>
  <si>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</si>
  <si>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</si>
  <si>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</si>
  <si>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</si>
  <si>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</si>
  <si>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</si>
  <si>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</si>
  <si>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</si>
  <si>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</si>
  <si>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</si>
  <si>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</si>
  <si>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</si>
  <si>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</si>
  <si>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</si>
  <si>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</si>
  <si>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</si>
  <si>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</si>
  <si>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</si>
  <si>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</si>
  <si>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</si>
  <si>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</si>
  <si>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</si>
  <si>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</si>
  <si>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</si>
  <si>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</si>
  <si>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</si>
  <si>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</si>
  <si>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</si>
  <si>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</si>
  <si>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</si>
  <si>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</si>
  <si>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</si>
  <si>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</si>
  <si>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</si>
  <si>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</si>
  <si>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</si>
  <si>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</si>
  <si>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</si>
  <si>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</si>
  <si>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</si>
  <si>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</si>
  <si>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</si>
  <si>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</si>
  <si>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</si>
  <si>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</si>
  <si>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</si>
  <si>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</si>
  <si>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</si>
  <si>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</si>
  <si>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</si>
  <si>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</si>
  <si>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</si>
  <si>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</si>
  <si>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</si>
  <si>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</si>
  <si>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</si>
  <si>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</si>
  <si>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</si>
  <si>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</si>
  <si>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</si>
  <si>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</si>
  <si>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</si>
  <si>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</si>
  <si>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</si>
  <si>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</si>
  <si>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</si>
  <si>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</si>
  <si>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</si>
  <si>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</si>
  <si>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</si>
  <si>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</si>
  <si>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</si>
  <si>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</si>
  <si>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</si>
  <si>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</si>
  <si>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</si>
  <si>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</si>
  <si>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</si>
  <si>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</si>
  <si>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</si>
  <si>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</si>
  <si>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</si>
  <si>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</si>
  <si>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</si>
  <si>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</si>
  <si>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</si>
  <si>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</si>
  <si>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</si>
  <si>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</si>
  <si>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</si>
  <si>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</si>
  <si>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</si>
  <si>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</si>
  <si>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</si>
  <si>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</si>
  <si>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</si>
  <si>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</si>
  <si>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</si>
  <si>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</si>
  <si>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</si>
  <si>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</si>
  <si>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</si>
  <si>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</si>
  <si>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</si>
  <si>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</si>
  <si>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</si>
  <si>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</si>
  <si>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</si>
  <si>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</si>
  <si>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</si>
  <si>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</si>
  <si>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</si>
  <si>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</si>
  <si>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</si>
  <si>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</si>
  <si>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</si>
  <si>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</si>
  <si>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</si>
  <si>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</si>
  <si>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</si>
  <si>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</si>
  <si>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</si>
  <si>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</si>
  <si>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</si>
  <si>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</si>
  <si>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</si>
  <si>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</si>
  <si>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</si>
  <si>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</si>
  <si>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</si>
  <si>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</si>
  <si>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</si>
  <si>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</si>
  <si>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</si>
  <si>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</si>
  <si>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</si>
  <si>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</si>
  <si>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</si>
  <si>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</si>
  <si>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</si>
  <si>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</si>
  <si>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</si>
  <si>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</si>
  <si>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</si>
  <si>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</si>
  <si>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</si>
  <si>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</si>
  <si>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</si>
  <si>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</si>
  <si>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</si>
  <si>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</si>
  <si>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</si>
  <si>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</si>
  <si>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</si>
  <si>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</si>
  <si>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</si>
  <si>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</si>
  <si>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</si>
  <si>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</si>
  <si>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</si>
  <si>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</si>
  <si>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</si>
  <si>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</si>
  <si>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</si>
  <si>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</si>
  <si>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</si>
  <si>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</si>
  <si>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</si>
  <si>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</si>
  <si>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</si>
  <si>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</si>
  <si>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</si>
  <si>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</si>
  <si>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</si>
  <si>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</si>
  <si>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</si>
  <si>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</si>
  <si>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</si>
  <si>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</si>
  <si>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</si>
  <si>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</si>
  <si>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</si>
  <si>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</si>
  <si>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</si>
  <si>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</si>
  <si>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</si>
  <si>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</si>
  <si>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</si>
  <si>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</si>
  <si>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</si>
  <si>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</si>
  <si>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</si>
  <si>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</si>
  <si>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</si>
  <si>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</si>
  <si>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</si>
  <si>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</si>
  <si>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</si>
  <si>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</si>
  <si>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</si>
  <si>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</si>
  <si>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</si>
  <si>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</si>
  <si>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</si>
  <si>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</si>
  <si>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</si>
  <si>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</si>
  <si>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</si>
  <si>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</si>
  <si>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</si>
  <si>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</si>
  <si>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</si>
  <si>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</si>
  <si>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</si>
  <si>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</si>
  <si>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</si>
  <si>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</si>
  <si>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</si>
  <si>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</si>
  <si>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</si>
  <si>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</si>
  <si>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</si>
  <si>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</si>
  <si>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</si>
  <si>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</si>
  <si>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</si>
  <si>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</si>
  <si>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</si>
  <si>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</si>
  <si>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</si>
  <si>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</si>
  <si>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</si>
  <si>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</si>
  <si>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</si>
  <si>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</si>
  <si>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</si>
  <si>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</si>
  <si>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</si>
  <si>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</si>
  <si>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</si>
  <si>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</si>
  <si>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</si>
  <si>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</si>
  <si>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</si>
  <si>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</si>
  <si>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</si>
  <si>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</si>
  <si>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</si>
  <si>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</si>
  <si>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</si>
  <si>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</si>
  <si>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</si>
  <si>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</si>
  <si>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</si>
  <si>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</si>
  <si>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</si>
  <si>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</si>
  <si>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</si>
  <si>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</si>
  <si>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</si>
  <si>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</si>
  <si>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</si>
  <si>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</si>
  <si>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</si>
  <si>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</si>
  <si>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</si>
  <si>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</si>
  <si>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</si>
  <si>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</si>
  <si>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</si>
  <si>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</si>
  <si>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</si>
  <si>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</si>
  <si>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</si>
  <si>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</si>
  <si>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</si>
  <si>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</si>
  <si>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</si>
  <si>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</si>
  <si>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</si>
  <si>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</si>
  <si>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</si>
  <si>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</si>
  <si>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</si>
  <si>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</si>
  <si>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</si>
  <si>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</si>
  <si>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</si>
  <si>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</si>
  <si>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</si>
  <si>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</si>
  <si>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</si>
  <si>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</si>
  <si>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</si>
  <si>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</si>
  <si>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</si>
  <si>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</si>
  <si>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</si>
  <si>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</si>
  <si>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</si>
  <si>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</si>
  <si>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</si>
  <si>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</si>
  <si>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</si>
  <si>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</si>
  <si>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</si>
  <si>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</si>
  <si>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</si>
  <si>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</si>
  <si>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</si>
  <si>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</si>
  <si>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</si>
  <si>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</si>
  <si>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</si>
  <si>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</si>
  <si>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</si>
  <si>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</si>
  <si>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</si>
  <si>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</si>
  <si>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</si>
  <si>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</si>
  <si>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</si>
  <si>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</si>
  <si>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</si>
  <si>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</si>
  <si>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</si>
  <si>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</si>
  <si>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</si>
  <si>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</si>
  <si>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</si>
  <si>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</si>
  <si>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</si>
  <si>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</si>
  <si>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</si>
  <si>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</si>
  <si>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</si>
  <si>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</si>
  <si>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</si>
  <si>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</si>
  <si>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</si>
  <si>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</si>
  <si>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</si>
  <si>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</si>
  <si>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</si>
  <si>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</si>
  <si>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</si>
  <si>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</si>
  <si>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</si>
  <si>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</si>
  <si>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</si>
  <si>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</si>
  <si>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</si>
  <si>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</si>
  <si>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</si>
  <si>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</si>
  <si>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</si>
  <si>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</si>
  <si>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</si>
  <si>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</si>
  <si>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</si>
  <si>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</si>
  <si>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</si>
  <si>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</si>
  <si>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</si>
  <si>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</si>
  <si>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</si>
  <si>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</si>
  <si>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</si>
  <si>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</si>
  <si>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</si>
  <si>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</si>
  <si>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</si>
  <si>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</si>
  <si>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</si>
  <si>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</si>
  <si>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</si>
  <si>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</si>
  <si>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</si>
  <si>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</si>
  <si>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</si>
  <si>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</si>
  <si>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</si>
  <si>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</si>
  <si>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</si>
  <si>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</si>
  <si>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</si>
  <si>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</si>
  <si>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</si>
  <si>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</si>
  <si>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</si>
  <si>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</si>
  <si>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</si>
  <si>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</si>
  <si>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</si>
  <si>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</si>
  <si>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</si>
  <si>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</si>
  <si>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</si>
  <si>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</si>
  <si>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</si>
  <si>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</si>
  <si>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</si>
  <si>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</si>
  <si>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</si>
  <si>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</si>
  <si>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</si>
  <si>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</si>
  <si>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</si>
  <si>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</si>
  <si>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</si>
  <si>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</si>
  <si>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</si>
  <si>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</si>
  <si>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</si>
  <si>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</si>
  <si>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</si>
  <si>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</si>
  <si>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</si>
  <si>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</si>
  <si>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</si>
  <si>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</si>
  <si>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</si>
  <si>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</si>
  <si>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</si>
  <si>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</si>
  <si>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</si>
  <si>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</si>
  <si>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</si>
  <si>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</si>
  <si>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</si>
  <si>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</si>
  <si>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</si>
  <si>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</si>
  <si>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</si>
  <si>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</si>
  <si>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</si>
  <si>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</si>
  <si>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</si>
  <si>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</si>
  <si>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</si>
  <si>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</si>
  <si>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</si>
  <si>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</si>
  <si>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</si>
  <si>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</si>
  <si>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</si>
  <si>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</si>
  <si>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</si>
  <si>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</si>
  <si>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</si>
  <si>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</si>
  <si>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</si>
  <si>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</si>
  <si>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</si>
  <si>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</si>
  <si>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</si>
  <si>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</si>
  <si>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</si>
  <si>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</si>
  <si>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</si>
  <si>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</si>
  <si>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</si>
  <si>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</si>
  <si>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</si>
  <si>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</si>
  <si>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</si>
  <si>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</si>
  <si>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</si>
  <si>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</si>
  <si>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</si>
  <si>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</si>
  <si>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</si>
  <si>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</si>
  <si>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</si>
  <si>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</si>
  <si>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</si>
  <si>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</si>
  <si>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</si>
  <si>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</si>
  <si>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</si>
  <si>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</si>
  <si>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</si>
  <si>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</si>
  <si>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</si>
  <si>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</si>
  <si>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</si>
  <si>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</si>
  <si>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</si>
  <si>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</si>
  <si>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</si>
  <si>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</si>
  <si>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</si>
  <si>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</si>
  <si>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</si>
  <si>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</si>
  <si>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</si>
  <si>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</si>
  <si>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</si>
  <si>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</si>
  <si>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</si>
  <si>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</si>
  <si>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</si>
  <si>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</si>
  <si>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</si>
  <si>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</si>
  <si>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</si>
  <si>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</si>
  <si>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</si>
  <si>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</si>
  <si>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</si>
  <si>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</si>
  <si>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</si>
  <si>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</si>
  <si>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</si>
  <si>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</si>
  <si>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</si>
  <si>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</si>
  <si>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</si>
  <si>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</si>
  <si>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</si>
  <si>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</si>
  <si>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</si>
  <si>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</si>
  <si>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</si>
  <si>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</si>
  <si>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</si>
  <si>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</si>
  <si>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</si>
  <si>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</si>
  <si>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</si>
  <si>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</si>
  <si>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</si>
  <si>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</si>
  <si>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</si>
  <si>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</si>
  <si>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</si>
  <si>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</si>
  <si>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</si>
  <si>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</si>
  <si>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</si>
  <si>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</si>
  <si>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</si>
  <si>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</si>
  <si>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</si>
  <si>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</si>
  <si>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</si>
  <si>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</si>
  <si>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</si>
  <si>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</si>
  <si>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</si>
  <si>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</si>
  <si>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</si>
  <si>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</si>
  <si>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</si>
  <si>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</si>
  <si>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</si>
  <si>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</si>
  <si>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</si>
  <si>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</si>
  <si>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</si>
  <si>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</si>
  <si>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</si>
  <si>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</si>
  <si>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</si>
  <si>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</si>
  <si>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</si>
  <si>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</si>
  <si>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</si>
  <si>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</si>
  <si>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</si>
  <si>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</si>
  <si>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</si>
  <si>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</si>
  <si>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</si>
  <si>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</si>
  <si>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</si>
  <si>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</si>
  <si>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</si>
  <si>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</si>
  <si>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</si>
  <si>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</si>
  <si>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</si>
  <si>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</si>
  <si>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</si>
  <si>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</si>
  <si>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</si>
  <si>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</si>
  <si>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</si>
  <si>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</si>
  <si>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</si>
  <si>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</si>
  <si>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</si>
  <si>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</si>
  <si>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</si>
  <si>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</si>
  <si>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</si>
  <si>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</si>
  <si>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</si>
  <si>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</si>
  <si>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</si>
  <si>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</si>
  <si>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</si>
  <si>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</si>
  <si>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</si>
  <si>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</si>
  <si>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</si>
  <si>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</si>
  <si>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</si>
  <si>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</si>
  <si>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</si>
  <si>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</si>
  <si>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</si>
  <si>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</si>
  <si>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</si>
  <si>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</si>
  <si>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</si>
  <si>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</si>
  <si>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</si>
  <si>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</si>
  <si>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</si>
  <si>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</si>
  <si>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</si>
  <si>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</si>
  <si>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</si>
  <si>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</si>
  <si>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</si>
  <si>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</si>
  <si>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</si>
  <si>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</si>
  <si>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</si>
  <si>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</si>
  <si>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</si>
  <si>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</si>
  <si>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</si>
  <si>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</si>
  <si>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</si>
  <si>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</si>
  <si>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</si>
  <si>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</si>
  <si>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</si>
  <si>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</si>
  <si>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</si>
  <si>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</si>
  <si>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</si>
  <si>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</si>
  <si>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</si>
  <si>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</si>
  <si>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</si>
  <si>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</si>
  <si>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</si>
  <si>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</si>
  <si>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</si>
  <si>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</si>
  <si>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</si>
  <si>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</si>
  <si>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</si>
  <si>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</si>
  <si>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</si>
  <si>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</si>
  <si>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</si>
  <si>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</si>
  <si>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</si>
  <si>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</si>
  <si>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</si>
  <si>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</si>
  <si>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</si>
  <si>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</si>
  <si>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</si>
  <si>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</si>
  <si>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</si>
  <si>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</si>
  <si>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</si>
  <si>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</si>
  <si>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</si>
  <si>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</si>
  <si>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</si>
  <si>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</si>
  <si>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</si>
  <si>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</si>
  <si>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</si>
  <si>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</si>
  <si>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</si>
  <si>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</si>
  <si>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</si>
  <si>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</si>
  <si>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</si>
  <si>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</si>
  <si>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</si>
  <si>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</si>
  <si>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</si>
  <si>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</si>
  <si>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</si>
  <si>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</si>
  <si>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</si>
  <si>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</si>
  <si>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</si>
  <si>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</si>
  <si>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</si>
  <si>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</si>
  <si>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</si>
  <si>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</si>
  <si>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</si>
  <si>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</si>
  <si>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</si>
  <si>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</si>
  <si>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</si>
  <si>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</si>
  <si>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</si>
  <si>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</si>
  <si>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</si>
  <si>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</si>
  <si>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</si>
  <si>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</si>
  <si>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</si>
  <si>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</si>
  <si>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</si>
  <si>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</si>
  <si>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</si>
  <si>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</si>
  <si>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</si>
  <si>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</si>
  <si>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</si>
  <si>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</si>
  <si>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</si>
  <si>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</si>
  <si>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</si>
  <si>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</si>
  <si>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</si>
  <si>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</si>
  <si>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</si>
  <si>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</si>
  <si>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</si>
  <si>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</si>
  <si>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</si>
  <si>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</si>
  <si>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</si>
  <si>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</si>
  <si>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</si>
  <si>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</si>
  <si>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</si>
  <si>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</si>
  <si>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</si>
  <si>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</si>
  <si>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</si>
  <si>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</si>
  <si>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</si>
  <si>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</si>
  <si>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</si>
  <si>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</si>
  <si>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</si>
  <si>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</si>
  <si>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</si>
  <si>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</si>
  <si>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</si>
  <si>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</si>
  <si>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</si>
  <si>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</si>
  <si>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</si>
  <si>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</si>
  <si>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</si>
  <si>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</si>
  <si>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</si>
  <si>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</si>
  <si>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</si>
  <si>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</si>
  <si>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</si>
  <si>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</si>
  <si>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</si>
  <si>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</si>
  <si>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</si>
  <si>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</si>
  <si>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</si>
  <si>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</si>
  <si>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</si>
  <si>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</si>
  <si>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</si>
  <si>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</si>
  <si>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</si>
  <si>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</si>
  <si>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</si>
  <si>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</si>
  <si>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</si>
  <si>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</si>
  <si>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</si>
  <si>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</si>
  <si>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</si>
  <si>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</si>
  <si>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</si>
  <si>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</si>
  <si>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</si>
  <si>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</si>
  <si>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</si>
  <si>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</si>
  <si>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</si>
  <si>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</si>
  <si>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</si>
  <si>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</si>
  <si>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</si>
  <si>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</si>
  <si>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</si>
  <si>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</si>
  <si>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</si>
  <si>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</si>
  <si>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</si>
  <si>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</si>
  <si>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</si>
  <si>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</si>
  <si>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</si>
  <si>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</si>
  <si>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</si>
  <si>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</si>
  <si>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</si>
  <si>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</si>
  <si>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</si>
  <si>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</si>
  <si>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</si>
  <si>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</si>
  <si>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</si>
  <si>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</si>
  <si>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</si>
  <si>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</si>
  <si>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</si>
  <si>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</si>
  <si>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</si>
  <si>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</si>
  <si>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</si>
  <si>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</si>
  <si>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</si>
  <si>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</si>
  <si>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</si>
  <si>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</si>
  <si>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</si>
  <si>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</si>
  <si>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</si>
  <si>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</si>
  <si>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</si>
  <si>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</si>
  <si>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</si>
  <si>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</si>
  <si>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</si>
  <si>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</si>
  <si>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</si>
  <si>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</si>
  <si>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</si>
  <si>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</si>
  <si>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</si>
  <si>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</si>
  <si>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</si>
  <si>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</si>
  <si>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</si>
  <si>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</si>
  <si>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</si>
  <si>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</si>
  <si>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</si>
  <si>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</si>
  <si>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</si>
  <si>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</si>
  <si>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</si>
  <si>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</si>
  <si>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</si>
  <si>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</si>
  <si>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</si>
  <si>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</si>
  <si>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</si>
  <si>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</si>
  <si>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</si>
  <si>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</si>
  <si>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</si>
  <si>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</si>
  <si>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</si>
  <si>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</si>
  <si>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</si>
  <si>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</si>
  <si>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</si>
  <si>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</si>
  <si>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</si>
  <si>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</si>
  <si>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</si>
  <si>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</si>
  <si>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</si>
  <si>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</si>
  <si>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</si>
  <si>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</si>
  <si>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</si>
  <si>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</si>
  <si>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</si>
  <si>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</si>
  <si>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</si>
  <si>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</si>
  <si>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</si>
  <si>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</si>
  <si>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</si>
  <si>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</si>
  <si>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</si>
  <si>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</si>
  <si>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</si>
  <si>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</si>
  <si>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</si>
  <si>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</si>
  <si>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</si>
  <si>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</si>
  <si>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</si>
  <si>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</si>
  <si>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</si>
  <si>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</si>
  <si>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</si>
  <si>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</si>
  <si>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</si>
  <si>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</si>
  <si>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</si>
  <si>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</si>
  <si>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</si>
  <si>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</si>
  <si>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</si>
  <si>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</si>
  <si>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</si>
  <si>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</si>
  <si>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</si>
  <si>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</si>
  <si>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</si>
  <si>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</si>
  <si>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</si>
  <si>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</si>
  <si>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</si>
  <si>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</si>
  <si>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</si>
  <si>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</si>
  <si>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</si>
  <si>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</si>
  <si>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</si>
  <si>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</si>
  <si>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</si>
  <si>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</si>
  <si>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</si>
  <si>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</si>
  <si>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</si>
  <si>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</si>
  <si>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</si>
  <si>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</si>
  <si>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</si>
  <si>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</si>
  <si>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</si>
  <si>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</si>
  <si>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</si>
  <si>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</si>
  <si>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</si>
  <si>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</si>
  <si>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</si>
  <si>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</si>
  <si>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</si>
  <si>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</si>
  <si>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</si>
  <si>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</si>
  <si>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</si>
  <si>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</si>
  <si>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</si>
  <si>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</si>
  <si>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</si>
  <si>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</si>
  <si>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</si>
  <si>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</si>
  <si>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</si>
  <si>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</si>
  <si>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</si>
  <si>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</si>
  <si>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</si>
  <si>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</si>
  <si>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</si>
  <si>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</si>
  <si>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</si>
  <si>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</si>
  <si>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</si>
  <si>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</si>
  <si>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</si>
  <si>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</si>
  <si>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</si>
  <si>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</si>
  <si>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</si>
  <si>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</si>
  <si>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</si>
  <si>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</si>
  <si>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</si>
  <si>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</si>
  <si>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</si>
  <si>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</si>
  <si>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</si>
  <si>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</si>
  <si>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</si>
  <si>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</si>
  <si>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</si>
  <si>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</si>
  <si>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</si>
  <si>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</si>
  <si>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</si>
  <si>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</si>
  <si>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</si>
  <si>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</si>
  <si>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</si>
  <si>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</si>
  <si>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</si>
  <si>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</si>
  <si>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</si>
  <si>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</si>
  <si>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</si>
  <si>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</si>
  <si>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</si>
  <si>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</si>
  <si>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</si>
  <si>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</si>
  <si>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</si>
  <si>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</si>
  <si>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</si>
  <si>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</si>
  <si>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</si>
  <si>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</si>
  <si>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</si>
  <si>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</si>
  <si>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</si>
  <si>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</si>
  <si>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</si>
  <si>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</si>
  <si>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</si>
  <si>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</si>
  <si>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</si>
  <si>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</si>
  <si>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</si>
  <si>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</si>
  <si>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</si>
  <si>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</si>
  <si>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</si>
  <si>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</si>
  <si>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</si>
  <si>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</si>
  <si>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</si>
  <si>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</si>
  <si>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</si>
  <si>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</si>
  <si>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</si>
  <si>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</si>
  <si>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</si>
  <si>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</si>
  <si>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</si>
  <si>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</si>
  <si>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</si>
  <si>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</si>
  <si>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</si>
  <si>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</si>
  <si>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</si>
  <si>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</si>
  <si>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</si>
  <si>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</si>
  <si>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</si>
  <si>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</si>
  <si>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</si>
  <si>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</si>
  <si>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</si>
  <si>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</si>
  <si>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</si>
  <si>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</si>
  <si>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</si>
  <si>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</si>
  <si>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</si>
  <si>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</si>
  <si>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</si>
  <si>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</si>
  <si>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</si>
  <si>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</si>
  <si>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</si>
  <si>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</si>
  <si>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</si>
  <si>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</si>
  <si>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</si>
  <si>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</si>
  <si>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</si>
  <si>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</si>
  <si>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</si>
  <si>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</si>
  <si>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</si>
  <si>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</si>
  <si>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</si>
  <si>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</si>
  <si>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</si>
  <si>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</si>
  <si>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</si>
  <si>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</si>
  <si>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</si>
  <si>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</si>
  <si>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</si>
  <si>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</si>
  <si>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</si>
  <si>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</si>
  <si>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</si>
  <si>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</si>
  <si>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</si>
  <si>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</si>
  <si>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</si>
  <si>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</si>
  <si>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</si>
  <si>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</si>
  <si>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</si>
  <si>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</si>
  <si>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</si>
  <si>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</si>
  <si>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</si>
  <si>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</si>
  <si>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</si>
  <si>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</si>
  <si>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</si>
  <si>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</si>
  <si>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</si>
  <si>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</si>
  <si>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</si>
  <si>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</si>
  <si>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</si>
  <si>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</si>
  <si>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</si>
  <si>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</si>
  <si>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</si>
  <si>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</si>
  <si>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</si>
  <si>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</si>
  <si>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</si>
  <si>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</si>
  <si>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</si>
  <si>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</si>
  <si>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</si>
  <si>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</si>
  <si>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</si>
  <si>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</si>
  <si>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</si>
  <si>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</si>
  <si>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</si>
  <si>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</si>
  <si>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</si>
  <si>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</si>
  <si>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</si>
  <si>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</si>
  <si>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</si>
  <si>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</si>
  <si>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</si>
  <si>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</si>
  <si>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</si>
  <si>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</si>
  <si>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</si>
  <si>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</si>
  <si>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</si>
  <si>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</si>
  <si>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</si>
  <si>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</si>
  <si>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</si>
  <si>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</si>
  <si>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</si>
  <si>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</si>
  <si>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</si>
  <si>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</si>
  <si>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</si>
  <si>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</si>
  <si>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</si>
  <si>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</si>
  <si>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</si>
  <si>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</si>
  <si>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</si>
  <si>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</si>
  <si>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</si>
  <si>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</si>
  <si>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</si>
  <si>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</si>
  <si>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</si>
  <si>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</si>
  <si>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</si>
  <si>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</si>
  <si>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</si>
  <si>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</si>
  <si>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</si>
  <si>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</si>
  <si>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</si>
  <si>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</si>
  <si>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</si>
  <si>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</si>
  <si>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</si>
  <si>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</si>
  <si>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</si>
  <si>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</si>
  <si>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</si>
  <si>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</si>
  <si>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</si>
  <si>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</si>
  <si>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</si>
  <si>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</si>
  <si>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</si>
  <si>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</si>
  <si>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</si>
  <si>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</si>
  <si>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</si>
  <si>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</si>
  <si>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</si>
  <si>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</si>
  <si>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</si>
  <si>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</si>
  <si>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</si>
  <si>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</si>
  <si>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</si>
  <si>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</si>
  <si>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</si>
  <si>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</si>
  <si>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</si>
  <si>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</si>
  <si>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</si>
  <si>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</si>
  <si>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</si>
  <si>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</si>
  <si>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</si>
  <si>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</si>
  <si>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</si>
  <si>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</si>
  <si>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</si>
  <si>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</si>
  <si>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</si>
  <si>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</si>
  <si>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</si>
  <si>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</si>
  <si>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</si>
  <si>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</si>
  <si>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</si>
  <si>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</si>
  <si>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</si>
  <si>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</si>
  <si>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</si>
  <si>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</si>
  <si>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</si>
  <si>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</si>
  <si>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</si>
  <si>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</si>
  <si>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</si>
  <si>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</si>
  <si>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</si>
  <si>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</si>
  <si>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</si>
  <si>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</si>
  <si>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</si>
  <si>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</si>
  <si>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</si>
  <si>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</si>
  <si>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</si>
  <si>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</si>
  <si>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</si>
  <si>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</si>
  <si>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</si>
  <si>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</si>
  <si>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</si>
  <si>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</si>
  <si>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</si>
  <si>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</si>
  <si>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</si>
  <si>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</si>
  <si>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</si>
  <si>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</si>
  <si>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</si>
  <si>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</si>
  <si>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</si>
  <si>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</si>
  <si>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</si>
  <si>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</si>
  <si>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</si>
  <si>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</si>
  <si>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</si>
  <si>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</si>
  <si>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</si>
  <si>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</si>
  <si>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</si>
  <si>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</si>
  <si>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</si>
  <si>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</si>
  <si>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</si>
  <si>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</si>
  <si>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</si>
  <si>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</si>
  <si>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</si>
  <si>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</si>
  <si>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</si>
  <si>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</si>
  <si>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</si>
  <si>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</si>
  <si>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</si>
  <si>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</si>
  <si>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</si>
  <si>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</si>
  <si>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</si>
  <si>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</si>
  <si>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</si>
  <si>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</si>
  <si>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</si>
  <si>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</si>
  <si>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</si>
  <si>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</si>
  <si>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</si>
  <si>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</si>
  <si>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</si>
  <si>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</si>
  <si>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</si>
  <si>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</si>
  <si>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</si>
  <si>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</si>
  <si>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</si>
  <si>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</si>
  <si>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</si>
  <si>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</si>
  <si>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</si>
  <si>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</si>
  <si>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</si>
  <si>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</si>
  <si>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</si>
  <si>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</si>
  <si>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</si>
  <si>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</si>
  <si>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</si>
  <si>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</si>
  <si>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</si>
  <si>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</si>
  <si>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</si>
  <si>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</si>
  <si>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</si>
  <si>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</si>
  <si>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</si>
  <si>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</si>
  <si>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</si>
  <si>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</si>
  <si>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</si>
  <si>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</si>
  <si>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</si>
  <si>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</si>
  <si>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</si>
  <si>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</si>
  <si>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</si>
  <si>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</si>
  <si>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</si>
  <si>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</si>
  <si>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</si>
  <si>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</si>
  <si>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</si>
  <si>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</si>
  <si>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</si>
  <si>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</si>
  <si>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</si>
  <si>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</si>
  <si>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</si>
  <si>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</si>
  <si>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</si>
  <si>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</si>
  <si>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</si>
  <si>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</si>
  <si>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</si>
  <si>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</si>
  <si>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</si>
  <si>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</si>
  <si>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</si>
  <si>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</si>
  <si>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</si>
  <si>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</si>
  <si>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</si>
  <si>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</si>
  <si>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</si>
  <si>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</si>
  <si>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</si>
  <si>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</si>
  <si>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</si>
  <si>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</si>
  <si>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</si>
  <si>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</si>
  <si>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</si>
  <si>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</si>
  <si>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</si>
  <si>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</si>
  <si>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</si>
  <si>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</si>
  <si>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</si>
  <si>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</si>
  <si>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</si>
  <si>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</si>
  <si>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</si>
  <si>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</si>
  <si>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</si>
  <si>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</si>
  <si>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</si>
  <si>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</si>
  <si>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</si>
  <si>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</si>
  <si>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</si>
  <si>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</si>
  <si>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</si>
  <si>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</si>
  <si>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</si>
  <si>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</si>
  <si>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</si>
  <si>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</si>
  <si>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</si>
  <si>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</si>
  <si>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</si>
  <si>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</si>
  <si>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</si>
  <si>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</si>
  <si>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</si>
  <si>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</si>
  <si>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</si>
  <si>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</si>
  <si>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</si>
  <si>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</si>
  <si>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</si>
  <si>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</si>
  <si>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</si>
  <si>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</si>
  <si>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</si>
  <si>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</si>
  <si>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</si>
  <si>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</si>
  <si>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</si>
  <si>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</si>
  <si>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</si>
  <si>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</si>
  <si>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</si>
  <si>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</si>
  <si>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</si>
  <si>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</si>
  <si>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</si>
  <si>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</si>
  <si>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</si>
  <si>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</si>
  <si>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</si>
  <si>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</si>
  <si>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</si>
  <si>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</si>
  <si>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</si>
  <si>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</si>
  <si>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</si>
  <si>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</si>
  <si>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</si>
  <si>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</si>
  <si>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</si>
  <si>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</si>
  <si>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</si>
  <si>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</si>
  <si>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</si>
  <si>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</si>
  <si>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</si>
  <si>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</si>
  <si>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</si>
  <si>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</si>
  <si>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</si>
  <si>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</si>
  <si>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</si>
  <si>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</si>
  <si>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</si>
  <si>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</si>
  <si>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</si>
  <si>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</si>
  <si>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</si>
  <si>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</si>
  <si>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</si>
  <si>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</si>
  <si>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</si>
  <si>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</si>
  <si>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</si>
  <si>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</si>
  <si>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</si>
  <si>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</si>
  <si>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</si>
  <si>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</si>
  <si>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</si>
  <si>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</si>
  <si>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</si>
  <si>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</si>
  <si>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</si>
  <si>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</si>
  <si>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</si>
  <si>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</si>
  <si>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</si>
  <si>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</si>
  <si>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</si>
  <si>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</si>
  <si>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</si>
  <si>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</si>
  <si>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</si>
  <si>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</si>
  <si>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</si>
  <si>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</si>
  <si>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</si>
  <si>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</si>
  <si>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</si>
  <si>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</si>
  <si>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</si>
  <si>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</si>
  <si>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</si>
  <si>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</si>
  <si>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</si>
  <si>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</si>
  <si>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</si>
  <si>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</si>
  <si>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</si>
  <si>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</si>
  <si>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</si>
  <si>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</si>
  <si>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</si>
  <si>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</si>
  <si>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</si>
  <si>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</si>
  <si>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</si>
  <si>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</si>
  <si>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</si>
  <si>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</si>
  <si>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</si>
  <si>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</si>
  <si>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</si>
  <si>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</si>
  <si>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</si>
  <si>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</si>
  <si>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</si>
  <si>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</si>
  <si>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</si>
  <si>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</si>
  <si>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</si>
  <si>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</si>
  <si>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</si>
  <si>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</si>
  <si>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</si>
  <si>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</si>
  <si>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</si>
  <si>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</si>
  <si>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</si>
  <si>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</si>
  <si>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</si>
  <si>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</si>
  <si>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</si>
  <si>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</si>
  <si>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</si>
  <si>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</si>
  <si>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</si>
  <si>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</si>
  <si>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</si>
  <si>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</si>
  <si>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</si>
  <si>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</si>
  <si>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</si>
  <si>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</si>
  <si>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</si>
  <si>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</si>
  <si>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</si>
  <si>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</si>
  <si>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</si>
  <si>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</si>
  <si>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</si>
  <si>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</si>
  <si>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</si>
  <si>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</si>
  <si>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</si>
  <si>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</si>
  <si>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</si>
  <si>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</si>
  <si>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</si>
  <si>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</si>
  <si>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</si>
  <si>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</si>
  <si>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</si>
  <si>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</si>
  <si>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</si>
  <si>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</si>
  <si>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</si>
  <si>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</si>
  <si>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</si>
  <si>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</si>
  <si>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</si>
  <si>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</si>
  <si>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</si>
  <si>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</si>
  <si>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</si>
  <si>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</si>
  <si>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</si>
  <si>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</si>
  <si>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</si>
  <si>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</si>
  <si>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</si>
  <si>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</si>
  <si>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</si>
  <si>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</si>
  <si>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</si>
  <si>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</si>
  <si>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</si>
  <si>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</si>
  <si>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</si>
  <si>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</si>
  <si>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</si>
  <si>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</si>
  <si>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</si>
  <si>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</si>
  <si>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</si>
  <si>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</si>
  <si>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</si>
  <si>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</si>
  <si>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</si>
  <si>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</si>
  <si>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</si>
  <si>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</si>
  <si>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</si>
  <si>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</si>
  <si>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</si>
  <si>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</si>
  <si>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</si>
  <si>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</si>
  <si>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</si>
  <si>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</si>
  <si>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</si>
  <si>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</si>
  <si>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</si>
  <si>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</si>
  <si>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</si>
  <si>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</si>
  <si>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</si>
  <si>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</si>
  <si>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</si>
  <si>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</si>
  <si>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</si>
  <si>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</si>
  <si>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</si>
  <si>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</si>
  <si>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</si>
  <si>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</si>
  <si>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</si>
  <si>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</si>
  <si>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</si>
  <si>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</si>
  <si>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</si>
  <si>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</si>
  <si>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</si>
  <si>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</si>
  <si>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</si>
  <si>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</si>
  <si>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</si>
  <si>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</si>
  <si>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</si>
  <si>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</si>
  <si>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</si>
  <si>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</si>
  <si>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</si>
  <si>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</si>
  <si>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</si>
  <si>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</si>
  <si>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</si>
  <si>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</si>
  <si>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</si>
  <si>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</si>
  <si>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</si>
  <si>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</si>
  <si>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213577</t>
  </si>
  <si>
    <t xml:space="preserve">Shafi Terefe Kero</t>
  </si>
  <si>
    <t xml:space="preserve">3317 E Broad St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</si>
  <si>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</si>
  <si>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</si>
  <si>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</si>
  <si>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</si>
  <si>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</si>
  <si>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</si>
  <si>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</si>
  <si>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</si>
  <si>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</si>
  <si>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</si>
  <si>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</si>
  <si>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</si>
  <si>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</si>
  <si>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</si>
  <si>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</si>
  <si>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</si>
  <si>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</si>
  <si>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</si>
  <si>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</si>
  <si>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</si>
  <si>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</si>
  <si>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</si>
  <si>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</si>
  <si>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</si>
  <si>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</si>
  <si>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</si>
  <si>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</si>
  <si>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</si>
  <si>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</si>
  <si>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</si>
  <si>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</si>
  <si>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</si>
  <si>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</si>
  <si>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</si>
  <si>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</si>
  <si>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</si>
  <si>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</si>
  <si>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</si>
  <si>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</si>
  <si>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</si>
  <si>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</si>
  <si>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</si>
  <si>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</si>
  <si>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</si>
  <si>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</si>
  <si>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</si>
  <si>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</si>
  <si>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</si>
  <si>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</si>
  <si>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</si>
  <si>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</si>
  <si>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</si>
  <si>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</si>
  <si>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</si>
  <si>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</si>
  <si>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</si>
  <si>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</si>
  <si>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</si>
  <si>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</si>
  <si>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</si>
  <si>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</si>
  <si>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</si>
  <si>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</si>
  <si>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</si>
  <si>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</si>
  <si>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</si>
  <si>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</si>
  <si>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</si>
  <si>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</si>
  <si>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</si>
  <si>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</si>
  <si>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</si>
  <si>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</si>
  <si>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</si>
  <si>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</si>
  <si>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</si>
  <si>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</si>
  <si>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</si>
  <si>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</si>
  <si>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</si>
  <si>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</si>
  <si>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</si>
  <si>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</si>
  <si>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</si>
  <si>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</si>
  <si>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</si>
  <si>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</si>
  <si>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</si>
  <si>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</si>
  <si>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</si>
  <si>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</si>
  <si>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</si>
  <si>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</si>
  <si>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</si>
  <si>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</si>
  <si>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</si>
  <si>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</si>
  <si>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</si>
  <si>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</si>
  <si>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</si>
  <si>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</si>
  <si>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</si>
  <si>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</si>
  <si>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</si>
  <si>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</si>
  <si>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</si>
  <si>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</si>
  <si>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</si>
  <si>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</si>
  <si>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</si>
  <si>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</si>
  <si>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</si>
  <si>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</si>
  <si>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</si>
  <si>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</si>
  <si>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</si>
  <si>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</si>
  <si>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</si>
  <si>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</si>
  <si>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</si>
  <si>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</si>
  <si>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</si>
  <si>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</si>
  <si>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</si>
  <si>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</si>
  <si>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</si>
  <si>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</si>
  <si>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</si>
  <si>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</si>
  <si>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</si>
  <si>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</si>
  <si>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</si>
  <si>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</si>
  <si>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</si>
  <si>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</si>
  <si>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</si>
  <si>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</si>
  <si>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</si>
  <si>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</si>
  <si>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</si>
  <si>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</si>
  <si>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</si>
  <si>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</si>
  <si>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</si>
  <si>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</si>
  <si>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</si>
  <si>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</si>
  <si>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</si>
  <si>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</si>
  <si>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</si>
  <si>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</si>
  <si>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</si>
  <si>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</si>
  <si>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213484</t>
  </si>
  <si>
    <t xml:space="preserve">PHONE REPAIRS &amp; SPEAKERS STORE, LLC</t>
  </si>
  <si>
    <t xml:space="preserve">15715 Amar Rd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</si>
  <si>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</si>
  <si>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</si>
  <si>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</si>
  <si>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</si>
  <si>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</si>
  <si>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</si>
  <si>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</si>
  <si>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</si>
  <si>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</si>
  <si>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</si>
  <si>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</si>
  <si>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</si>
  <si>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</si>
  <si>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</si>
  <si>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</si>
  <si>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</si>
  <si>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</si>
  <si>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</si>
  <si>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</si>
  <si>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</si>
  <si>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</si>
  <si>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</si>
  <si>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</si>
  <si>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</si>
  <si>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</si>
  <si>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</si>
  <si>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</si>
  <si>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</si>
  <si>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</si>
  <si>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</si>
  <si>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</si>
  <si>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</si>
  <si>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</si>
  <si>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</si>
  <si>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</si>
  <si>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</si>
  <si>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</si>
  <si>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</si>
  <si>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</si>
  <si>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</si>
  <si>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</si>
  <si>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</si>
  <si>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</si>
  <si>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</si>
  <si>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</si>
  <si>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</si>
  <si>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</si>
  <si>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</si>
  <si>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</si>
  <si>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</si>
  <si>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</si>
  <si>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</si>
  <si>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</si>
  <si>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</si>
  <si>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</si>
  <si>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</si>
  <si>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</si>
  <si>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</si>
  <si>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</si>
  <si>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</si>
  <si>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</si>
  <si>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</si>
  <si>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</si>
  <si>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</si>
  <si>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</si>
  <si>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</si>
  <si>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</si>
  <si>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</si>
  <si>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</si>
  <si>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</si>
  <si>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</si>
  <si>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</si>
  <si>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</si>
  <si>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</si>
  <si>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</si>
  <si>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</si>
  <si>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</si>
  <si>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</si>
  <si>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</si>
  <si>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</si>
  <si>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</si>
  <si>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</si>
  <si>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</si>
  <si>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</si>
  <si>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</si>
  <si>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</si>
  <si>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</si>
  <si>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</si>
  <si>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</si>
  <si>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</si>
  <si>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</si>
  <si>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</si>
  <si>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</si>
  <si>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</si>
  <si>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</si>
  <si>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</si>
  <si>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</si>
  <si>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</si>
  <si>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</si>
  <si>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</si>
  <si>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</si>
  <si>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</si>
  <si>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</si>
  <si>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</si>
  <si>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</si>
  <si>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</si>
  <si>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</si>
  <si>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</si>
  <si>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</si>
  <si>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</si>
  <si>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</si>
  <si>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</si>
  <si>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</si>
  <si>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</si>
  <si>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</si>
  <si>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</si>
  <si>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</si>
  <si>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</si>
  <si>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</si>
  <si>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</si>
  <si>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</si>
  <si>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</si>
  <si>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</si>
  <si>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</si>
  <si>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</si>
  <si>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</si>
  <si>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</si>
  <si>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</si>
  <si>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</si>
  <si>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</si>
  <si>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</si>
  <si>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</si>
  <si>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</si>
  <si>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</si>
  <si>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</si>
  <si>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</si>
  <si>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</si>
  <si>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</si>
  <si>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</si>
  <si>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</si>
  <si>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</si>
  <si>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</si>
  <si>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</si>
  <si>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</si>
  <si>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</si>
  <si>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</si>
  <si>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</si>
  <si>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</si>
  <si>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</si>
  <si>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</si>
  <si>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</si>
  <si>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</si>
  <si>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</si>
  <si>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</si>
  <si>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</si>
  <si>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</si>
  <si>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</si>
  <si>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</si>
  <si>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</si>
  <si>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</si>
  <si>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</si>
  <si>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</si>
  <si>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</si>
  <si>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</si>
  <si>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</si>
  <si>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</si>
  <si>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</si>
  <si>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</si>
  <si>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</si>
  <si>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213388</t>
  </si>
  <si>
    <t xml:space="preserve">4320 S Alameda St</t>
  </si>
  <si>
    <t xml:space="preserve">78412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</si>
  <si>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</si>
  <si>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</si>
  <si>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</si>
  <si>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</si>
  <si>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</si>
  <si>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</si>
  <si>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</si>
  <si>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</si>
  <si>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</si>
  <si>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</si>
  <si>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</si>
  <si>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</si>
  <si>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</si>
  <si>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</si>
  <si>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</si>
  <si>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</si>
  <si>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</si>
  <si>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</si>
  <si>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</si>
  <si>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</si>
  <si>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</si>
  <si>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</si>
  <si>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</si>
  <si>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</si>
  <si>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</si>
  <si>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</si>
  <si>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</si>
  <si>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</si>
  <si>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</si>
  <si>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</si>
  <si>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</si>
  <si>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</si>
  <si>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</si>
  <si>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</si>
  <si>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</si>
  <si>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</si>
  <si>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</si>
  <si>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</si>
  <si>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</si>
  <si>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</si>
  <si>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</si>
  <si>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</si>
  <si>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</si>
  <si>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</si>
  <si>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</si>
  <si>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</si>
  <si>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</si>
  <si>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</si>
  <si>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</si>
  <si>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</si>
  <si>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</si>
  <si>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</si>
  <si>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</si>
  <si>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</si>
  <si>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</si>
  <si>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</si>
  <si>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</si>
  <si>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</si>
  <si>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</si>
  <si>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</si>
  <si>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</si>
  <si>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</si>
  <si>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</si>
  <si>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</si>
  <si>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</si>
  <si>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</si>
  <si>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</si>
  <si>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</si>
  <si>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</si>
  <si>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</si>
  <si>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</si>
  <si>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</si>
  <si>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</si>
  <si>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</si>
  <si>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</si>
  <si>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</si>
  <si>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</si>
  <si>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</si>
  <si>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</si>
  <si>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</si>
  <si>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</si>
  <si>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</si>
  <si>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</si>
  <si>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</si>
  <si>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</si>
  <si>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</si>
  <si>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</si>
  <si>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</si>
  <si>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</si>
  <si>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</si>
  <si>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</si>
  <si>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</si>
  <si>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</si>
  <si>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</si>
  <si>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</si>
  <si>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</si>
  <si>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</si>
  <si>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</si>
  <si>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</si>
  <si>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</si>
  <si>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</si>
  <si>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</si>
  <si>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</si>
  <si>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</si>
  <si>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</si>
  <si>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</si>
  <si>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</si>
  <si>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213332</t>
  </si>
  <si>
    <t xml:space="preserve">811 Avenue D</t>
  </si>
  <si>
    <t xml:space="preserve">77493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</si>
  <si>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</si>
  <si>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</si>
  <si>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</si>
  <si>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</si>
  <si>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</si>
  <si>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</si>
  <si>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</si>
  <si>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</si>
  <si>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</si>
  <si>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</si>
  <si>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</si>
  <si>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</si>
  <si>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</si>
  <si>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</si>
  <si>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</si>
  <si>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</si>
  <si>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</si>
  <si>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</si>
  <si>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</si>
  <si>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</si>
  <si>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</si>
  <si>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</si>
  <si>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</si>
  <si>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</si>
  <si>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</si>
  <si>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</si>
  <si>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</si>
  <si>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</si>
  <si>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</si>
  <si>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</si>
  <si>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</si>
  <si>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</si>
  <si>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</si>
  <si>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</si>
  <si>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</si>
  <si>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</si>
  <si>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</si>
  <si>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</si>
  <si>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</si>
  <si>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</si>
  <si>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</si>
  <si>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</si>
  <si>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</si>
  <si>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</si>
  <si>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</si>
  <si>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</si>
  <si>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</si>
  <si>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</si>
  <si>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</si>
  <si>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</si>
  <si>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</si>
  <si>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</si>
  <si>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</si>
  <si>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</si>
  <si>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</si>
  <si>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</si>
  <si>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</si>
  <si>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</si>
  <si>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</si>
  <si>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</si>
  <si>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</si>
  <si>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</si>
  <si>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</si>
  <si>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</si>
  <si>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</si>
  <si>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</si>
  <si>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</si>
  <si>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</si>
  <si>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</si>
  <si>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</si>
  <si>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</si>
  <si>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</si>
  <si>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</si>
  <si>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</si>
  <si>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</si>
  <si>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</si>
  <si>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</si>
  <si>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</si>
  <si>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</si>
  <si>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</si>
  <si>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</si>
  <si>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</si>
  <si>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</si>
  <si>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</si>
  <si>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</si>
  <si>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</si>
  <si>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</si>
  <si>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</si>
  <si>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</si>
  <si>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</si>
  <si>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</si>
  <si>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</si>
  <si>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</si>
  <si>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</si>
  <si>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</si>
  <si>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</si>
  <si>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</si>
  <si>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</si>
  <si>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</si>
  <si>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</si>
  <si>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</si>
  <si>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</si>
  <si>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</si>
  <si>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</si>
  <si>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</si>
  <si>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</si>
  <si>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</si>
  <si>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</si>
  <si>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</si>
  <si>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</si>
  <si>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</si>
  <si>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</si>
  <si>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</si>
  <si>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</si>
  <si>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</si>
  <si>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</si>
  <si>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</si>
  <si>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</si>
  <si>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</si>
  <si>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</si>
  <si>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</si>
  <si>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</si>
  <si>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</si>
  <si>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</si>
  <si>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</si>
  <si>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</si>
  <si>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</si>
  <si>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</si>
  <si>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</si>
  <si>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</si>
  <si>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</si>
  <si>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</si>
  <si>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</si>
  <si>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</si>
  <si>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</si>
  <si>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</si>
  <si>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</si>
  <si>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</si>
  <si>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</si>
  <si>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</si>
  <si>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</si>
  <si>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</si>
  <si>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</si>
  <si>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</si>
  <si>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</si>
  <si>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</si>
  <si>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</si>
  <si>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</si>
  <si>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</si>
  <si>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</si>
  <si>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</si>
  <si>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</si>
  <si>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</si>
  <si>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</si>
  <si>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</si>
  <si>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</si>
  <si>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</si>
  <si>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</si>
  <si>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</si>
  <si>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</si>
  <si>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</si>
  <si>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</si>
  <si>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</si>
  <si>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</si>
  <si>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</si>
  <si>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</si>
  <si>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</si>
  <si>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</si>
  <si>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</si>
  <si>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</si>
  <si>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</si>
  <si>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</si>
  <si>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</si>
  <si>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</si>
  <si>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</si>
  <si>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</si>
  <si>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</si>
  <si>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</si>
  <si>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</si>
  <si>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</si>
  <si>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</si>
  <si>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</si>
  <si>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</si>
  <si>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</si>
  <si>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</si>
  <si>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</si>
  <si>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</si>
  <si>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</si>
  <si>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</si>
  <si>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</si>
  <si>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</si>
  <si>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</si>
  <si>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</si>
  <si>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</si>
  <si>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</si>
  <si>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</si>
  <si>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</si>
  <si>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</si>
  <si>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</si>
  <si>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</si>
  <si>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</si>
  <si>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</si>
  <si>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</si>
  <si>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</si>
  <si>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</si>
  <si>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</si>
  <si>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</si>
  <si>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</si>
  <si>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</si>
  <si>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</si>
  <si>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</si>
  <si>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</si>
  <si>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</si>
  <si>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</si>
  <si>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</si>
  <si>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</si>
  <si>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</si>
  <si>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</si>
  <si>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</si>
  <si>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</si>
  <si>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</si>
  <si>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</si>
  <si>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</si>
  <si>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</si>
  <si>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</si>
  <si>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</si>
  <si>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</si>
  <si>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</si>
  <si>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</si>
  <si>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</si>
  <si>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</si>
  <si>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</si>
  <si>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</si>
  <si>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</si>
  <si>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</si>
  <si>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</si>
  <si>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</si>
  <si>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</si>
  <si>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</si>
  <si>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</si>
  <si>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</si>
  <si>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</si>
  <si>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</si>
  <si>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</si>
  <si>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</si>
  <si>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</si>
  <si>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</si>
  <si>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</si>
  <si>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</si>
  <si>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</si>
  <si>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</si>
  <si>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</si>
  <si>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</si>
  <si>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</si>
  <si>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</si>
  <si>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</si>
  <si>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213035</t>
  </si>
  <si>
    <t xml:space="preserve">Juan Garcia</t>
  </si>
  <si>
    <t xml:space="preserve">567 E Grant St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</si>
  <si>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</si>
  <si>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</si>
  <si>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</si>
  <si>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</si>
  <si>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</si>
  <si>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</si>
  <si>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</si>
  <si>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</si>
  <si>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</si>
  <si>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</si>
  <si>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</si>
  <si>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</si>
  <si>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</si>
  <si>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</si>
  <si>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</si>
  <si>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</si>
  <si>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</si>
  <si>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</si>
  <si>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</si>
  <si>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</si>
  <si>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</si>
  <si>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</si>
  <si>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</si>
  <si>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</si>
  <si>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</si>
  <si>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</si>
  <si>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</si>
  <si>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</si>
  <si>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</si>
  <si>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</si>
  <si>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</si>
  <si>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</si>
  <si>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</si>
  <si>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</si>
  <si>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</si>
  <si>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</si>
  <si>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</si>
  <si>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</si>
  <si>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</si>
  <si>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</si>
  <si>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</si>
  <si>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</si>
  <si>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</si>
  <si>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</si>
  <si>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</si>
  <si>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</si>
  <si>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</si>
  <si>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</si>
  <si>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</si>
  <si>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</si>
  <si>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</si>
  <si>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</si>
  <si>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</si>
  <si>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</si>
  <si>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</si>
  <si>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</si>
  <si>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</si>
  <si>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</si>
  <si>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</si>
  <si>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</si>
  <si>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</si>
  <si>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</si>
  <si>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</si>
  <si>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</si>
  <si>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</si>
  <si>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</si>
  <si>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</si>
  <si>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</si>
  <si>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</si>
  <si>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</si>
  <si>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</si>
  <si>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</si>
  <si>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</si>
  <si>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</si>
  <si>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</si>
  <si>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</si>
  <si>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</si>
  <si>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</si>
  <si>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</si>
  <si>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</si>
  <si>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</si>
  <si>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</si>
  <si>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</si>
  <si>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</si>
  <si>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</si>
  <si>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</si>
  <si>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</si>
  <si>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</si>
  <si>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</si>
  <si>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</si>
  <si>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</si>
  <si>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</si>
  <si>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</si>
  <si>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</si>
  <si>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</si>
  <si>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</si>
  <si>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</si>
  <si>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</si>
  <si>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</si>
  <si>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</si>
  <si>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</si>
  <si>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</si>
  <si>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</si>
  <si>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</si>
  <si>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</si>
  <si>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</si>
  <si>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</si>
  <si>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</si>
  <si>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</si>
  <si>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</si>
  <si>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</si>
  <si>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</si>
  <si>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</si>
  <si>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</si>
  <si>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</si>
  <si>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</si>
  <si>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</si>
  <si>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</si>
  <si>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</si>
  <si>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</si>
  <si>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</si>
  <si>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</si>
  <si>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</si>
  <si>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</si>
  <si>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</si>
  <si>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</si>
  <si>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</si>
  <si>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</si>
  <si>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</si>
  <si>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</si>
  <si>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</si>
  <si>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</si>
  <si>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</si>
  <si>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</si>
  <si>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</si>
  <si>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</si>
  <si>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</si>
  <si>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</si>
  <si>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</si>
  <si>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</si>
  <si>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</si>
  <si>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</si>
  <si>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</si>
  <si>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</si>
  <si>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</si>
  <si>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</si>
  <si>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</si>
  <si>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</si>
  <si>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</si>
  <si>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</si>
  <si>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</si>
  <si>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</si>
  <si>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</si>
  <si>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</si>
  <si>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</si>
  <si>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</si>
  <si>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</si>
  <si>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</si>
  <si>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</si>
  <si>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</si>
  <si>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</si>
  <si>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</si>
  <si>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</si>
  <si>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</si>
  <si>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</si>
  <si>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</si>
  <si>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</si>
  <si>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</si>
  <si>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</si>
  <si>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</si>
  <si>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</si>
  <si>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</si>
  <si>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</si>
  <si>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</si>
  <si>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</si>
  <si>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</si>
  <si>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</si>
  <si>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</si>
  <si>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</si>
  <si>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</si>
  <si>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</si>
  <si>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</si>
  <si>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</si>
  <si>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</si>
  <si>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</si>
  <si>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</si>
  <si>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</si>
  <si>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</si>
  <si>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</si>
  <si>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</si>
  <si>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</si>
  <si>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</si>
  <si>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</si>
  <si>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</si>
  <si>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</si>
  <si>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</si>
  <si>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</si>
  <si>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</si>
  <si>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</si>
  <si>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</si>
  <si>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</si>
  <si>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</si>
  <si>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</si>
  <si>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</si>
  <si>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</si>
  <si>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</si>
  <si>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</si>
  <si>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</si>
  <si>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</si>
  <si>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</si>
  <si>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</si>
  <si>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</si>
  <si>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</si>
  <si>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</si>
  <si>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</si>
  <si>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</si>
  <si>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</si>
  <si>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</si>
  <si>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</si>
  <si>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</si>
  <si>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</si>
  <si>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</si>
  <si>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</si>
  <si>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</si>
  <si>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</si>
  <si>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</si>
  <si>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</si>
  <si>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</si>
  <si>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</si>
  <si>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</si>
  <si>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</si>
  <si>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</si>
  <si>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</si>
  <si>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</si>
  <si>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</si>
  <si>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</si>
  <si>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</si>
  <si>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</si>
  <si>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</si>
  <si>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</si>
  <si>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</si>
  <si>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</si>
  <si>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</si>
  <si>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</si>
  <si>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</si>
  <si>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</si>
  <si>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</si>
  <si>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212595</t>
  </si>
  <si>
    <t xml:space="preserve">(346) 666-9663</t>
  </si>
  <si>
    <t xml:space="preserve">3316 Shaver St</t>
  </si>
  <si>
    <t xml:space="preserve">212575</t>
  </si>
  <si>
    <t xml:space="preserve">(630) 290-5630</t>
  </si>
  <si>
    <t xml:space="preserve">229 W Grand Ave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</si>
  <si>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</si>
  <si>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</si>
  <si>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</si>
  <si>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</si>
  <si>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</si>
  <si>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</si>
  <si>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</si>
  <si>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</si>
  <si>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</si>
  <si>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</si>
  <si>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</si>
  <si>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</si>
  <si>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</si>
  <si>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</si>
  <si>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</si>
  <si>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</si>
  <si>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</si>
  <si>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</si>
  <si>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</si>
  <si>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</si>
  <si>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</si>
  <si>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</si>
  <si>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</si>
  <si>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</si>
  <si>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</si>
  <si>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</si>
  <si>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</si>
  <si>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</si>
  <si>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</si>
  <si>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</si>
  <si>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</si>
  <si>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</si>
  <si>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</si>
  <si>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</si>
  <si>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</si>
  <si>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</si>
  <si>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</si>
  <si>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</si>
  <si>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</si>
  <si>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</si>
  <si>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</si>
  <si>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</si>
  <si>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</si>
  <si>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</si>
  <si>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</si>
  <si>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</si>
  <si>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</si>
  <si>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</si>
  <si>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</si>
  <si>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</si>
  <si>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</si>
  <si>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</si>
  <si>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</si>
  <si>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</si>
  <si>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</si>
  <si>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</si>
  <si>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</si>
  <si>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</si>
  <si>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</si>
  <si>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</si>
  <si>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</si>
  <si>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</si>
  <si>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</si>
  <si>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</si>
  <si>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</si>
  <si>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</si>
  <si>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</si>
  <si>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</si>
  <si>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</si>
  <si>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</si>
  <si>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</si>
  <si>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</si>
  <si>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</si>
  <si>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</si>
  <si>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</si>
  <si>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</si>
  <si>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</si>
  <si>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</si>
  <si>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</si>
  <si>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</si>
  <si>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</si>
  <si>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</si>
  <si>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</si>
  <si>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</si>
  <si>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</si>
  <si>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</si>
  <si>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</si>
  <si>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</si>
  <si>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</si>
  <si>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</si>
  <si>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</si>
  <si>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</si>
  <si>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</si>
  <si>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</si>
  <si>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</si>
  <si>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</si>
  <si>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</si>
  <si>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</si>
  <si>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</si>
  <si>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</si>
  <si>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</si>
  <si>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</si>
  <si>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</si>
  <si>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</si>
  <si>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</si>
  <si>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</si>
  <si>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</si>
  <si>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</si>
  <si>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</si>
  <si>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</si>
  <si>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</si>
  <si>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</si>
  <si>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</si>
  <si>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</si>
  <si>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</si>
  <si>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</si>
  <si>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</si>
  <si>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</si>
  <si>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</si>
  <si>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</si>
  <si>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</si>
  <si>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</si>
  <si>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</si>
  <si>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</si>
  <si>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</si>
  <si>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</si>
  <si>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</si>
  <si>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</si>
  <si>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</si>
  <si>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</si>
  <si>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</si>
  <si>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</si>
  <si>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</si>
  <si>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</si>
  <si>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</si>
  <si>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</si>
  <si>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</si>
  <si>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</si>
  <si>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</si>
  <si>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</si>
  <si>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</si>
  <si>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</si>
  <si>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</si>
  <si>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</si>
  <si>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</si>
  <si>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</si>
  <si>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</si>
  <si>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</si>
  <si>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</si>
  <si>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</si>
  <si>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</si>
  <si>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</si>
  <si>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</si>
  <si>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</si>
  <si>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</si>
  <si>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</si>
  <si>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</si>
  <si>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</si>
  <si>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</si>
  <si>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</si>
  <si>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</si>
  <si>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</si>
  <si>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</si>
  <si>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</si>
  <si>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</si>
  <si>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</si>
  <si>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</si>
  <si>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</si>
  <si>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</si>
  <si>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</si>
  <si>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212433</t>
  </si>
  <si>
    <t xml:space="preserve">1520 Clark Blvd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</si>
  <si>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</si>
  <si>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</si>
  <si>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</si>
  <si>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</si>
  <si>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</si>
  <si>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</si>
  <si>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</si>
  <si>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</si>
  <si>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</si>
  <si>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</si>
  <si>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</si>
  <si>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</si>
  <si>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</si>
  <si>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</si>
  <si>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</si>
  <si>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</si>
  <si>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</si>
  <si>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</si>
  <si>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</si>
  <si>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</si>
  <si>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</si>
  <si>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</si>
  <si>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</si>
  <si>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</si>
  <si>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</si>
  <si>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</si>
  <si>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</si>
  <si>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</si>
  <si>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</si>
  <si>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</si>
  <si>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</si>
  <si>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</si>
  <si>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</si>
  <si>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</si>
  <si>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</si>
  <si>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</si>
  <si>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</si>
  <si>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</si>
  <si>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</si>
  <si>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</si>
  <si>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</si>
  <si>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</si>
  <si>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</si>
  <si>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</si>
  <si>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</si>
  <si>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</si>
  <si>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</si>
  <si>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</si>
  <si>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</si>
  <si>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</si>
  <si>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</si>
  <si>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</si>
  <si>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</si>
  <si>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</si>
  <si>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</si>
  <si>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</si>
  <si>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</si>
  <si>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</si>
  <si>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</si>
  <si>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</si>
  <si>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</si>
  <si>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</si>
  <si>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</si>
  <si>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</si>
  <si>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</si>
  <si>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</si>
  <si>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</si>
  <si>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</si>
  <si>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</si>
  <si>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</si>
  <si>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</si>
  <si>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</si>
  <si>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</si>
  <si>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</si>
  <si>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</si>
  <si>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</si>
  <si>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</si>
  <si>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</si>
  <si>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</si>
  <si>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</si>
  <si>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</si>
  <si>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</si>
  <si>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</si>
  <si>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</si>
  <si>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</si>
  <si>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</si>
  <si>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</si>
  <si>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</si>
  <si>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</si>
  <si>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</si>
  <si>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</si>
  <si>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</si>
  <si>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</si>
  <si>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</si>
  <si>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</si>
  <si>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</si>
  <si>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</si>
  <si>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</si>
  <si>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</si>
  <si>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</si>
  <si>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</si>
  <si>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</si>
  <si>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</si>
  <si>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</si>
  <si>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</si>
  <si>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</si>
  <si>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</si>
  <si>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</si>
  <si>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</si>
  <si>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</si>
  <si>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</si>
  <si>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</si>
  <si>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</si>
  <si>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</si>
  <si>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</si>
  <si>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</si>
  <si>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</si>
  <si>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</si>
  <si>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</si>
  <si>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</si>
  <si>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</si>
  <si>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</si>
  <si>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</si>
  <si>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</si>
  <si>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</si>
  <si>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</si>
  <si>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</si>
  <si>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</si>
  <si>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</si>
  <si>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</si>
  <si>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</si>
  <si>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</si>
  <si>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</si>
  <si>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</si>
  <si>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</si>
  <si>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</si>
  <si>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</si>
  <si>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</si>
  <si>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</si>
  <si>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</si>
  <si>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</si>
  <si>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</si>
  <si>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</si>
  <si>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</si>
  <si>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</si>
  <si>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</si>
  <si>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</si>
  <si>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</si>
  <si>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</si>
  <si>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</si>
  <si>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</si>
  <si>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</si>
  <si>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</si>
  <si>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</si>
  <si>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</si>
  <si>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</si>
  <si>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</si>
  <si>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</si>
  <si>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</si>
  <si>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</si>
  <si>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</si>
  <si>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</si>
  <si>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</si>
  <si>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</si>
  <si>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</si>
  <si>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</si>
  <si>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</si>
  <si>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</si>
  <si>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</si>
  <si>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</si>
  <si>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</si>
  <si>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</si>
  <si>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</si>
  <si>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</si>
  <si>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</si>
  <si>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</si>
  <si>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</si>
  <si>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</si>
  <si>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</si>
  <si>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</si>
  <si>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</si>
  <si>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</si>
  <si>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</si>
  <si>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</si>
  <si>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</si>
  <si>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</si>
  <si>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</si>
  <si>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</si>
  <si>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</si>
  <si>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</si>
  <si>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</si>
  <si>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</si>
  <si>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</si>
  <si>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</si>
  <si>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</si>
  <si>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</si>
  <si>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</si>
  <si>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</si>
  <si>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</si>
  <si>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</si>
  <si>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</si>
  <si>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</si>
  <si>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</si>
  <si>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</si>
  <si>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</si>
  <si>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</si>
  <si>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</si>
  <si>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</si>
  <si>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</si>
  <si>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</si>
  <si>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</si>
  <si>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</si>
  <si>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</si>
  <si>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</si>
  <si>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</si>
  <si>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</si>
  <si>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</si>
  <si>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</si>
  <si>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</si>
  <si>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</si>
  <si>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</si>
  <si>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</si>
  <si>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</si>
  <si>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</si>
  <si>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</si>
  <si>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</si>
  <si>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</si>
  <si>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</si>
  <si>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</si>
  <si>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</si>
  <si>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</si>
  <si>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</si>
  <si>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</si>
  <si>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</si>
  <si>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</si>
  <si>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</si>
  <si>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</si>
  <si>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</si>
  <si>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</si>
  <si>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</si>
  <si>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</si>
  <si>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</si>
  <si>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</si>
  <si>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</si>
  <si>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</si>
  <si>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</si>
  <si>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</si>
  <si>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</si>
  <si>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</si>
  <si>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</si>
  <si>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</si>
  <si>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</si>
  <si>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</si>
  <si>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</si>
  <si>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</si>
  <si>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</si>
  <si>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</si>
  <si>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</si>
  <si>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</si>
  <si>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</si>
  <si>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</si>
  <si>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</si>
  <si>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</si>
  <si>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</si>
  <si>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</si>
  <si>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</si>
  <si>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</si>
  <si>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</si>
  <si>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</si>
  <si>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</si>
  <si>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</si>
  <si>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</si>
  <si>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</si>
  <si>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</si>
  <si>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</si>
  <si>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</si>
  <si>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</si>
  <si>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</si>
  <si>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</si>
  <si>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</si>
  <si>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</si>
  <si>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</si>
  <si>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</si>
  <si>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</si>
  <si>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</si>
  <si>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</si>
  <si>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</si>
  <si>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</si>
  <si>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</si>
  <si>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</si>
  <si>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</si>
  <si>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</si>
  <si>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</si>
  <si>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</si>
  <si>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</si>
  <si>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</si>
  <si>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</si>
  <si>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</si>
  <si>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</si>
  <si>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</si>
  <si>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</si>
  <si>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</si>
  <si>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</si>
  <si>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</si>
  <si>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</si>
  <si>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</si>
  <si>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</si>
  <si>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</si>
  <si>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</si>
  <si>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</si>
  <si>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</si>
  <si>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</si>
  <si>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</si>
  <si>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</si>
  <si>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</si>
  <si>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</si>
  <si>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</si>
  <si>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</si>
  <si>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</si>
  <si>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</si>
  <si>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</si>
  <si>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</si>
  <si>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</si>
  <si>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</si>
  <si>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</si>
  <si>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</si>
  <si>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</si>
  <si>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</si>
  <si>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</si>
  <si>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</si>
  <si>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</si>
  <si>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</si>
  <si>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</si>
  <si>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</si>
  <si>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</si>
  <si>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</si>
  <si>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</si>
  <si>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</si>
  <si>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</si>
  <si>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</si>
  <si>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</si>
  <si>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</si>
  <si>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</si>
  <si>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</si>
  <si>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</si>
  <si>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</si>
  <si>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</si>
  <si>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</si>
  <si>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</si>
  <si>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</si>
  <si>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</si>
  <si>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</si>
  <si>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</si>
  <si>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</si>
  <si>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</si>
  <si>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</si>
  <si>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</si>
  <si>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</si>
  <si>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</si>
  <si>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</si>
  <si>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</si>
  <si>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</si>
  <si>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</si>
  <si>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</si>
  <si>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</si>
  <si>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</si>
  <si>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</si>
  <si>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</si>
  <si>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</si>
  <si>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</si>
  <si>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</si>
  <si>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</si>
  <si>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</si>
  <si>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</si>
  <si>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</si>
  <si>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</si>
  <si>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</si>
  <si>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</si>
  <si>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</si>
  <si>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</si>
  <si>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</si>
  <si>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</si>
  <si>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</si>
  <si>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</si>
  <si>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</si>
  <si>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</si>
  <si>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</si>
  <si>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</si>
  <si>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</si>
  <si>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</si>
  <si>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</si>
  <si>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</si>
  <si>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</si>
  <si>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</si>
  <si>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</si>
  <si>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</si>
  <si>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</si>
  <si>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</si>
  <si>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</si>
  <si>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</si>
  <si>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</si>
  <si>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</si>
  <si>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</si>
  <si>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211252</t>
  </si>
  <si>
    <t xml:space="preserve">(619) 373-8057</t>
  </si>
  <si>
    <t xml:space="preserve">Bldg 2017</t>
  </si>
  <si>
    <t xml:space="preserve">92135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</si>
  <si>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</si>
  <si>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</si>
  <si>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</si>
  <si>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</si>
  <si>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</si>
  <si>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</si>
  <si>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</si>
  <si>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</si>
  <si>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</si>
  <si>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</si>
  <si>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</si>
  <si>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</si>
  <si>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</si>
  <si>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</si>
  <si>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</si>
  <si>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</si>
  <si>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</si>
  <si>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</si>
  <si>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</si>
  <si>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</si>
  <si>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</si>
  <si>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</si>
  <si>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</si>
  <si>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</si>
  <si>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</si>
  <si>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</si>
  <si>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</si>
  <si>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</si>
  <si>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</si>
  <si>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</si>
  <si>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</si>
  <si>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</si>
  <si>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</si>
  <si>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</si>
  <si>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</si>
  <si>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</si>
  <si>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</si>
  <si>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</si>
  <si>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</si>
  <si>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</si>
  <si>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</si>
  <si>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</si>
  <si>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</si>
  <si>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</si>
  <si>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</si>
  <si>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</si>
  <si>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</si>
  <si>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</si>
  <si>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</si>
  <si>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</si>
  <si>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</si>
  <si>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</si>
  <si>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</si>
  <si>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</si>
  <si>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</si>
  <si>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</si>
  <si>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</si>
  <si>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</si>
  <si>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</si>
  <si>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</si>
  <si>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</si>
  <si>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</si>
  <si>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</si>
  <si>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</si>
  <si>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</si>
  <si>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</si>
  <si>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</si>
  <si>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</si>
  <si>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</si>
  <si>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</si>
  <si>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</si>
  <si>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</si>
  <si>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</si>
  <si>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</si>
  <si>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</si>
  <si>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</si>
  <si>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</si>
  <si>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</si>
  <si>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</si>
  <si>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</si>
  <si>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</si>
  <si>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</si>
  <si>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</si>
  <si>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211234</t>
  </si>
  <si>
    <t xml:space="preserve">(804) 313-8224</t>
  </si>
  <si>
    <t xml:space="preserve">300 Ave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</si>
  <si>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</si>
  <si>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</si>
  <si>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</si>
  <si>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</si>
  <si>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</si>
  <si>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</si>
  <si>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</si>
  <si>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</si>
  <si>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</si>
  <si>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</si>
  <si>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211230</t>
  </si>
  <si>
    <t xml:space="preserve">(910) 839-9940</t>
  </si>
  <si>
    <t xml:space="preserve">North Post Main Exchange Butner Rd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</si>
  <si>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</si>
  <si>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</si>
  <si>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</si>
  <si>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</si>
  <si>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</si>
  <si>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</si>
  <si>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</si>
  <si>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</si>
  <si>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</si>
  <si>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</si>
  <si>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</si>
  <si>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</si>
  <si>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</si>
  <si>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</si>
  <si>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</si>
  <si>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</si>
  <si>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</si>
  <si>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</si>
  <si>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</si>
  <si>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</si>
  <si>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</si>
  <si>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</si>
  <si>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</si>
  <si>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</si>
  <si>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</si>
  <si>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</si>
  <si>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</si>
  <si>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</si>
  <si>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</si>
  <si>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</si>
  <si>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</si>
  <si>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</si>
  <si>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</si>
  <si>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</si>
  <si>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</si>
  <si>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</si>
  <si>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</si>
  <si>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</si>
  <si>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</si>
  <si>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</si>
  <si>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</si>
  <si>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</si>
  <si>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</si>
  <si>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</si>
  <si>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</si>
  <si>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</si>
  <si>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</si>
  <si>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</si>
  <si>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</si>
  <si>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211219</t>
  </si>
  <si>
    <t xml:space="preserve">(405) 334-5680</t>
  </si>
  <si>
    <t xml:space="preserve">3360 North Ave</t>
  </si>
  <si>
    <t xml:space="preserve">73145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</si>
  <si>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</si>
  <si>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</si>
  <si>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</si>
  <si>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</si>
  <si>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</si>
  <si>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</si>
  <si>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</si>
  <si>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</si>
  <si>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</si>
  <si>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</si>
  <si>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</si>
  <si>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211216</t>
  </si>
  <si>
    <t xml:space="preserve">(726) 232-8779</t>
  </si>
  <si>
    <t xml:space="preserve">2180 Reese</t>
  </si>
  <si>
    <t xml:space="preserve">78236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</si>
  <si>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</si>
  <si>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</si>
  <si>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</si>
  <si>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</si>
  <si>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</si>
  <si>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211214</t>
  </si>
  <si>
    <t xml:space="preserve">(573) 240-1039</t>
  </si>
  <si>
    <t xml:space="preserve">143 Replacement Ave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</si>
  <si>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</si>
  <si>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</si>
  <si>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</si>
  <si>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</si>
  <si>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</si>
  <si>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</si>
  <si>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</si>
  <si>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</si>
  <si>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</si>
  <si>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</si>
  <si>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</si>
  <si>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</si>
  <si>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</si>
  <si>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</si>
  <si>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</si>
  <si>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</si>
  <si>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</si>
  <si>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</si>
  <si>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</si>
  <si>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</si>
  <si>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</si>
  <si>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</si>
  <si>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</si>
  <si>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</si>
  <si>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</si>
  <si>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</si>
  <si>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</si>
  <si>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</si>
  <si>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</si>
  <si>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</si>
  <si>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</si>
  <si>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</si>
  <si>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</si>
  <si>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</si>
  <si>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</si>
  <si>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</si>
  <si>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</si>
  <si>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</si>
  <si>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</si>
  <si>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</si>
  <si>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</si>
  <si>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</si>
  <si>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</si>
  <si>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</si>
  <si>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</si>
  <si>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</si>
  <si>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</si>
  <si>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</si>
  <si>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</si>
  <si>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</si>
  <si>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</si>
  <si>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</si>
  <si>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</si>
  <si>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</si>
  <si>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</si>
  <si>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</si>
  <si>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</si>
  <si>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</si>
  <si>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</si>
  <si>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</si>
  <si>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</si>
  <si>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</si>
  <si>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</si>
  <si>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</si>
  <si>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</si>
  <si>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</si>
  <si>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</si>
  <si>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</si>
  <si>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</si>
  <si>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</si>
  <si>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</si>
  <si>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</si>
  <si>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</si>
  <si>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</si>
  <si>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</si>
  <si>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</si>
  <si>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</si>
  <si>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</si>
  <si>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</si>
  <si>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</si>
  <si>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</si>
  <si>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</si>
  <si>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</si>
  <si>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</si>
  <si>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</si>
  <si>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</si>
  <si>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</si>
  <si>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</si>
  <si>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</si>
  <si>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</si>
  <si>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</si>
  <si>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</si>
  <si>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</si>
  <si>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</si>
  <si>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</si>
  <si>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</si>
  <si>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</si>
  <si>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</si>
  <si>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</si>
  <si>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</si>
  <si>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</si>
  <si>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</si>
  <si>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</si>
  <si>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</si>
  <si>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</si>
  <si>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</si>
  <si>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</si>
  <si>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</si>
  <si>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</si>
  <si>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</si>
  <si>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</si>
  <si>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</si>
  <si>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</si>
  <si>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</si>
  <si>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</si>
  <si>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</si>
  <si>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</si>
  <si>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</si>
  <si>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</si>
  <si>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</si>
  <si>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</si>
  <si>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</si>
  <si>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</si>
  <si>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</si>
  <si>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</si>
  <si>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</si>
  <si>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</si>
  <si>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</si>
  <si>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</si>
  <si>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</si>
  <si>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</si>
  <si>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</si>
  <si>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</si>
  <si>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</si>
  <si>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</si>
  <si>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</si>
  <si>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</si>
  <si>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</si>
  <si>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</si>
  <si>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</si>
  <si>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</si>
  <si>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</si>
  <si>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</si>
  <si>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</si>
  <si>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</si>
  <si>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</si>
  <si>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</si>
  <si>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</si>
  <si>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</si>
  <si>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</si>
  <si>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</si>
  <si>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</si>
  <si>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</si>
  <si>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</si>
  <si>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</si>
  <si>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</si>
  <si>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</si>
  <si>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</si>
  <si>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</si>
  <si>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</si>
  <si>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</si>
  <si>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</si>
  <si>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</si>
  <si>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</si>
  <si>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</si>
  <si>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</si>
  <si>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</si>
  <si>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</si>
  <si>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</si>
  <si>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</si>
  <si>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</si>
  <si>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</si>
  <si>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</si>
  <si>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</si>
  <si>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</si>
  <si>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</si>
  <si>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</si>
  <si>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</si>
  <si>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</si>
  <si>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</si>
  <si>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</si>
  <si>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</si>
  <si>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</si>
  <si>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</si>
  <si>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</si>
  <si>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</si>
  <si>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</si>
  <si>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</si>
  <si>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</si>
  <si>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</si>
  <si>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</si>
  <si>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</si>
  <si>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</si>
  <si>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</si>
  <si>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</si>
  <si>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</si>
  <si>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</si>
  <si>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</si>
  <si>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</si>
  <si>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</si>
  <si>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</si>
  <si>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</si>
  <si>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</si>
  <si>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</si>
  <si>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</si>
  <si>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</si>
  <si>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</si>
  <si>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</si>
  <si>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</si>
  <si>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</si>
  <si>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</si>
  <si>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</si>
  <si>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</si>
  <si>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</si>
  <si>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</si>
  <si>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</si>
  <si>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</si>
  <si>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</si>
  <si>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</si>
  <si>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</si>
  <si>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</si>
  <si>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</si>
  <si>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</si>
  <si>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</si>
  <si>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</si>
  <si>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</si>
  <si>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</si>
  <si>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</si>
  <si>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</si>
  <si>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</si>
  <si>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</si>
  <si>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</si>
  <si>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</si>
  <si>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</si>
  <si>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</si>
  <si>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</si>
  <si>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</si>
  <si>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</si>
  <si>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</si>
  <si>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</si>
  <si>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</si>
  <si>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</si>
  <si>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</si>
  <si>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</si>
  <si>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</si>
  <si>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</si>
  <si>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</si>
  <si>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</si>
  <si>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</si>
  <si>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</si>
  <si>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</si>
  <si>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</si>
  <si>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</si>
  <si>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</si>
  <si>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</si>
  <si>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</si>
  <si>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</si>
  <si>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</si>
  <si>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</si>
  <si>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</si>
  <si>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</si>
  <si>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</si>
  <si>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</si>
  <si>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</si>
  <si>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</si>
  <si>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</si>
  <si>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</si>
  <si>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</si>
  <si>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</si>
  <si>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</si>
  <si>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</si>
  <si>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</si>
  <si>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</si>
  <si>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</si>
  <si>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</si>
  <si>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</si>
  <si>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</si>
  <si>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</si>
  <si>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</si>
  <si>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</si>
  <si>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</si>
  <si>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</si>
  <si>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</si>
  <si>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</si>
  <si>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</si>
  <si>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</si>
  <si>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</si>
  <si>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</si>
  <si>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</si>
  <si>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</si>
  <si>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</si>
  <si>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</si>
  <si>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</si>
  <si>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</si>
  <si>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</si>
  <si>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</si>
  <si>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</si>
  <si>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</si>
  <si>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</si>
  <si>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</si>
  <si>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207417</t>
  </si>
  <si>
    <t xml:space="preserve">(415) 528-9336</t>
  </si>
  <si>
    <t xml:space="preserve">733 S Alvarado St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</si>
  <si>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</si>
  <si>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</si>
  <si>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</si>
  <si>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</si>
  <si>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</si>
  <si>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</si>
  <si>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</si>
  <si>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</si>
  <si>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</si>
  <si>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</si>
  <si>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</si>
  <si>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</si>
  <si>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</si>
  <si>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</si>
  <si>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</si>
  <si>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</si>
  <si>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</si>
  <si>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</si>
  <si>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</si>
  <si>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</si>
  <si>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</si>
  <si>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</si>
  <si>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</si>
  <si>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</si>
  <si>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</si>
  <si>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</si>
  <si>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</si>
  <si>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</si>
  <si>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</si>
  <si>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</si>
  <si>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</si>
  <si>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</si>
  <si>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</si>
  <si>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</si>
  <si>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</si>
  <si>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</si>
  <si>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</si>
  <si>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</si>
  <si>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</si>
  <si>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</si>
  <si>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</si>
  <si>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</si>
  <si>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</si>
  <si>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</si>
  <si>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</si>
  <si>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</si>
  <si>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</si>
  <si>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</si>
  <si>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</si>
  <si>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</si>
  <si>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</si>
  <si>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</si>
  <si>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</si>
  <si>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</si>
  <si>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</si>
  <si>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</si>
  <si>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</si>
  <si>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</si>
  <si>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</si>
  <si>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</si>
  <si>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</si>
  <si>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</si>
  <si>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</si>
  <si>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</si>
  <si>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</si>
  <si>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</si>
  <si>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</si>
  <si>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</si>
  <si>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</si>
  <si>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</si>
  <si>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</si>
  <si>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</si>
  <si>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</si>
  <si>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</si>
  <si>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</si>
  <si>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</si>
  <si>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</si>
  <si>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</si>
  <si>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</si>
  <si>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</si>
  <si>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</si>
  <si>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</si>
  <si>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</si>
  <si>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</si>
  <si>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</si>
  <si>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</si>
  <si>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</si>
  <si>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</si>
  <si>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</si>
  <si>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</si>
  <si>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</si>
  <si>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</si>
  <si>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</si>
  <si>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</si>
  <si>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</si>
  <si>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</si>
  <si>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</si>
  <si>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</si>
  <si>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</si>
  <si>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</si>
  <si>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</si>
  <si>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</si>
  <si>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</si>
  <si>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</si>
  <si>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</si>
  <si>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</si>
  <si>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</si>
  <si>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</si>
  <si>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</si>
  <si>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</si>
  <si>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</si>
  <si>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</si>
  <si>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</si>
  <si>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</si>
  <si>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</si>
  <si>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</si>
  <si>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</si>
  <si>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</si>
  <si>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</si>
  <si>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</si>
  <si>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</si>
  <si>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</si>
  <si>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</si>
  <si>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</si>
  <si>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</si>
  <si>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</si>
  <si>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</si>
  <si>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</si>
  <si>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</si>
  <si>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</si>
  <si>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</si>
  <si>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</si>
  <si>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</si>
  <si>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</si>
  <si>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</si>
  <si>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</si>
  <si>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</si>
  <si>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</si>
  <si>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</si>
  <si>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</si>
  <si>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</si>
  <si>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</si>
  <si>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</si>
  <si>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</si>
  <si>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</si>
  <si>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</si>
  <si>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</si>
  <si>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</si>
  <si>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</si>
  <si>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204686</t>
  </si>
  <si>
    <t xml:space="preserve">735 N Westmoreland Rd</t>
  </si>
  <si>
    <t xml:space="preserve">A205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</si>
  <si>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</si>
  <si>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</si>
  <si>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</si>
  <si>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</si>
  <si>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</si>
  <si>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</si>
  <si>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</si>
  <si>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</si>
  <si>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</si>
  <si>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</si>
  <si>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</si>
  <si>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</si>
  <si>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</si>
  <si>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</si>
  <si>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</si>
  <si>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</si>
  <si>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</si>
  <si>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</si>
  <si>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</si>
  <si>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</si>
  <si>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</si>
  <si>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</si>
  <si>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</si>
  <si>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</si>
  <si>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</si>
  <si>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</si>
  <si>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</si>
  <si>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</si>
  <si>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</si>
  <si>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</si>
  <si>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</si>
  <si>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</si>
  <si>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</si>
  <si>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</si>
  <si>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</si>
  <si>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</si>
  <si>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</si>
  <si>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</si>
  <si>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</si>
  <si>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</si>
  <si>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</si>
  <si>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</si>
  <si>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</si>
  <si>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</si>
  <si>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</si>
  <si>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</si>
  <si>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</si>
  <si>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</si>
  <si>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</si>
  <si>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</si>
  <si>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</si>
  <si>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</si>
  <si>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</si>
  <si>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</si>
  <si>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</si>
  <si>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</si>
  <si>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</si>
  <si>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</si>
  <si>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</si>
  <si>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</si>
  <si>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</si>
  <si>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</si>
  <si>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</si>
  <si>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</si>
  <si>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</si>
  <si>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</si>
  <si>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</si>
  <si>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</si>
  <si>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</si>
  <si>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</si>
  <si>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</si>
  <si>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</si>
  <si>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</si>
  <si>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</si>
  <si>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</si>
  <si>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</si>
  <si>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</si>
  <si>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</si>
  <si>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</si>
  <si>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</si>
  <si>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</si>
  <si>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</si>
  <si>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</si>
  <si>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</si>
  <si>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</si>
  <si>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</si>
  <si>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</si>
  <si>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</si>
  <si>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</si>
  <si>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</si>
  <si>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</si>
  <si>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</si>
  <si>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</si>
  <si>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</si>
  <si>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</si>
  <si>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</si>
  <si>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</si>
  <si>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</si>
  <si>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</si>
  <si>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</si>
  <si>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</si>
  <si>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</si>
  <si>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</si>
  <si>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</si>
  <si>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</si>
  <si>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</si>
  <si>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</si>
  <si>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</si>
  <si>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</si>
  <si>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</si>
  <si>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</si>
  <si>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</si>
  <si>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</si>
  <si>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</si>
  <si>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</si>
  <si>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</si>
  <si>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</si>
  <si>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</si>
  <si>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</si>
  <si>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</si>
  <si>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</si>
  <si>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</si>
  <si>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</si>
  <si>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</si>
  <si>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</si>
  <si>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</si>
  <si>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</si>
  <si>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</si>
  <si>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</si>
  <si>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</si>
  <si>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</si>
  <si>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</si>
  <si>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</si>
  <si>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</si>
  <si>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</si>
  <si>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</si>
  <si>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</si>
  <si>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</si>
  <si>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</si>
  <si>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</si>
  <si>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</si>
  <si>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</si>
  <si>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</si>
  <si>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</si>
  <si>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</si>
  <si>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</si>
  <si>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</si>
  <si>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</si>
  <si>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</si>
  <si>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</si>
  <si>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</si>
  <si>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</si>
  <si>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</si>
  <si>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</si>
  <si>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</si>
  <si>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</si>
  <si>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</si>
  <si>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</si>
  <si>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</si>
  <si>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</si>
  <si>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</si>
  <si>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</si>
  <si>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</si>
  <si>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</si>
  <si>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</si>
  <si>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</si>
  <si>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</si>
  <si>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</si>
  <si>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</si>
  <si>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</si>
  <si>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</si>
  <si>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</si>
  <si>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</si>
  <si>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</si>
  <si>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</si>
  <si>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</si>
  <si>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</si>
  <si>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</si>
  <si>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</si>
  <si>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</si>
  <si>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</si>
  <si>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</si>
  <si>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</si>
  <si>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</si>
  <si>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</si>
  <si>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</si>
  <si>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</si>
  <si>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</si>
  <si>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</si>
  <si>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</si>
  <si>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</si>
  <si>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</si>
  <si>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</si>
  <si>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</si>
  <si>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</si>
  <si>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</si>
  <si>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</si>
  <si>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</si>
  <si>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</si>
  <si>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</si>
  <si>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</si>
  <si>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</si>
  <si>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</si>
  <si>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</si>
  <si>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</si>
  <si>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</si>
  <si>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</si>
  <si>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</si>
  <si>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</si>
  <si>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</si>
  <si>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</si>
  <si>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</si>
  <si>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</si>
  <si>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</si>
  <si>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</si>
  <si>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</si>
  <si>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</si>
  <si>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</si>
  <si>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</si>
  <si>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</si>
  <si>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</si>
  <si>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</si>
  <si>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</si>
  <si>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</si>
  <si>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</si>
  <si>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</si>
  <si>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</si>
  <si>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</si>
  <si>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</si>
  <si>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</si>
  <si>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</si>
  <si>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</si>
  <si>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</si>
  <si>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</si>
  <si>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</si>
  <si>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</si>
  <si>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</si>
  <si>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</si>
  <si>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</si>
  <si>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</si>
  <si>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</si>
  <si>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</si>
  <si>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</si>
  <si>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</si>
  <si>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</si>
  <si>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</si>
  <si>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</si>
  <si>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</si>
  <si>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</si>
  <si>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</si>
  <si>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</si>
  <si>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</si>
  <si>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</si>
  <si>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</si>
  <si>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</si>
  <si>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</si>
  <si>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</si>
  <si>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</si>
  <si>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</si>
  <si>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</si>
  <si>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</si>
  <si>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</si>
  <si>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</si>
  <si>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</si>
  <si>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</si>
  <si>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</si>
  <si>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</si>
  <si>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</si>
  <si>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</si>
  <si>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</si>
  <si>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</si>
  <si>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</si>
  <si>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</si>
  <si>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</si>
  <si>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</si>
  <si>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</si>
  <si>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</si>
  <si>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</si>
  <si>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</si>
  <si>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</si>
  <si>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</si>
  <si>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</si>
  <si>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</si>
  <si>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</si>
  <si>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</si>
  <si>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</si>
  <si>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</si>
  <si>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</si>
  <si>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</si>
  <si>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</si>
  <si>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</si>
  <si>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</si>
  <si>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</si>
  <si>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</si>
  <si>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</si>
  <si>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</si>
  <si>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</si>
  <si>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</si>
  <si>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</si>
  <si>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</si>
  <si>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</si>
  <si>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</si>
  <si>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</si>
  <si>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</si>
  <si>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</si>
  <si>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</si>
  <si>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</si>
  <si>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</si>
  <si>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</si>
  <si>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</si>
  <si>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</si>
  <si>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</si>
  <si>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</si>
  <si>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</si>
  <si>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</si>
  <si>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</si>
  <si>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</si>
  <si>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</si>
  <si>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</si>
  <si>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</si>
  <si>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</si>
  <si>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</si>
  <si>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</si>
  <si>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</si>
  <si>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</si>
  <si>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</si>
  <si>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</si>
  <si>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</si>
  <si>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</si>
  <si>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</si>
  <si>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</si>
  <si>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</si>
  <si>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</si>
  <si>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</si>
  <si>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</si>
  <si>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</si>
  <si>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</si>
  <si>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</si>
  <si>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</si>
  <si>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</si>
  <si>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</si>
  <si>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</si>
  <si>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</si>
  <si>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</si>
  <si>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</si>
  <si>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</si>
  <si>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</si>
  <si>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</si>
  <si>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</si>
  <si>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</si>
  <si>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</si>
  <si>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</si>
  <si>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</si>
  <si>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</si>
  <si>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</si>
  <si>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</si>
  <si>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</si>
  <si>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</si>
  <si>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</si>
  <si>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</si>
  <si>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</si>
  <si>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</si>
  <si>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</si>
  <si>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</si>
  <si>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</si>
  <si>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</si>
  <si>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</si>
  <si>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</si>
  <si>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</si>
  <si>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</si>
  <si>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</si>
  <si>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</si>
  <si>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</si>
  <si>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</si>
  <si>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</si>
  <si>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</si>
  <si>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</si>
  <si>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</si>
  <si>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</si>
  <si>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</si>
  <si>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</si>
  <si>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</si>
  <si>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</si>
  <si>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</si>
  <si>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</si>
  <si>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</si>
  <si>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</si>
  <si>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</si>
  <si>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</si>
  <si>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</si>
  <si>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</si>
  <si>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</si>
  <si>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</si>
  <si>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</si>
  <si>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</si>
  <si>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</si>
  <si>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</si>
  <si>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</si>
  <si>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</si>
  <si>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</si>
  <si>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</si>
  <si>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</si>
  <si>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</si>
  <si>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</si>
  <si>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</si>
  <si>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</si>
  <si>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</si>
  <si>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</si>
  <si>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</si>
  <si>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</si>
  <si>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</si>
  <si>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</si>
  <si>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</si>
  <si>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</si>
  <si>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</si>
  <si>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</si>
  <si>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</si>
  <si>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</si>
  <si>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</si>
  <si>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</si>
  <si>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</si>
  <si>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</si>
  <si>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</si>
  <si>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</si>
  <si>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</si>
  <si>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</si>
  <si>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</si>
  <si>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</si>
  <si>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</si>
  <si>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</si>
  <si>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</si>
  <si>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</si>
  <si>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</si>
  <si>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</si>
  <si>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</si>
  <si>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</si>
  <si>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</si>
  <si>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</si>
  <si>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</si>
  <si>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</si>
  <si>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</si>
  <si>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</si>
  <si>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</si>
  <si>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</si>
  <si>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</si>
  <si>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</si>
  <si>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is green for Eligible, grey for Not Eligible. Attainment shading: green &gt;=100%, amber 75-99%, red &lt;75%. | ACTIVATION GOAL: only doors with a 3-month average (col R) at or above the H3 minimum receive a goal; the full D3 total is allocated across those doors by their share of the eligible baseline. Doors below the minimum still receive a REFERENCE goal (shown in grey italics) calculated at the same per-baseline rate, so their performance is visible and comparable - but they are EXCLUDED from the official eligible attainment total on the green summary row. Reference goals round up, so any door with any May-Jul history carries a target of at least 1. | PHONE GOAL: July 2026 phones purchased x (1 + L3 lift), decimals retained. The eligibility minimum does NOT apply to the phone goal - all 26 doors that purchased phones in July carry a phone goal. | CAVEATS: April excluded from the 3-month average (covers Apr 27-30 only). Activation source data ends Jul 26, ~5 days short of a full month. July phone figures were supplied separately; their cutoff is unconfirmed. | SOURCES: GenMobile_ERL_Door_Report (995 approved doors, Jul 30 2026); ERL activation report Apr 27-Jul 26 2026; 7-27-2026 ERL Sales Report (Door Level) for Account Type; July phone purchases supplied by user.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</si>
  <si>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</si>
  <si>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</si>
  <si>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</si>
  <si>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</si>
  <si>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</si>
  <si>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</si>
  <si>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</si>
  <si>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</si>
  <si>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</si>
  <si>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</si>
  <si>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</si>
  <si>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</si>
  <si>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</si>
  <si>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</si>
  <si>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</si>
  <si>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</si>
  <si>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</si>
  <si>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</si>
  <si>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</si>
  <si>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</si>
  <si>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</si>
  <si>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</si>
  <si>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</si>
  <si>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</si>
  <si>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</si>
  <si>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</si>
  <si>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</si>
  <si>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</si>
  <si>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</si>
  <si>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</si>
  <si>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</si>
  <si>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</si>
  <si>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</si>
  <si>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</si>
  <si>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</si>
  <si>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</si>
  <si>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</si>
  <si>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</si>
  <si>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</si>
  <si>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</si>
  <si>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</si>
  <si>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</si>
  <si>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</si>
  <si>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</si>
  <si>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</si>
  <si>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2,756 activation goal on the other tab (which counts only the 91 doors meeting the 3-month-average minimum). Both can be tracked independently. | MULTI-MONTH SHARE is calculated from actual entered data, not assumed - none of the source files carried plan term, so the projection is only as good as the days entered so far and will be volatile for the first week.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</si>
</sst>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0%"/>
    <numFmt numFmtId="170" formatCode="0.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8" min="27" style="1" width="15"/>
    <col collapsed="false" customWidth="true" hidden="false" outlineLevel="0" max="30" min="29" style="1" width="14"/>
    <col collapsed="false" customWidth="true" hidden="false" outlineLevel="0" max="31" min="31" style="1" width="13"/>
    <col collapsed="false" customWidth="true" hidden="false" outlineLevel="0" max="32" min="3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V3" s="8" t="s">
        <v>7</v>
      </c>
      <c r="Y3" s="10" t="n">
        <f aca="false">SUM($AC$5:$AC$999)</f>
        <v>206.08</v>
      </c>
      <c r="Z3" s="8" t="s">
        <v>8</v>
      </c>
      <c r="AC3" s="9" t="n">
        <f aca="false">SUM($X$5:$X$999)</f>
        <v>3488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  <c r="AD4" s="13" t="s">
        <v>38</v>
      </c>
      <c r="AE4" s="13" t="s">
        <v>39</v>
      </c>
      <c r="AF4" s="13" t="s">
        <v>40</v>
      </c>
    </row>
    <row r="5" customFormat="false" ht="15" hidden="false" customHeight="true" outlineLevel="0" collapsed="false">
      <c r="A5" s="14" t="n">
        <v>647085</v>
      </c>
      <c r="B5" s="14" t="n">
        <v>488411</v>
      </c>
      <c r="C5" s="14" t="s">
        <v>41</v>
      </c>
      <c r="D5" s="14" t="s">
        <v>42</v>
      </c>
      <c r="E5" s="14" t="s">
        <v>43</v>
      </c>
      <c r="F5" s="14" t="s">
        <v>44</v>
      </c>
      <c r="G5" s="14" t="s">
        <v>45</v>
      </c>
      <c r="H5" s="14" t="s">
        <v>46</v>
      </c>
      <c r="I5" s="14"/>
      <c r="J5" s="14" t="s">
        <v>47</v>
      </c>
      <c r="K5" s="14" t="s">
        <v>48</v>
      </c>
      <c r="L5" s="14" t="s">
        <v>49</v>
      </c>
      <c r="M5" s="14" t="s">
        <v>50</v>
      </c>
      <c r="N5" s="14" t="s">
        <v>51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16</v>
      </c>
      <c r="Z5" s="15" t="n">
        <f aca="false">IF(X5=0,"",X5-Y5)</f>
        <v>227</v>
      </c>
      <c r="AA5" s="21" t="n">
        <f aca="false">IFERROR(Y5/X5,"")</f>
        <v>0.065843621399177</v>
      </c>
      <c r="AB5" s="15" t="n">
        <v>0</v>
      </c>
      <c r="AC5" s="22" t="n">
        <f aca="false">AB5*(1+$L$3)</f>
        <v>0</v>
      </c>
      <c r="AD5" s="20"/>
      <c r="AE5" s="23" t="n">
        <f aca="false">AC5-AD5</f>
        <v>0</v>
      </c>
      <c r="AF5" s="21" t="str">
        <f aca="false">IFERROR(AD5/AC5,"")</f>
        <v/>
      </c>
    </row>
    <row r="6" customFormat="false" ht="15" hidden="false" customHeight="true" outlineLevel="0" collapsed="false">
      <c r="A6" s="14" t="n">
        <v>625816</v>
      </c>
      <c r="B6" s="14" t="n">
        <v>474756</v>
      </c>
      <c r="C6" s="14" t="s">
        <v>52</v>
      </c>
      <c r="D6" s="14" t="s">
        <v>53</v>
      </c>
      <c r="E6" s="14" t="s">
        <v>54</v>
      </c>
      <c r="F6" s="14" t="s">
        <v>55</v>
      </c>
      <c r="G6" s="14" t="s">
        <v>56</v>
      </c>
      <c r="H6" s="14" t="s">
        <v>57</v>
      </c>
      <c r="I6" s="14"/>
      <c r="J6" s="14" t="s">
        <v>47</v>
      </c>
      <c r="K6" s="14" t="s">
        <v>48</v>
      </c>
      <c r="L6" s="14" t="s">
        <v>49</v>
      </c>
      <c r="M6" s="14" t="s">
        <v>58</v>
      </c>
      <c r="N6" s="14" t="s">
        <v>51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78</v>
      </c>
      <c r="Z6" s="15" t="n">
        <f aca="false">IF(X6=0,"",X6-Y6)</f>
        <v>160</v>
      </c>
      <c r="AA6" s="21" t="n">
        <f aca="false">IFERROR(Y6/X6,"")</f>
        <v>0.327731092436975</v>
      </c>
      <c r="AB6" s="15" t="n">
        <v>0</v>
      </c>
      <c r="AC6" s="22" t="n">
        <f aca="false">AB6*(1+$L$3)</f>
        <v>0</v>
      </c>
      <c r="AD6" s="20"/>
      <c r="AE6" s="23" t="n">
        <f aca="false">AC6-AD6</f>
        <v>0</v>
      </c>
      <c r="AF6" s="21" t="str">
        <f aca="false">IFERROR(AD6/AC6,"")</f>
        <v/>
      </c>
    </row>
    <row r="7" customFormat="false" ht="15" hidden="false" customHeight="true" outlineLevel="0" collapsed="false">
      <c r="A7" s="14" t="n">
        <v>633954</v>
      </c>
      <c r="B7" s="14" t="n">
        <v>480449</v>
      </c>
      <c r="C7" s="14" t="s">
        <v>59</v>
      </c>
      <c r="D7" s="14" t="s">
        <v>60</v>
      </c>
      <c r="E7" s="14" t="s">
        <v>61</v>
      </c>
      <c r="F7" s="14" t="s">
        <v>62</v>
      </c>
      <c r="G7" s="14" t="s">
        <v>63</v>
      </c>
      <c r="H7" s="14" t="s">
        <v>64</v>
      </c>
      <c r="I7" s="14" t="s">
        <v>65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70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134</v>
      </c>
      <c r="Z7" s="15" t="n">
        <f aca="false">IF(X7=0,"",X7-Y7)</f>
        <v>26</v>
      </c>
      <c r="AA7" s="21" t="n">
        <f aca="false">IFERROR(Y7/X7,"")</f>
        <v>0.8375</v>
      </c>
      <c r="AB7" s="15" t="n">
        <v>10</v>
      </c>
      <c r="AC7" s="22" t="n">
        <f aca="false">AB7*(1+$L$3)</f>
        <v>11.2</v>
      </c>
      <c r="AD7" s="20"/>
      <c r="AE7" s="23" t="n">
        <f aca="false">AC7-AD7</f>
        <v>11.2</v>
      </c>
      <c r="AF7" s="21" t="n">
        <f aca="false">IFERROR(AD7/AC7,"")</f>
        <v>0</v>
      </c>
    </row>
    <row r="8" customFormat="false" ht="15" hidden="false" customHeight="true" outlineLevel="0" collapsed="false">
      <c r="A8" s="14" t="n">
        <v>635956</v>
      </c>
      <c r="B8" s="14" t="n">
        <v>482415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  <c r="H8" s="14" t="s">
        <v>76</v>
      </c>
      <c r="I8" s="14"/>
      <c r="J8" s="14" t="s">
        <v>77</v>
      </c>
      <c r="K8" s="14" t="s">
        <v>48</v>
      </c>
      <c r="L8" s="14" t="s">
        <v>78</v>
      </c>
      <c r="M8" s="14" t="s">
        <v>79</v>
      </c>
      <c r="N8" s="14" t="s">
        <v>51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12</v>
      </c>
      <c r="Z8" s="15" t="n">
        <f aca="false">IF(X8=0,"",X8-Y8)</f>
        <v>140</v>
      </c>
      <c r="AA8" s="21" t="n">
        <f aca="false">IFERROR(Y8/X8,"")</f>
        <v>0.0789473684210526</v>
      </c>
      <c r="AB8" s="15" t="n">
        <v>0</v>
      </c>
      <c r="AC8" s="22" t="n">
        <f aca="false">AB8*(1+$L$3)</f>
        <v>0</v>
      </c>
      <c r="AD8" s="20"/>
      <c r="AE8" s="23" t="n">
        <f aca="false">AC8-AD8</f>
        <v>0</v>
      </c>
      <c r="AF8" s="21" t="str">
        <f aca="false">IFERROR(AD8/AC8,"")</f>
        <v/>
      </c>
    </row>
    <row r="9" customFormat="false" ht="15" hidden="false" customHeight="true" outlineLevel="0" collapsed="false">
      <c r="A9" s="14" t="n">
        <v>636897</v>
      </c>
      <c r="B9" s="14" t="n">
        <v>483337</v>
      </c>
      <c r="C9" s="14" t="s">
        <v>80</v>
      </c>
      <c r="D9" s="14" t="s">
        <v>81</v>
      </c>
      <c r="E9" s="14" t="s">
        <v>82</v>
      </c>
      <c r="F9" s="14" t="s">
        <v>83</v>
      </c>
      <c r="G9" s="14" t="s">
        <v>84</v>
      </c>
      <c r="H9" s="14" t="s">
        <v>85</v>
      </c>
      <c r="I9" s="14"/>
      <c r="J9" s="14" t="s">
        <v>77</v>
      </c>
      <c r="K9" s="14" t="s">
        <v>48</v>
      </c>
      <c r="L9" s="14" t="s">
        <v>86</v>
      </c>
      <c r="M9" s="14" t="s">
        <v>87</v>
      </c>
      <c r="N9" s="14" t="s">
        <v>51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82</v>
      </c>
      <c r="Z9" s="15" t="n">
        <f aca="false">IF(X9=0,"",X9-Y9)</f>
        <v>63</v>
      </c>
      <c r="AA9" s="21" t="n">
        <f aca="false">IFERROR(Y9/X9,"")</f>
        <v>0.56551724137931</v>
      </c>
      <c r="AB9" s="15" t="n">
        <v>0</v>
      </c>
      <c r="AC9" s="22" t="n">
        <f aca="false">AB9*(1+$L$3)</f>
        <v>0</v>
      </c>
      <c r="AD9" s="20"/>
      <c r="AE9" s="23" t="n">
        <f aca="false">AC9-AD9</f>
        <v>0</v>
      </c>
      <c r="AF9" s="21" t="str">
        <f aca="false">IFERROR(AD9/AC9,"")</f>
        <v/>
      </c>
    </row>
    <row r="10" customFormat="false" ht="15" hidden="false" customHeight="true" outlineLevel="0" collapsed="false">
      <c r="A10" s="14" t="n">
        <v>636889</v>
      </c>
      <c r="B10" s="14" t="n">
        <v>483335</v>
      </c>
      <c r="C10" s="14" t="s">
        <v>88</v>
      </c>
      <c r="D10" s="14" t="s">
        <v>81</v>
      </c>
      <c r="E10" s="14" t="s">
        <v>82</v>
      </c>
      <c r="F10" s="14" t="s">
        <v>83</v>
      </c>
      <c r="G10" s="14" t="s">
        <v>84</v>
      </c>
      <c r="H10" s="14" t="s">
        <v>89</v>
      </c>
      <c r="I10" s="14" t="s">
        <v>90</v>
      </c>
      <c r="J10" s="14" t="s">
        <v>77</v>
      </c>
      <c r="K10" s="14" t="s">
        <v>48</v>
      </c>
      <c r="L10" s="14" t="s">
        <v>78</v>
      </c>
      <c r="M10" s="14" t="s">
        <v>87</v>
      </c>
      <c r="N10" s="14" t="s">
        <v>51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13</v>
      </c>
      <c r="Z10" s="15" t="n">
        <f aca="false">IF(X10=0,"",X10-Y10)</f>
        <v>105</v>
      </c>
      <c r="AA10" s="21" t="n">
        <f aca="false">IFERROR(Y10/X10,"")</f>
        <v>0.110169491525424</v>
      </c>
      <c r="AB10" s="15" t="n">
        <v>0</v>
      </c>
      <c r="AC10" s="22" t="n">
        <f aca="false">AB10*(1+$L$3)</f>
        <v>0</v>
      </c>
      <c r="AD10" s="20"/>
      <c r="AE10" s="23" t="n">
        <f aca="false">AC10-AD10</f>
        <v>0</v>
      </c>
      <c r="AF10" s="21" t="str">
        <f aca="false">IFERROR(AD10/AC10,"")</f>
        <v/>
      </c>
    </row>
    <row r="11" customFormat="false" ht="15" hidden="false" customHeight="true" outlineLevel="0" collapsed="false">
      <c r="A11" s="14" t="n">
        <v>645592</v>
      </c>
      <c r="B11" s="14" t="n">
        <v>486980</v>
      </c>
      <c r="C11" s="14" t="s">
        <v>91</v>
      </c>
      <c r="D11" s="14" t="s">
        <v>92</v>
      </c>
      <c r="E11" s="14" t="s">
        <v>93</v>
      </c>
      <c r="F11" s="14" t="s">
        <v>94</v>
      </c>
      <c r="G11" s="14" t="s">
        <v>95</v>
      </c>
      <c r="H11" s="14" t="s">
        <v>96</v>
      </c>
      <c r="I11" s="14"/>
      <c r="J11" s="14" t="s">
        <v>47</v>
      </c>
      <c r="K11" s="14" t="s">
        <v>48</v>
      </c>
      <c r="L11" s="14" t="s">
        <v>49</v>
      </c>
      <c r="M11" s="14" t="s">
        <v>97</v>
      </c>
      <c r="N11" s="14" t="s">
        <v>51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14</v>
      </c>
      <c r="Z11" s="15" t="n">
        <f aca="false">IF(X11=0,"",X11-Y11)</f>
        <v>74</v>
      </c>
      <c r="AA11" s="21" t="n">
        <f aca="false">IFERROR(Y11/X11,"")</f>
        <v>0.159090909090909</v>
      </c>
      <c r="AB11" s="15" t="n">
        <v>0</v>
      </c>
      <c r="AC11" s="22" t="n">
        <f aca="false">AB11*(1+$L$3)</f>
        <v>0</v>
      </c>
      <c r="AD11" s="20"/>
      <c r="AE11" s="23" t="n">
        <f aca="false">AC11-AD11</f>
        <v>0</v>
      </c>
      <c r="AF11" s="21" t="str">
        <f aca="false">IFERROR(AD11/AC11,"")</f>
        <v/>
      </c>
    </row>
    <row r="12" customFormat="false" ht="15" hidden="false" customHeight="true" outlineLevel="0" collapsed="false">
      <c r="A12" s="14" t="n">
        <v>650829</v>
      </c>
      <c r="B12" s="14" t="n">
        <v>492079</v>
      </c>
      <c r="C12" s="14" t="s">
        <v>98</v>
      </c>
      <c r="D12" s="14" t="s">
        <v>99</v>
      </c>
      <c r="E12" s="14" t="s">
        <v>100</v>
      </c>
      <c r="F12" s="14" t="s">
        <v>101</v>
      </c>
      <c r="G12" s="14" t="s">
        <v>102</v>
      </c>
      <c r="H12" s="14" t="s">
        <v>103</v>
      </c>
      <c r="I12" s="14" t="s">
        <v>104</v>
      </c>
      <c r="J12" s="14" t="s">
        <v>66</v>
      </c>
      <c r="K12" s="14" t="s">
        <v>67</v>
      </c>
      <c r="L12" s="14" t="s">
        <v>105</v>
      </c>
      <c r="M12" s="14" t="s">
        <v>106</v>
      </c>
      <c r="N12" s="14" t="s">
        <v>70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115</v>
      </c>
      <c r="Z12" s="15" t="n">
        <f aca="false">IF(X12=0,"",X12-Y12)</f>
        <v>-33</v>
      </c>
      <c r="AA12" s="21" t="n">
        <f aca="false">IFERROR(Y12/X12,"")</f>
        <v>1.40243902439024</v>
      </c>
      <c r="AB12" s="15" t="n">
        <v>0</v>
      </c>
      <c r="AC12" s="22" t="n">
        <f aca="false">AB12*(1+$L$3)</f>
        <v>0</v>
      </c>
      <c r="AD12" s="20"/>
      <c r="AE12" s="23" t="n">
        <f aca="false">AC12-AD12</f>
        <v>0</v>
      </c>
      <c r="AF12" s="21" t="str">
        <f aca="false">IFERROR(AD12/AC12,"")</f>
        <v/>
      </c>
    </row>
    <row r="13" customFormat="false" ht="15" hidden="false" customHeight="true" outlineLevel="0" collapsed="false">
      <c r="A13" s="14" t="n">
        <v>657271</v>
      </c>
      <c r="B13" s="14" t="n">
        <v>498305</v>
      </c>
      <c r="C13" s="14" t="s">
        <v>107</v>
      </c>
      <c r="D13" s="14" t="s">
        <v>108</v>
      </c>
      <c r="E13" s="14" t="s">
        <v>109</v>
      </c>
      <c r="F13" s="14" t="s">
        <v>110</v>
      </c>
      <c r="G13" s="14" t="s">
        <v>111</v>
      </c>
      <c r="H13" s="14" t="s">
        <v>112</v>
      </c>
      <c r="I13" s="14"/>
      <c r="J13" s="14" t="s">
        <v>113</v>
      </c>
      <c r="K13" s="14" t="s">
        <v>67</v>
      </c>
      <c r="L13" s="14" t="s">
        <v>114</v>
      </c>
      <c r="M13" s="14" t="s">
        <v>115</v>
      </c>
      <c r="N13" s="14" t="s">
        <v>70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23</v>
      </c>
      <c r="Z13" s="15" t="n">
        <f aca="false">IF(X13=0,"",X13-Y13)</f>
        <v>57</v>
      </c>
      <c r="AA13" s="21" t="n">
        <f aca="false">IFERROR(Y13/X13,"")</f>
        <v>0.2875</v>
      </c>
      <c r="AB13" s="15" t="n">
        <v>3</v>
      </c>
      <c r="AC13" s="22" t="n">
        <f aca="false">AB13*(1+$L$3)</f>
        <v>3.36</v>
      </c>
      <c r="AD13" s="20" t="n">
        <v>10</v>
      </c>
      <c r="AE13" s="23" t="n">
        <f aca="false">AC13-AD13</f>
        <v>-6.64</v>
      </c>
      <c r="AF13" s="21" t="n">
        <f aca="false">IFERROR(AD13/AC13,"")</f>
        <v>2.97619047619048</v>
      </c>
    </row>
    <row r="14" customFormat="false" ht="15" hidden="false" customHeight="true" outlineLevel="0" collapsed="false">
      <c r="A14" s="14" t="n">
        <v>659285</v>
      </c>
      <c r="B14" s="14" t="n">
        <v>500280</v>
      </c>
      <c r="C14" s="14" t="s">
        <v>116</v>
      </c>
      <c r="D14" s="14" t="s">
        <v>117</v>
      </c>
      <c r="E14" s="14" t="s">
        <v>118</v>
      </c>
      <c r="F14" s="14" t="s">
        <v>119</v>
      </c>
      <c r="G14" s="14" t="s">
        <v>120</v>
      </c>
      <c r="H14" s="14" t="s">
        <v>121</v>
      </c>
      <c r="I14" s="14"/>
      <c r="J14" s="14" t="s">
        <v>47</v>
      </c>
      <c r="K14" s="14" t="s">
        <v>48</v>
      </c>
      <c r="L14" s="14" t="s">
        <v>49</v>
      </c>
      <c r="M14" s="14" t="s">
        <v>122</v>
      </c>
      <c r="N14" s="14" t="s">
        <v>70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13</v>
      </c>
      <c r="Z14" s="15" t="n">
        <f aca="false">IF(X14=0,"",X14-Y14)</f>
        <v>59</v>
      </c>
      <c r="AA14" s="21" t="n">
        <f aca="false">IFERROR(Y14/X14,"")</f>
        <v>0.180555555555556</v>
      </c>
      <c r="AB14" s="15" t="n">
        <v>0</v>
      </c>
      <c r="AC14" s="22" t="n">
        <f aca="false">AB14*(1+$L$3)</f>
        <v>0</v>
      </c>
      <c r="AD14" s="20"/>
      <c r="AE14" s="23" t="n">
        <f aca="false">AC14-AD14</f>
        <v>0</v>
      </c>
      <c r="AF14" s="21" t="str">
        <f aca="false">IFERROR(AD14/AC14,"")</f>
        <v/>
      </c>
    </row>
    <row r="15" customFormat="false" ht="15" hidden="false" customHeight="true" outlineLevel="0" collapsed="false">
      <c r="A15" s="14" t="n">
        <v>636036</v>
      </c>
      <c r="B15" s="14" t="n">
        <v>482496</v>
      </c>
      <c r="C15" s="14" t="s">
        <v>123</v>
      </c>
      <c r="D15" s="14" t="s">
        <v>124</v>
      </c>
      <c r="E15" s="14" t="s">
        <v>125</v>
      </c>
      <c r="F15" s="14" t="s">
        <v>126</v>
      </c>
      <c r="G15" s="14" t="s">
        <v>127</v>
      </c>
      <c r="H15" s="14" t="s">
        <v>128</v>
      </c>
      <c r="I15" s="14" t="s">
        <v>129</v>
      </c>
      <c r="J15" s="14" t="s">
        <v>47</v>
      </c>
      <c r="K15" s="14" t="s">
        <v>48</v>
      </c>
      <c r="L15" s="14" t="s">
        <v>49</v>
      </c>
      <c r="M15" s="14" t="s">
        <v>130</v>
      </c>
      <c r="N15" s="14" t="s">
        <v>51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22</v>
      </c>
      <c r="Z15" s="15" t="n">
        <f aca="false">IF(X15=0,"",X15-Y15)</f>
        <v>46</v>
      </c>
      <c r="AA15" s="21" t="n">
        <f aca="false">IFERROR(Y15/X15,"")</f>
        <v>0.323529411764706</v>
      </c>
      <c r="AB15" s="15" t="n">
        <v>0</v>
      </c>
      <c r="AC15" s="22" t="n">
        <f aca="false">AB15*(1+$L$3)</f>
        <v>0</v>
      </c>
      <c r="AD15" s="20"/>
      <c r="AE15" s="23" t="n">
        <f aca="false">AC15-AD15</f>
        <v>0</v>
      </c>
      <c r="AF15" s="21" t="str">
        <f aca="false">IFERROR(AD15/AC15,"")</f>
        <v/>
      </c>
    </row>
    <row r="16" customFormat="false" ht="15" hidden="false" customHeight="true" outlineLevel="0" collapsed="false">
      <c r="A16" s="14" t="n">
        <v>636139</v>
      </c>
      <c r="B16" s="14" t="n">
        <v>482593</v>
      </c>
      <c r="C16" s="14" t="s">
        <v>131</v>
      </c>
      <c r="D16" s="14" t="s">
        <v>132</v>
      </c>
      <c r="E16" s="14" t="s">
        <v>133</v>
      </c>
      <c r="F16" s="14" t="s">
        <v>134</v>
      </c>
      <c r="G16" s="14" t="s">
        <v>135</v>
      </c>
      <c r="H16" s="14" t="s">
        <v>136</v>
      </c>
      <c r="I16" s="14"/>
      <c r="J16" s="14" t="s">
        <v>77</v>
      </c>
      <c r="K16" s="14" t="s">
        <v>48</v>
      </c>
      <c r="L16" s="14" t="s">
        <v>86</v>
      </c>
      <c r="M16" s="14" t="s">
        <v>137</v>
      </c>
      <c r="N16" s="14" t="s">
        <v>51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12</v>
      </c>
      <c r="Z16" s="15" t="n">
        <f aca="false">IF(X16=0,"",X16-Y16)</f>
        <v>55</v>
      </c>
      <c r="AA16" s="21" t="n">
        <f aca="false">IFERROR(Y16/X16,"")</f>
        <v>0.17910447761194</v>
      </c>
      <c r="AB16" s="15" t="n">
        <v>0</v>
      </c>
      <c r="AC16" s="22" t="n">
        <f aca="false">AB16*(1+$L$3)</f>
        <v>0</v>
      </c>
      <c r="AD16" s="20"/>
      <c r="AE16" s="23" t="n">
        <f aca="false">AC16-AD16</f>
        <v>0</v>
      </c>
      <c r="AF16" s="21" t="str">
        <f aca="false">IFERROR(AD16/AC16,"")</f>
        <v/>
      </c>
    </row>
    <row r="17" customFormat="false" ht="15" hidden="false" customHeight="true" outlineLevel="0" collapsed="false">
      <c r="A17" s="14" t="n">
        <v>646525</v>
      </c>
      <c r="B17" s="14" t="n">
        <v>487874</v>
      </c>
      <c r="C17" s="14" t="s">
        <v>138</v>
      </c>
      <c r="D17" s="14" t="s">
        <v>139</v>
      </c>
      <c r="E17" s="14" t="s">
        <v>140</v>
      </c>
      <c r="F17" s="14" t="s">
        <v>141</v>
      </c>
      <c r="G17" s="14" t="s">
        <v>142</v>
      </c>
      <c r="H17" s="14" t="s">
        <v>143</v>
      </c>
      <c r="I17" s="14" t="s">
        <v>144</v>
      </c>
      <c r="J17" s="14" t="s">
        <v>77</v>
      </c>
      <c r="K17" s="14" t="s">
        <v>48</v>
      </c>
      <c r="L17" s="14" t="s">
        <v>78</v>
      </c>
      <c r="M17" s="14" t="s">
        <v>145</v>
      </c>
      <c r="N17" s="14" t="s">
        <v>51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17</v>
      </c>
      <c r="Z17" s="15" t="n">
        <f aca="false">IF(X17=0,"",X17-Y17)</f>
        <v>43</v>
      </c>
      <c r="AA17" s="21" t="n">
        <f aca="false">IFERROR(Y17/X17,"")</f>
        <v>0.283333333333333</v>
      </c>
      <c r="AB17" s="15" t="n">
        <v>13</v>
      </c>
      <c r="AC17" s="22" t="n">
        <f aca="false">AB17*(1+$L$3)</f>
        <v>14.56</v>
      </c>
      <c r="AD17" s="20" t="n">
        <v>4</v>
      </c>
      <c r="AE17" s="23" t="n">
        <f aca="false">AC17-AD17</f>
        <v>10.56</v>
      </c>
      <c r="AF17" s="21" t="n">
        <f aca="false">IFERROR(AD17/AC17,"")</f>
        <v>0.274725274725275</v>
      </c>
    </row>
    <row r="18" customFormat="false" ht="15" hidden="false" customHeight="true" outlineLevel="0" collapsed="false">
      <c r="A18" s="14" t="n">
        <v>625229</v>
      </c>
      <c r="B18" s="14" t="n">
        <v>474223</v>
      </c>
      <c r="C18" s="14" t="s">
        <v>146</v>
      </c>
      <c r="D18" s="14" t="s">
        <v>147</v>
      </c>
      <c r="E18" s="14" t="s">
        <v>148</v>
      </c>
      <c r="F18" s="14" t="s">
        <v>149</v>
      </c>
      <c r="G18" s="14" t="s">
        <v>150</v>
      </c>
      <c r="H18" s="14" t="s">
        <v>151</v>
      </c>
      <c r="I18" s="14"/>
      <c r="J18" s="14" t="s">
        <v>47</v>
      </c>
      <c r="K18" s="14" t="s">
        <v>48</v>
      </c>
      <c r="L18" s="14" t="s">
        <v>49</v>
      </c>
      <c r="M18" s="14" t="s">
        <v>152</v>
      </c>
      <c r="N18" s="14" t="s">
        <v>51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14</v>
      </c>
      <c r="Z18" s="15" t="n">
        <f aca="false">IF(X18=0,"",X18-Y18)</f>
        <v>43</v>
      </c>
      <c r="AA18" s="21" t="n">
        <f aca="false">IFERROR(Y18/X18,"")</f>
        <v>0.245614035087719</v>
      </c>
      <c r="AB18" s="15" t="n">
        <v>13</v>
      </c>
      <c r="AC18" s="22" t="n">
        <f aca="false">AB18*(1+$L$3)</f>
        <v>14.56</v>
      </c>
      <c r="AD18" s="20"/>
      <c r="AE18" s="23" t="n">
        <f aca="false">AC18-AD18</f>
        <v>14.56</v>
      </c>
      <c r="AF18" s="21" t="n">
        <f aca="false">IFERROR(AD18/AC18,"")</f>
        <v>0</v>
      </c>
    </row>
    <row r="19" customFormat="false" ht="15" hidden="false" customHeight="true" outlineLevel="0" collapsed="false">
      <c r="A19" s="14" t="n">
        <v>634855</v>
      </c>
      <c r="B19" s="14" t="n">
        <v>481338</v>
      </c>
      <c r="C19" s="14" t="s">
        <v>153</v>
      </c>
      <c r="D19" s="14" t="s">
        <v>154</v>
      </c>
      <c r="E19" s="14" t="s">
        <v>155</v>
      </c>
      <c r="F19" s="14" t="s">
        <v>156</v>
      </c>
      <c r="G19" s="14" t="s">
        <v>157</v>
      </c>
      <c r="H19" s="14" t="s">
        <v>158</v>
      </c>
      <c r="I19" s="14" t="s">
        <v>159</v>
      </c>
      <c r="J19" s="14" t="s">
        <v>47</v>
      </c>
      <c r="K19" s="14" t="s">
        <v>48</v>
      </c>
      <c r="L19" s="14" t="s">
        <v>49</v>
      </c>
      <c r="M19" s="14" t="s">
        <v>160</v>
      </c>
      <c r="N19" s="14" t="s">
        <v>51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11</v>
      </c>
      <c r="Z19" s="15" t="n">
        <f aca="false">IF(X19=0,"",X19-Y19)</f>
        <v>43</v>
      </c>
      <c r="AA19" s="21" t="n">
        <f aca="false">IFERROR(Y19/X19,"")</f>
        <v>0.203703703703704</v>
      </c>
      <c r="AB19" s="15" t="n">
        <v>0</v>
      </c>
      <c r="AC19" s="22" t="n">
        <f aca="false">AB19*(1+$L$3)</f>
        <v>0</v>
      </c>
      <c r="AD19" s="20"/>
      <c r="AE19" s="23" t="n">
        <f aca="false">AC19-AD19</f>
        <v>0</v>
      </c>
      <c r="AF19" s="21" t="str">
        <f aca="false">IFERROR(AD19/AC19,"")</f>
        <v/>
      </c>
    </row>
    <row r="20" customFormat="false" ht="15" hidden="false" customHeight="true" outlineLevel="0" collapsed="false">
      <c r="A20" s="14" t="n">
        <v>634753</v>
      </c>
      <c r="B20" s="14" t="n">
        <v>481239</v>
      </c>
      <c r="C20" s="14" t="s">
        <v>161</v>
      </c>
      <c r="D20" s="14" t="s">
        <v>162</v>
      </c>
      <c r="E20" s="14" t="s">
        <v>163</v>
      </c>
      <c r="F20" s="14" t="s">
        <v>164</v>
      </c>
      <c r="G20" s="14" t="s">
        <v>165</v>
      </c>
      <c r="H20" s="14" t="s">
        <v>166</v>
      </c>
      <c r="I20" s="14"/>
      <c r="J20" s="14" t="s">
        <v>47</v>
      </c>
      <c r="K20" s="14" t="s">
        <v>48</v>
      </c>
      <c r="L20" s="14" t="s">
        <v>49</v>
      </c>
      <c r="M20" s="14" t="s">
        <v>167</v>
      </c>
      <c r="N20" s="14" t="s">
        <v>51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4</v>
      </c>
      <c r="Z20" s="15" t="n">
        <f aca="false">IF(X20=0,"",X20-Y20)</f>
        <v>48</v>
      </c>
      <c r="AA20" s="21" t="n">
        <f aca="false">IFERROR(Y20/X20,"")</f>
        <v>0.0769230769230769</v>
      </c>
      <c r="AB20" s="15" t="n">
        <v>0</v>
      </c>
      <c r="AC20" s="22" t="n">
        <f aca="false">AB20*(1+$L$3)</f>
        <v>0</v>
      </c>
      <c r="AD20" s="20"/>
      <c r="AE20" s="23" t="n">
        <f aca="false">AC20-AD20</f>
        <v>0</v>
      </c>
      <c r="AF20" s="21" t="str">
        <f aca="false">IFERROR(AD20/AC20,"")</f>
        <v/>
      </c>
    </row>
    <row r="21" customFormat="false" ht="15" hidden="false" customHeight="true" outlineLevel="0" collapsed="false">
      <c r="A21" s="14" t="n">
        <v>633918</v>
      </c>
      <c r="B21" s="14" t="n">
        <v>480415</v>
      </c>
      <c r="C21" s="14" t="s">
        <v>168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/>
      <c r="J21" s="14" t="s">
        <v>47</v>
      </c>
      <c r="K21" s="14" t="s">
        <v>48</v>
      </c>
      <c r="L21" s="14" t="s">
        <v>49</v>
      </c>
      <c r="M21" s="14" t="s">
        <v>174</v>
      </c>
      <c r="N21" s="14" t="s">
        <v>51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12</v>
      </c>
      <c r="Z21" s="15" t="n">
        <f aca="false">IF(X21=0,"",X21-Y21)</f>
        <v>39</v>
      </c>
      <c r="AA21" s="21" t="n">
        <f aca="false">IFERROR(Y21/X21,"")</f>
        <v>0.235294117647059</v>
      </c>
      <c r="AB21" s="15" t="n">
        <v>0</v>
      </c>
      <c r="AC21" s="22" t="n">
        <f aca="false">AB21*(1+$L$3)</f>
        <v>0</v>
      </c>
      <c r="AD21" s="20"/>
      <c r="AE21" s="23" t="n">
        <f aca="false">AC21-AD21</f>
        <v>0</v>
      </c>
      <c r="AF21" s="21" t="str">
        <f aca="false">IFERROR(AD21/AC21,"")</f>
        <v/>
      </c>
    </row>
    <row r="22" customFormat="false" ht="15" hidden="false" customHeight="true" outlineLevel="0" collapsed="false">
      <c r="A22" s="14" t="n">
        <v>631016</v>
      </c>
      <c r="B22" s="14" t="n">
        <v>477517</v>
      </c>
      <c r="C22" s="14" t="s">
        <v>175</v>
      </c>
      <c r="D22" s="14" t="s">
        <v>176</v>
      </c>
      <c r="E22" s="14" t="s">
        <v>177</v>
      </c>
      <c r="F22" s="14" t="s">
        <v>178</v>
      </c>
      <c r="G22" s="14" t="s">
        <v>179</v>
      </c>
      <c r="H22" s="14" t="s">
        <v>180</v>
      </c>
      <c r="I22" s="14"/>
      <c r="J22" s="14" t="s">
        <v>47</v>
      </c>
      <c r="K22" s="14" t="s">
        <v>48</v>
      </c>
      <c r="L22" s="14" t="s">
        <v>49</v>
      </c>
      <c r="M22" s="14" t="s">
        <v>181</v>
      </c>
      <c r="N22" s="14" t="s">
        <v>51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5</v>
      </c>
      <c r="Z22" s="15" t="n">
        <f aca="false">IF(X22=0,"",X22-Y22)</f>
        <v>45</v>
      </c>
      <c r="AA22" s="21" t="n">
        <f aca="false">IFERROR(Y22/X22,"")</f>
        <v>0.1</v>
      </c>
      <c r="AB22" s="15" t="n">
        <v>0</v>
      </c>
      <c r="AC22" s="22" t="n">
        <f aca="false">AB22*(1+$L$3)</f>
        <v>0</v>
      </c>
      <c r="AD22" s="20"/>
      <c r="AE22" s="23" t="n">
        <f aca="false">AC22-AD22</f>
        <v>0</v>
      </c>
      <c r="AF22" s="21" t="str">
        <f aca="false">IFERROR(AD22/AC22,"")</f>
        <v/>
      </c>
    </row>
    <row r="23" customFormat="false" ht="15" hidden="false" customHeight="true" outlineLevel="0" collapsed="false">
      <c r="A23" s="14" t="n">
        <v>647607</v>
      </c>
      <c r="B23" s="14" t="n">
        <v>488919</v>
      </c>
      <c r="C23" s="14" t="s">
        <v>182</v>
      </c>
      <c r="D23" s="14" t="s">
        <v>183</v>
      </c>
      <c r="E23" s="14" t="s">
        <v>184</v>
      </c>
      <c r="F23" s="14" t="s">
        <v>185</v>
      </c>
      <c r="G23" s="14" t="s">
        <v>186</v>
      </c>
      <c r="H23" s="14" t="s">
        <v>187</v>
      </c>
      <c r="I23" s="14"/>
      <c r="J23" s="14" t="s">
        <v>47</v>
      </c>
      <c r="K23" s="14" t="s">
        <v>48</v>
      </c>
      <c r="L23" s="14" t="s">
        <v>188</v>
      </c>
      <c r="M23" s="14" t="s">
        <v>189</v>
      </c>
      <c r="N23" s="14" t="s">
        <v>51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8</v>
      </c>
      <c r="Z23" s="15" t="n">
        <f aca="false">IF(X23=0,"",X23-Y23)</f>
        <v>33</v>
      </c>
      <c r="AA23" s="21" t="n">
        <f aca="false">IFERROR(Y23/X23,"")</f>
        <v>0.195121951219512</v>
      </c>
      <c r="AB23" s="15" t="n">
        <v>0</v>
      </c>
      <c r="AC23" s="22" t="n">
        <f aca="false">AB23*(1+$L$3)</f>
        <v>0</v>
      </c>
      <c r="AD23" s="20"/>
      <c r="AE23" s="23" t="n">
        <f aca="false">AC23-AD23</f>
        <v>0</v>
      </c>
      <c r="AF23" s="21" t="str">
        <f aca="false">IFERROR(AD23/AC23,"")</f>
        <v/>
      </c>
    </row>
    <row r="24" customFormat="false" ht="15" hidden="false" customHeight="true" outlineLevel="0" collapsed="false">
      <c r="A24" s="14" t="n">
        <v>660877</v>
      </c>
      <c r="B24" s="14" t="n">
        <v>501892</v>
      </c>
      <c r="C24" s="14" t="s">
        <v>190</v>
      </c>
      <c r="D24" s="14" t="s">
        <v>191</v>
      </c>
      <c r="E24" s="14" t="s">
        <v>192</v>
      </c>
      <c r="F24" s="14" t="s">
        <v>193</v>
      </c>
      <c r="G24" s="14" t="s">
        <v>194</v>
      </c>
      <c r="H24" s="14" t="s">
        <v>195</v>
      </c>
      <c r="I24" s="14"/>
      <c r="J24" s="14" t="s">
        <v>196</v>
      </c>
      <c r="K24" s="14" t="s">
        <v>197</v>
      </c>
      <c r="L24" s="14" t="s">
        <v>198</v>
      </c>
      <c r="M24" s="14" t="s">
        <v>199</v>
      </c>
      <c r="N24" s="14" t="s">
        <v>70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11</v>
      </c>
      <c r="Z24" s="15" t="n">
        <f aca="false">IF(X24=0,"",X24-Y24)</f>
        <v>29</v>
      </c>
      <c r="AA24" s="21" t="n">
        <f aca="false">IFERROR(Y24/X24,"")</f>
        <v>0.275</v>
      </c>
      <c r="AB24" s="15" t="n">
        <v>0</v>
      </c>
      <c r="AC24" s="22" t="n">
        <f aca="false">AB24*(1+$L$3)</f>
        <v>0</v>
      </c>
      <c r="AD24" s="20"/>
      <c r="AE24" s="23" t="n">
        <f aca="false">AC24-AD24</f>
        <v>0</v>
      </c>
      <c r="AF24" s="21" t="str">
        <f aca="false">IFERROR(AD24/AC24,"")</f>
        <v/>
      </c>
    </row>
    <row r="25" customFormat="false" ht="15" hidden="false" customHeight="true" outlineLevel="0" collapsed="false">
      <c r="A25" s="14" t="n">
        <v>650687</v>
      </c>
      <c r="B25" s="14" t="n">
        <v>491934</v>
      </c>
      <c r="C25" s="14" t="s">
        <v>200</v>
      </c>
      <c r="D25" s="14" t="s">
        <v>201</v>
      </c>
      <c r="E25" s="14" t="s">
        <v>148</v>
      </c>
      <c r="F25" s="14" t="s">
        <v>202</v>
      </c>
      <c r="G25" s="14" t="s">
        <v>203</v>
      </c>
      <c r="H25" s="14" t="s">
        <v>204</v>
      </c>
      <c r="I25" s="14"/>
      <c r="J25" s="14" t="s">
        <v>205</v>
      </c>
      <c r="K25" s="14" t="s">
        <v>48</v>
      </c>
      <c r="L25" s="14" t="s">
        <v>206</v>
      </c>
      <c r="M25" s="14" t="s">
        <v>207</v>
      </c>
      <c r="N25" s="14" t="s">
        <v>51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8</v>
      </c>
      <c r="Z25" s="15" t="n">
        <f aca="false">IF(X25=0,"",X25-Y25)</f>
        <v>27</v>
      </c>
      <c r="AA25" s="21" t="n">
        <f aca="false">IFERROR(Y25/X25,"")</f>
        <v>0.228571428571429</v>
      </c>
      <c r="AB25" s="15" t="n">
        <v>5</v>
      </c>
      <c r="AC25" s="22" t="n">
        <f aca="false">AB25*(1+$L$3)</f>
        <v>5.6</v>
      </c>
      <c r="AD25" s="20"/>
      <c r="AE25" s="23" t="n">
        <f aca="false">AC25-AD25</f>
        <v>5.6</v>
      </c>
      <c r="AF25" s="21" t="n">
        <f aca="false">IFERROR(AD25/AC25,"")</f>
        <v>0</v>
      </c>
    </row>
    <row r="26" customFormat="false" ht="15" hidden="false" customHeight="true" outlineLevel="0" collapsed="false">
      <c r="A26" s="14" t="n">
        <v>633425</v>
      </c>
      <c r="B26" s="14" t="n">
        <v>479935</v>
      </c>
      <c r="C26" s="14" t="s">
        <v>208</v>
      </c>
      <c r="D26" s="14" t="s">
        <v>209</v>
      </c>
      <c r="E26" s="14" t="s">
        <v>210</v>
      </c>
      <c r="F26" s="14" t="s">
        <v>211</v>
      </c>
      <c r="G26" s="14" t="s">
        <v>212</v>
      </c>
      <c r="H26" s="14" t="s">
        <v>213</v>
      </c>
      <c r="I26" s="14" t="s">
        <v>214</v>
      </c>
      <c r="J26" s="14" t="s">
        <v>77</v>
      </c>
      <c r="K26" s="14" t="s">
        <v>48</v>
      </c>
      <c r="L26" s="14" t="s">
        <v>78</v>
      </c>
      <c r="M26" s="14" t="s">
        <v>215</v>
      </c>
      <c r="N26" s="14" t="s">
        <v>51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1</v>
      </c>
      <c r="Z26" s="15" t="n">
        <f aca="false">IF(X26=0,"",X26-Y26)</f>
        <v>29</v>
      </c>
      <c r="AA26" s="21" t="n">
        <f aca="false">IFERROR(Y26/X26,"")</f>
        <v>0.0333333333333333</v>
      </c>
      <c r="AB26" s="15" t="n">
        <v>0</v>
      </c>
      <c r="AC26" s="22" t="n">
        <f aca="false">AB26*(1+$L$3)</f>
        <v>0</v>
      </c>
      <c r="AD26" s="20"/>
      <c r="AE26" s="23" t="n">
        <f aca="false">AC26-AD26</f>
        <v>0</v>
      </c>
      <c r="AF26" s="21" t="str">
        <f aca="false">IFERROR(AD26/AC26,"")</f>
        <v/>
      </c>
    </row>
    <row r="27" customFormat="false" ht="15" hidden="false" customHeight="true" outlineLevel="0" collapsed="false">
      <c r="A27" s="14" t="n">
        <v>636137</v>
      </c>
      <c r="B27" s="14" t="n">
        <v>482591</v>
      </c>
      <c r="C27" s="14" t="s">
        <v>216</v>
      </c>
      <c r="D27" s="14" t="s">
        <v>217</v>
      </c>
      <c r="E27" s="14" t="s">
        <v>218</v>
      </c>
      <c r="F27" s="14" t="s">
        <v>219</v>
      </c>
      <c r="G27" s="14" t="s">
        <v>220</v>
      </c>
      <c r="H27" s="14" t="s">
        <v>221</v>
      </c>
      <c r="I27" s="14"/>
      <c r="J27" s="14" t="s">
        <v>222</v>
      </c>
      <c r="K27" s="14" t="s">
        <v>48</v>
      </c>
      <c r="L27" s="14" t="s">
        <v>223</v>
      </c>
      <c r="M27" s="14" t="s">
        <v>224</v>
      </c>
      <c r="N27" s="14" t="s">
        <v>51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13</v>
      </c>
      <c r="Z27" s="15" t="n">
        <f aca="false">IF(X27=0,"",X27-Y27)</f>
        <v>16</v>
      </c>
      <c r="AA27" s="21" t="n">
        <f aca="false">IFERROR(Y27/X27,"")</f>
        <v>0.448275862068966</v>
      </c>
      <c r="AB27" s="15" t="n">
        <v>0</v>
      </c>
      <c r="AC27" s="22" t="n">
        <f aca="false">AB27*(1+$L$3)</f>
        <v>0</v>
      </c>
      <c r="AD27" s="20"/>
      <c r="AE27" s="23" t="n">
        <f aca="false">AC27-AD27</f>
        <v>0</v>
      </c>
      <c r="AF27" s="21" t="str">
        <f aca="false">IFERROR(AD27/AC27,"")</f>
        <v/>
      </c>
    </row>
    <row r="28" customFormat="false" ht="15" hidden="false" customHeight="true" outlineLevel="0" collapsed="false">
      <c r="A28" s="14" t="n">
        <v>647086</v>
      </c>
      <c r="B28" s="14" t="n">
        <v>488412</v>
      </c>
      <c r="C28" s="14" t="s">
        <v>225</v>
      </c>
      <c r="D28" s="14" t="s">
        <v>226</v>
      </c>
      <c r="E28" s="14" t="s">
        <v>227</v>
      </c>
      <c r="F28" s="14" t="s">
        <v>228</v>
      </c>
      <c r="G28" s="14" t="s">
        <v>229</v>
      </c>
      <c r="H28" s="14" t="s">
        <v>230</v>
      </c>
      <c r="I28" s="14"/>
      <c r="J28" s="14" t="s">
        <v>47</v>
      </c>
      <c r="K28" s="14" t="s">
        <v>48</v>
      </c>
      <c r="L28" s="14" t="s">
        <v>49</v>
      </c>
      <c r="M28" s="14" t="s">
        <v>231</v>
      </c>
      <c r="N28" s="14" t="s">
        <v>51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14</v>
      </c>
      <c r="Z28" s="15" t="n">
        <f aca="false">IF(X28=0,"",X28-Y28)</f>
        <v>14</v>
      </c>
      <c r="AA28" s="21" t="n">
        <f aca="false">IFERROR(Y28/X28,"")</f>
        <v>0.5</v>
      </c>
      <c r="AB28" s="15" t="n">
        <v>5</v>
      </c>
      <c r="AC28" s="22" t="n">
        <f aca="false">AB28*(1+$L$3)</f>
        <v>5.6</v>
      </c>
      <c r="AD28" s="20"/>
      <c r="AE28" s="23" t="n">
        <f aca="false">AC28-AD28</f>
        <v>5.6</v>
      </c>
      <c r="AF28" s="21" t="n">
        <f aca="false">IFERROR(AD28/AC28,"")</f>
        <v>0</v>
      </c>
    </row>
    <row r="29" customFormat="false" ht="15" hidden="false" customHeight="true" outlineLevel="0" collapsed="false">
      <c r="A29" s="14" t="n">
        <v>658612</v>
      </c>
      <c r="B29" s="14" t="n">
        <v>499620</v>
      </c>
      <c r="C29" s="14" t="s">
        <v>232</v>
      </c>
      <c r="D29" s="14" t="s">
        <v>233</v>
      </c>
      <c r="E29" s="14" t="s">
        <v>234</v>
      </c>
      <c r="F29" s="14" t="s">
        <v>235</v>
      </c>
      <c r="G29" s="14" t="s">
        <v>236</v>
      </c>
      <c r="H29" s="14" t="s">
        <v>237</v>
      </c>
      <c r="I29" s="14" t="s">
        <v>238</v>
      </c>
      <c r="J29" s="14" t="s">
        <v>239</v>
      </c>
      <c r="K29" s="14" t="s">
        <v>67</v>
      </c>
      <c r="L29" s="14" t="s">
        <v>240</v>
      </c>
      <c r="M29" s="14" t="s">
        <v>241</v>
      </c>
      <c r="N29" s="14" t="s">
        <v>70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4</v>
      </c>
      <c r="Z29" s="15" t="n">
        <f aca="false">IF(X29=0,"",X29-Y29)</f>
        <v>22</v>
      </c>
      <c r="AA29" s="21" t="n">
        <f aca="false">IFERROR(Y29/X29,"")</f>
        <v>0.153846153846154</v>
      </c>
      <c r="AB29" s="15" t="n">
        <v>0</v>
      </c>
      <c r="AC29" s="22" t="n">
        <f aca="false">AB29*(1+$L$3)</f>
        <v>0</v>
      </c>
      <c r="AD29" s="20"/>
      <c r="AE29" s="23" t="n">
        <f aca="false">AC29-AD29</f>
        <v>0</v>
      </c>
      <c r="AF29" s="21" t="str">
        <f aca="false">IFERROR(AD29/AC29,"")</f>
        <v/>
      </c>
    </row>
    <row r="30" customFormat="false" ht="15" hidden="false" customHeight="true" outlineLevel="0" collapsed="false">
      <c r="A30" s="14" t="n">
        <v>657930</v>
      </c>
      <c r="B30" s="14" t="n">
        <v>498935</v>
      </c>
      <c r="C30" s="14" t="s">
        <v>242</v>
      </c>
      <c r="D30" s="14" t="s">
        <v>243</v>
      </c>
      <c r="E30" s="14" t="s">
        <v>244</v>
      </c>
      <c r="F30" s="14" t="s">
        <v>245</v>
      </c>
      <c r="G30" s="14" t="s">
        <v>246</v>
      </c>
      <c r="H30" s="14" t="s">
        <v>247</v>
      </c>
      <c r="I30" s="14"/>
      <c r="J30" s="14" t="s">
        <v>248</v>
      </c>
      <c r="K30" s="14" t="s">
        <v>249</v>
      </c>
      <c r="L30" s="14" t="s">
        <v>250</v>
      </c>
      <c r="M30" s="14" t="s">
        <v>251</v>
      </c>
      <c r="N30" s="14" t="s">
        <v>70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7</v>
      </c>
      <c r="Z30" s="15" t="n">
        <f aca="false">IF(X30=0,"",X30-Y30)</f>
        <v>19</v>
      </c>
      <c r="AA30" s="21" t="n">
        <f aca="false">IFERROR(Y30/X30,"")</f>
        <v>0.269230769230769</v>
      </c>
      <c r="AB30" s="15" t="n">
        <v>0</v>
      </c>
      <c r="AC30" s="22" t="n">
        <f aca="false">AB30*(1+$L$3)</f>
        <v>0</v>
      </c>
      <c r="AD30" s="20"/>
      <c r="AE30" s="23" t="n">
        <f aca="false">AC30-AD30</f>
        <v>0</v>
      </c>
      <c r="AF30" s="21" t="str">
        <f aca="false">IFERROR(AD30/AC30,"")</f>
        <v/>
      </c>
    </row>
    <row r="31" customFormat="false" ht="15" hidden="false" customHeight="true" outlineLevel="0" collapsed="false">
      <c r="A31" s="14" t="n">
        <v>658866</v>
      </c>
      <c r="B31" s="14" t="n">
        <v>499857</v>
      </c>
      <c r="C31" s="14" t="s">
        <v>252</v>
      </c>
      <c r="D31" s="14" t="s">
        <v>253</v>
      </c>
      <c r="E31" s="14" t="s">
        <v>254</v>
      </c>
      <c r="F31" s="14" t="s">
        <v>255</v>
      </c>
      <c r="G31" s="14" t="s">
        <v>256</v>
      </c>
      <c r="H31" s="14" t="s">
        <v>257</v>
      </c>
      <c r="I31" s="14" t="s">
        <v>258</v>
      </c>
      <c r="J31" s="14" t="s">
        <v>259</v>
      </c>
      <c r="K31" s="14" t="s">
        <v>67</v>
      </c>
      <c r="L31" s="14" t="s">
        <v>260</v>
      </c>
      <c r="M31" s="14" t="s">
        <v>261</v>
      </c>
      <c r="N31" s="14" t="s">
        <v>70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7</v>
      </c>
      <c r="Z31" s="15" t="n">
        <f aca="false">IF(X31=0,"",X31-Y31)</f>
        <v>17</v>
      </c>
      <c r="AA31" s="21" t="n">
        <f aca="false">IFERROR(Y31/X31,"")</f>
        <v>0.291666666666667</v>
      </c>
      <c r="AB31" s="15" t="n">
        <v>0</v>
      </c>
      <c r="AC31" s="22" t="n">
        <f aca="false">AB31*(1+$L$3)</f>
        <v>0</v>
      </c>
      <c r="AD31" s="20"/>
      <c r="AE31" s="23" t="n">
        <f aca="false">AC31-AD31</f>
        <v>0</v>
      </c>
      <c r="AF31" s="21" t="str">
        <f aca="false">IFERROR(AD31/AC31,"")</f>
        <v/>
      </c>
    </row>
    <row r="32" customFormat="false" ht="15" hidden="false" customHeight="true" outlineLevel="0" collapsed="false">
      <c r="A32" s="14" t="n">
        <v>625746</v>
      </c>
      <c r="B32" s="14" t="n">
        <v>474683</v>
      </c>
      <c r="C32" s="14" t="s">
        <v>262</v>
      </c>
      <c r="D32" s="14" t="s">
        <v>263</v>
      </c>
      <c r="E32" s="14" t="s">
        <v>264</v>
      </c>
      <c r="F32" s="14" t="s">
        <v>265</v>
      </c>
      <c r="G32" s="14" t="s">
        <v>266</v>
      </c>
      <c r="H32" s="14" t="s">
        <v>267</v>
      </c>
      <c r="I32" s="14"/>
      <c r="J32" s="14" t="s">
        <v>268</v>
      </c>
      <c r="K32" s="14" t="s">
        <v>48</v>
      </c>
      <c r="L32" s="14" t="s">
        <v>86</v>
      </c>
      <c r="M32" s="14" t="s">
        <v>269</v>
      </c>
      <c r="N32" s="14" t="s">
        <v>51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/>
      <c r="Z32" s="15" t="n">
        <f aca="false">IF(X32=0,"",X32-Y32)</f>
        <v>24</v>
      </c>
      <c r="AA32" s="21" t="n">
        <f aca="false">IFERROR(Y32/X32,"")</f>
        <v>0</v>
      </c>
      <c r="AB32" s="15" t="n">
        <v>15</v>
      </c>
      <c r="AC32" s="22" t="n">
        <f aca="false">AB32*(1+$L$3)</f>
        <v>16.8</v>
      </c>
      <c r="AD32" s="20"/>
      <c r="AE32" s="23" t="n">
        <f aca="false">AC32-AD32</f>
        <v>16.8</v>
      </c>
      <c r="AF32" s="21" t="n">
        <f aca="false">IFERROR(AD32/AC32,"")</f>
        <v>0</v>
      </c>
    </row>
    <row r="33" customFormat="false" ht="15" hidden="false" customHeight="true" outlineLevel="0" collapsed="false">
      <c r="A33" s="14" t="n">
        <v>638393</v>
      </c>
      <c r="B33" s="14" t="n">
        <v>476560</v>
      </c>
      <c r="C33" s="14" t="s">
        <v>270</v>
      </c>
      <c r="D33" s="14" t="s">
        <v>271</v>
      </c>
      <c r="E33" s="14" t="s">
        <v>272</v>
      </c>
      <c r="F33" s="14" t="s">
        <v>273</v>
      </c>
      <c r="G33" s="14" t="s">
        <v>274</v>
      </c>
      <c r="H33" s="14" t="s">
        <v>275</v>
      </c>
      <c r="I33" s="14" t="s">
        <v>276</v>
      </c>
      <c r="J33" s="14" t="s">
        <v>47</v>
      </c>
      <c r="K33" s="14" t="s">
        <v>48</v>
      </c>
      <c r="L33" s="14" t="s">
        <v>49</v>
      </c>
      <c r="M33" s="14" t="s">
        <v>277</v>
      </c>
      <c r="N33" s="14" t="s">
        <v>51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18</v>
      </c>
      <c r="Z33" s="15" t="n">
        <f aca="false">IF(X33=0,"",X33-Y33)</f>
        <v>5</v>
      </c>
      <c r="AA33" s="21" t="n">
        <f aca="false">IFERROR(Y33/X33,"")</f>
        <v>0.782608695652174</v>
      </c>
      <c r="AB33" s="15" t="n">
        <v>6</v>
      </c>
      <c r="AC33" s="22" t="n">
        <f aca="false">AB33*(1+$L$3)</f>
        <v>6.72</v>
      </c>
      <c r="AD33" s="20"/>
      <c r="AE33" s="23" t="n">
        <f aca="false">AC33-AD33</f>
        <v>6.72</v>
      </c>
      <c r="AF33" s="21" t="n">
        <f aca="false">IFERROR(AD33/AC33,"")</f>
        <v>0</v>
      </c>
    </row>
    <row r="34" customFormat="false" ht="15" hidden="false" customHeight="true" outlineLevel="0" collapsed="false">
      <c r="A34" s="14" t="n">
        <v>645918</v>
      </c>
      <c r="B34" s="14" t="n">
        <v>487291</v>
      </c>
      <c r="C34" s="14" t="s">
        <v>278</v>
      </c>
      <c r="D34" s="14" t="s">
        <v>279</v>
      </c>
      <c r="E34" s="14" t="s">
        <v>280</v>
      </c>
      <c r="F34" s="14" t="s">
        <v>281</v>
      </c>
      <c r="G34" s="14" t="s">
        <v>282</v>
      </c>
      <c r="H34" s="14" t="s">
        <v>283</v>
      </c>
      <c r="I34" s="14" t="s">
        <v>284</v>
      </c>
      <c r="J34" s="14" t="s">
        <v>285</v>
      </c>
      <c r="K34" s="14" t="s">
        <v>286</v>
      </c>
      <c r="L34" s="14" t="s">
        <v>287</v>
      </c>
      <c r="M34" s="14" t="s">
        <v>288</v>
      </c>
      <c r="N34" s="14" t="s">
        <v>289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2" t="n">
        <f aca="false">AB34*(1+$L$3)</f>
        <v>0</v>
      </c>
      <c r="AD34" s="20"/>
      <c r="AE34" s="23" t="n">
        <f aca="false">AC34-AD34</f>
        <v>0</v>
      </c>
      <c r="AF34" s="21" t="str">
        <f aca="false">IFERROR(AD34/AC34,"")</f>
        <v/>
      </c>
    </row>
    <row r="35" customFormat="false" ht="15" hidden="false" customHeight="true" outlineLevel="0" collapsed="false">
      <c r="A35" s="14" t="n">
        <v>647304</v>
      </c>
      <c r="B35" s="14" t="n">
        <v>488630</v>
      </c>
      <c r="C35" s="14" t="s">
        <v>290</v>
      </c>
      <c r="D35" s="14" t="s">
        <v>291</v>
      </c>
      <c r="E35" s="14" t="s">
        <v>292</v>
      </c>
      <c r="F35" s="14" t="s">
        <v>293</v>
      </c>
      <c r="G35" s="14" t="s">
        <v>294</v>
      </c>
      <c r="H35" s="14" t="s">
        <v>295</v>
      </c>
      <c r="I35" s="14"/>
      <c r="J35" s="14" t="s">
        <v>296</v>
      </c>
      <c r="K35" s="14" t="s">
        <v>67</v>
      </c>
      <c r="L35" s="14" t="s">
        <v>297</v>
      </c>
      <c r="M35" s="14" t="s">
        <v>298</v>
      </c>
      <c r="N35" s="14" t="s">
        <v>70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 t="n">
        <v>1</v>
      </c>
      <c r="Z35" s="15" t="n">
        <f aca="false">IF(X35=0,"",X35-Y35)</f>
        <v>20</v>
      </c>
      <c r="AA35" s="21" t="n">
        <f aca="false">IFERROR(Y35/X35,"")</f>
        <v>0.0476190476190476</v>
      </c>
      <c r="AB35" s="15" t="n">
        <v>0</v>
      </c>
      <c r="AC35" s="22" t="n">
        <f aca="false">AB35*(1+$L$3)</f>
        <v>0</v>
      </c>
      <c r="AD35" s="20"/>
      <c r="AE35" s="23" t="n">
        <f aca="false">AC35-AD35</f>
        <v>0</v>
      </c>
      <c r="AF35" s="21" t="str">
        <f aca="false">IFERROR(AD35/AC35,"")</f>
        <v/>
      </c>
    </row>
    <row r="36" customFormat="false" ht="15" hidden="false" customHeight="true" outlineLevel="0" collapsed="false">
      <c r="A36" s="14" t="n">
        <v>646877</v>
      </c>
      <c r="B36" s="14" t="n">
        <v>488205</v>
      </c>
      <c r="C36" s="14" t="s">
        <v>299</v>
      </c>
      <c r="D36" s="14" t="s">
        <v>300</v>
      </c>
      <c r="E36" s="14" t="s">
        <v>301</v>
      </c>
      <c r="F36" s="14" t="s">
        <v>302</v>
      </c>
      <c r="G36" s="14" t="s">
        <v>303</v>
      </c>
      <c r="H36" s="14" t="s">
        <v>304</v>
      </c>
      <c r="I36" s="14" t="s">
        <v>305</v>
      </c>
      <c r="J36" s="14" t="s">
        <v>306</v>
      </c>
      <c r="K36" s="14" t="s">
        <v>307</v>
      </c>
      <c r="L36" s="14" t="s">
        <v>308</v>
      </c>
      <c r="M36" s="14" t="s">
        <v>309</v>
      </c>
      <c r="N36" s="14" t="s">
        <v>70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2" t="n">
        <f aca="false">AB36*(1+$L$3)</f>
        <v>0</v>
      </c>
      <c r="AD36" s="20"/>
      <c r="AE36" s="23" t="n">
        <f aca="false">AC36-AD36</f>
        <v>0</v>
      </c>
      <c r="AF36" s="21" t="str">
        <f aca="false">IFERROR(AD36/AC36,"")</f>
        <v/>
      </c>
    </row>
    <row r="37" customFormat="false" ht="15" hidden="false" customHeight="true" outlineLevel="0" collapsed="false">
      <c r="A37" s="14" t="n">
        <v>625671</v>
      </c>
      <c r="B37" s="14" t="n">
        <v>474617</v>
      </c>
      <c r="C37" s="14" t="s">
        <v>310</v>
      </c>
      <c r="D37" s="14" t="s">
        <v>311</v>
      </c>
      <c r="E37" s="14" t="s">
        <v>312</v>
      </c>
      <c r="F37" s="14" t="s">
        <v>313</v>
      </c>
      <c r="G37" s="14" t="s">
        <v>314</v>
      </c>
      <c r="H37" s="14" t="s">
        <v>315</v>
      </c>
      <c r="I37" s="14"/>
      <c r="J37" s="14" t="s">
        <v>316</v>
      </c>
      <c r="K37" s="14" t="s">
        <v>307</v>
      </c>
      <c r="L37" s="14" t="s">
        <v>317</v>
      </c>
      <c r="M37" s="14" t="s">
        <v>318</v>
      </c>
      <c r="N37" s="14" t="s">
        <v>70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2</v>
      </c>
      <c r="Z37" s="15" t="n">
        <f aca="false">IF(X37=0,"",X37-Y37)</f>
        <v>15</v>
      </c>
      <c r="AA37" s="21" t="n">
        <f aca="false">IFERROR(Y37/X37,"")</f>
        <v>0.117647058823529</v>
      </c>
      <c r="AB37" s="15" t="n">
        <v>0</v>
      </c>
      <c r="AC37" s="22" t="n">
        <f aca="false">AB37*(1+$L$3)</f>
        <v>0</v>
      </c>
      <c r="AD37" s="20"/>
      <c r="AE37" s="23" t="n">
        <f aca="false">AC37-AD37</f>
        <v>0</v>
      </c>
      <c r="AF37" s="21" t="str">
        <f aca="false">IFERROR(AD37/AC37,"")</f>
        <v/>
      </c>
    </row>
    <row r="38" customFormat="false" ht="15" hidden="false" customHeight="true" outlineLevel="0" collapsed="false">
      <c r="A38" s="14" t="n">
        <v>647030</v>
      </c>
      <c r="B38" s="14" t="n">
        <v>488358</v>
      </c>
      <c r="C38" s="14" t="s">
        <v>319</v>
      </c>
      <c r="D38" s="14" t="s">
        <v>320</v>
      </c>
      <c r="E38" s="14" t="s">
        <v>321</v>
      </c>
      <c r="F38" s="14" t="s">
        <v>322</v>
      </c>
      <c r="G38" s="14" t="s">
        <v>323</v>
      </c>
      <c r="H38" s="14" t="s">
        <v>324</v>
      </c>
      <c r="I38" s="14"/>
      <c r="J38" s="14" t="s">
        <v>325</v>
      </c>
      <c r="K38" s="14" t="s">
        <v>67</v>
      </c>
      <c r="L38" s="14" t="s">
        <v>326</v>
      </c>
      <c r="M38" s="14" t="s">
        <v>327</v>
      </c>
      <c r="N38" s="14" t="s">
        <v>70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 t="n">
        <v>3</v>
      </c>
      <c r="Z38" s="15" t="n">
        <f aca="false">IF(X38=0,"",X38-Y38)</f>
        <v>13</v>
      </c>
      <c r="AA38" s="21" t="n">
        <f aca="false">IFERROR(Y38/X38,"")</f>
        <v>0.1875</v>
      </c>
      <c r="AB38" s="15" t="n">
        <v>0</v>
      </c>
      <c r="AC38" s="22" t="n">
        <f aca="false">AB38*(1+$L$3)</f>
        <v>0</v>
      </c>
      <c r="AD38" s="20"/>
      <c r="AE38" s="23" t="n">
        <f aca="false">AC38-AD38</f>
        <v>0</v>
      </c>
      <c r="AF38" s="21" t="str">
        <f aca="false">IFERROR(AD38/AC38,"")</f>
        <v/>
      </c>
    </row>
    <row r="39" customFormat="false" ht="15" hidden="false" customHeight="true" outlineLevel="0" collapsed="false">
      <c r="A39" s="14" t="n">
        <v>656950</v>
      </c>
      <c r="B39" s="14" t="n">
        <v>497993</v>
      </c>
      <c r="C39" s="14" t="s">
        <v>328</v>
      </c>
      <c r="D39" s="14" t="s">
        <v>329</v>
      </c>
      <c r="E39" s="14" t="s">
        <v>330</v>
      </c>
      <c r="F39" s="14" t="s">
        <v>331</v>
      </c>
      <c r="G39" s="14" t="s">
        <v>332</v>
      </c>
      <c r="H39" s="14" t="s">
        <v>333</v>
      </c>
      <c r="I39" s="14"/>
      <c r="J39" s="14" t="s">
        <v>334</v>
      </c>
      <c r="K39" s="14" t="s">
        <v>335</v>
      </c>
      <c r="L39" s="14" t="s">
        <v>336</v>
      </c>
      <c r="M39" s="14" t="s">
        <v>337</v>
      </c>
      <c r="N39" s="14" t="s">
        <v>70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1</v>
      </c>
      <c r="Z39" s="15" t="n">
        <f aca="false">IF(X39=0,"",X39-Y39)</f>
        <v>15</v>
      </c>
      <c r="AA39" s="21" t="n">
        <f aca="false">IFERROR(Y39/X39,"")</f>
        <v>0.0625</v>
      </c>
      <c r="AB39" s="15" t="n">
        <v>0</v>
      </c>
      <c r="AC39" s="22" t="n">
        <f aca="false">AB39*(1+$L$3)</f>
        <v>0</v>
      </c>
      <c r="AD39" s="20"/>
      <c r="AE39" s="23" t="n">
        <f aca="false">AC39-AD39</f>
        <v>0</v>
      </c>
      <c r="AF39" s="21" t="str">
        <f aca="false">IFERROR(AD39/AC39,"")</f>
        <v/>
      </c>
    </row>
    <row r="40" customFormat="false" ht="15" hidden="false" customHeight="true" outlineLevel="0" collapsed="false">
      <c r="A40" s="14" t="n">
        <v>658181</v>
      </c>
      <c r="B40" s="14" t="n">
        <v>499185</v>
      </c>
      <c r="C40" s="14" t="s">
        <v>338</v>
      </c>
      <c r="D40" s="14" t="s">
        <v>339</v>
      </c>
      <c r="E40" s="14" t="s">
        <v>340</v>
      </c>
      <c r="F40" s="14" t="s">
        <v>341</v>
      </c>
      <c r="G40" s="14" t="s">
        <v>342</v>
      </c>
      <c r="H40" s="14" t="s">
        <v>343</v>
      </c>
      <c r="I40" s="14"/>
      <c r="J40" s="14" t="s">
        <v>47</v>
      </c>
      <c r="K40" s="14" t="s">
        <v>48</v>
      </c>
      <c r="L40" s="14" t="s">
        <v>49</v>
      </c>
      <c r="M40" s="14" t="s">
        <v>344</v>
      </c>
      <c r="N40" s="14" t="s">
        <v>51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14</v>
      </c>
      <c r="Z40" s="15" t="n">
        <f aca="false">IF(X40=0,"",X40-Y40)</f>
        <v>2</v>
      </c>
      <c r="AA40" s="21" t="n">
        <f aca="false">IFERROR(Y40/X40,"")</f>
        <v>0.875</v>
      </c>
      <c r="AB40" s="15" t="n">
        <v>0</v>
      </c>
      <c r="AC40" s="22" t="n">
        <f aca="false">AB40*(1+$L$3)</f>
        <v>0</v>
      </c>
      <c r="AD40" s="20"/>
      <c r="AE40" s="23" t="n">
        <f aca="false">AC40-AD40</f>
        <v>0</v>
      </c>
      <c r="AF40" s="21" t="str">
        <f aca="false">IFERROR(AD40/AC40,"")</f>
        <v/>
      </c>
    </row>
    <row r="41" customFormat="false" ht="15" hidden="false" customHeight="true" outlineLevel="0" collapsed="false">
      <c r="A41" s="14" t="n">
        <v>658056</v>
      </c>
      <c r="B41" s="14" t="n">
        <v>499059</v>
      </c>
      <c r="C41" s="14" t="s">
        <v>345</v>
      </c>
      <c r="D41" s="14" t="s">
        <v>346</v>
      </c>
      <c r="E41" s="14" t="s">
        <v>347</v>
      </c>
      <c r="F41" s="14" t="s">
        <v>348</v>
      </c>
      <c r="G41" s="14" t="s">
        <v>349</v>
      </c>
      <c r="H41" s="14" t="s">
        <v>350</v>
      </c>
      <c r="I41" s="14" t="s">
        <v>351</v>
      </c>
      <c r="J41" s="14" t="s">
        <v>352</v>
      </c>
      <c r="K41" s="14" t="s">
        <v>67</v>
      </c>
      <c r="L41" s="14" t="s">
        <v>353</v>
      </c>
      <c r="M41" s="14" t="s">
        <v>354</v>
      </c>
      <c r="N41" s="14" t="s">
        <v>70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5</v>
      </c>
      <c r="Z41" s="15" t="n">
        <f aca="false">IF(X41=0,"",X41-Y41)</f>
        <v>11</v>
      </c>
      <c r="AA41" s="21" t="n">
        <f aca="false">IFERROR(Y41/X41,"")</f>
        <v>0.3125</v>
      </c>
      <c r="AB41" s="15" t="n">
        <v>0</v>
      </c>
      <c r="AC41" s="22" t="n">
        <f aca="false">AB41*(1+$L$3)</f>
        <v>0</v>
      </c>
      <c r="AD41" s="20"/>
      <c r="AE41" s="23" t="n">
        <f aca="false">AC41-AD41</f>
        <v>0</v>
      </c>
      <c r="AF41" s="21" t="str">
        <f aca="false">IFERROR(AD41/AC41,"")</f>
        <v/>
      </c>
    </row>
    <row r="42" customFormat="false" ht="15" hidden="false" customHeight="true" outlineLevel="0" collapsed="false">
      <c r="A42" s="14" t="n">
        <v>650791</v>
      </c>
      <c r="B42" s="14" t="n">
        <v>492041</v>
      </c>
      <c r="C42" s="14" t="s">
        <v>355</v>
      </c>
      <c r="D42" s="14" t="s">
        <v>356</v>
      </c>
      <c r="E42" s="14" t="s">
        <v>357</v>
      </c>
      <c r="F42" s="14" t="s">
        <v>358</v>
      </c>
      <c r="G42" s="14" t="s">
        <v>359</v>
      </c>
      <c r="H42" s="14" t="s">
        <v>360</v>
      </c>
      <c r="I42" s="14" t="s">
        <v>361</v>
      </c>
      <c r="J42" s="14" t="s">
        <v>77</v>
      </c>
      <c r="K42" s="14" t="s">
        <v>48</v>
      </c>
      <c r="L42" s="14" t="s">
        <v>86</v>
      </c>
      <c r="M42" s="14" t="s">
        <v>362</v>
      </c>
      <c r="N42" s="14" t="s">
        <v>51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 t="n">
        <v>4</v>
      </c>
      <c r="Z42" s="15" t="n">
        <f aca="false">IF(X42=0,"",X42-Y42)</f>
        <v>11</v>
      </c>
      <c r="AA42" s="21" t="n">
        <f aca="false">IFERROR(Y42/X42,"")</f>
        <v>0.266666666666667</v>
      </c>
      <c r="AB42" s="15" t="n">
        <v>0</v>
      </c>
      <c r="AC42" s="22" t="n">
        <f aca="false">AB42*(1+$L$3)</f>
        <v>0</v>
      </c>
      <c r="AD42" s="20"/>
      <c r="AE42" s="23" t="n">
        <f aca="false">AC42-AD42</f>
        <v>0</v>
      </c>
      <c r="AF42" s="21" t="str">
        <f aca="false">IFERROR(AD42/AC42,"")</f>
        <v/>
      </c>
    </row>
    <row r="43" customFormat="false" ht="15" hidden="false" customHeight="true" outlineLevel="0" collapsed="false">
      <c r="A43" s="14" t="n">
        <v>638399</v>
      </c>
      <c r="B43" s="14" t="n">
        <v>484262</v>
      </c>
      <c r="C43" s="14" t="s">
        <v>363</v>
      </c>
      <c r="D43" s="14" t="s">
        <v>364</v>
      </c>
      <c r="E43" s="14" t="s">
        <v>365</v>
      </c>
      <c r="F43" s="14" t="s">
        <v>366</v>
      </c>
      <c r="G43" s="14" t="s">
        <v>367</v>
      </c>
      <c r="H43" s="14" t="s">
        <v>368</v>
      </c>
      <c r="I43" s="14" t="s">
        <v>369</v>
      </c>
      <c r="J43" s="14" t="s">
        <v>47</v>
      </c>
      <c r="K43" s="14" t="s">
        <v>48</v>
      </c>
      <c r="L43" s="14" t="s">
        <v>49</v>
      </c>
      <c r="M43" s="14" t="s">
        <v>370</v>
      </c>
      <c r="N43" s="14" t="s">
        <v>51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4</v>
      </c>
      <c r="Z43" s="15" t="n">
        <f aca="false">IF(X43=0,"",X43-Y43)</f>
        <v>11</v>
      </c>
      <c r="AA43" s="21" t="n">
        <f aca="false">IFERROR(Y43/X43,"")</f>
        <v>0.266666666666667</v>
      </c>
      <c r="AB43" s="15" t="n">
        <v>13</v>
      </c>
      <c r="AC43" s="22" t="n">
        <f aca="false">AB43*(1+$L$3)</f>
        <v>14.56</v>
      </c>
      <c r="AD43" s="20"/>
      <c r="AE43" s="23" t="n">
        <f aca="false">AC43-AD43</f>
        <v>14.56</v>
      </c>
      <c r="AF43" s="21" t="n">
        <f aca="false">IFERROR(AD43/AC43,"")</f>
        <v>0</v>
      </c>
    </row>
    <row r="44" customFormat="false" ht="15" hidden="false" customHeight="true" outlineLevel="0" collapsed="false">
      <c r="A44" s="14" t="n">
        <v>658767</v>
      </c>
      <c r="B44" s="14" t="n">
        <v>499759</v>
      </c>
      <c r="C44" s="14" t="s">
        <v>371</v>
      </c>
      <c r="D44" s="14" t="s">
        <v>372</v>
      </c>
      <c r="E44" s="14" t="s">
        <v>373</v>
      </c>
      <c r="F44" s="14" t="s">
        <v>374</v>
      </c>
      <c r="G44" s="14" t="s">
        <v>375</v>
      </c>
      <c r="H44" s="14" t="s">
        <v>376</v>
      </c>
      <c r="I44" s="14" t="s">
        <v>377</v>
      </c>
      <c r="J44" s="14" t="s">
        <v>77</v>
      </c>
      <c r="K44" s="14" t="s">
        <v>48</v>
      </c>
      <c r="L44" s="14" t="s">
        <v>86</v>
      </c>
      <c r="M44" s="14" t="s">
        <v>378</v>
      </c>
      <c r="N44" s="14" t="s">
        <v>70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/>
      <c r="Z44" s="15" t="n">
        <f aca="false">IF(X44=0,"",X44-Y44)</f>
        <v>13</v>
      </c>
      <c r="AA44" s="21" t="n">
        <f aca="false">IFERROR(Y44/X44,"")</f>
        <v>0</v>
      </c>
      <c r="AB44" s="15" t="n">
        <v>0</v>
      </c>
      <c r="AC44" s="22" t="n">
        <f aca="false">AB44*(1+$L$3)</f>
        <v>0</v>
      </c>
      <c r="AD44" s="20"/>
      <c r="AE44" s="23" t="n">
        <f aca="false">AC44-AD44</f>
        <v>0</v>
      </c>
      <c r="AF44" s="21" t="str">
        <f aca="false">IFERROR(AD44/AC44,"")</f>
        <v/>
      </c>
    </row>
    <row r="45" customFormat="false" ht="15" hidden="false" customHeight="true" outlineLevel="0" collapsed="false">
      <c r="A45" s="14" t="n">
        <v>642914</v>
      </c>
      <c r="B45" s="14" t="n">
        <v>484473</v>
      </c>
      <c r="C45" s="14" t="s">
        <v>379</v>
      </c>
      <c r="D45" s="14" t="s">
        <v>380</v>
      </c>
      <c r="E45" s="14" t="s">
        <v>381</v>
      </c>
      <c r="F45" s="14" t="s">
        <v>382</v>
      </c>
      <c r="G45" s="14" t="s">
        <v>383</v>
      </c>
      <c r="H45" s="14" t="s">
        <v>384</v>
      </c>
      <c r="I45" s="14"/>
      <c r="J45" s="14" t="s">
        <v>385</v>
      </c>
      <c r="K45" s="14" t="s">
        <v>48</v>
      </c>
      <c r="L45" s="14" t="s">
        <v>223</v>
      </c>
      <c r="M45" s="14" t="s">
        <v>386</v>
      </c>
      <c r="N45" s="14" t="s">
        <v>51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4</v>
      </c>
      <c r="Z45" s="15" t="n">
        <f aca="false">IF(X45=0,"",X45-Y45)</f>
        <v>9</v>
      </c>
      <c r="AA45" s="21" t="n">
        <f aca="false">IFERROR(Y45/X45,"")</f>
        <v>0.307692307692308</v>
      </c>
      <c r="AB45" s="15" t="n">
        <v>0</v>
      </c>
      <c r="AC45" s="22" t="n">
        <f aca="false">AB45*(1+$L$3)</f>
        <v>0</v>
      </c>
      <c r="AD45" s="20"/>
      <c r="AE45" s="23" t="n">
        <f aca="false">AC45-AD45</f>
        <v>0</v>
      </c>
      <c r="AF45" s="21" t="str">
        <f aca="false">IFERROR(AD45/AC45,"")</f>
        <v/>
      </c>
    </row>
    <row r="46" customFormat="false" ht="15" hidden="false" customHeight="true" outlineLevel="0" collapsed="false">
      <c r="A46" s="14" t="n">
        <v>636864</v>
      </c>
      <c r="B46" s="14" t="n">
        <v>483314</v>
      </c>
      <c r="C46" s="14" t="s">
        <v>387</v>
      </c>
      <c r="D46" s="14" t="s">
        <v>388</v>
      </c>
      <c r="E46" s="14" t="s">
        <v>389</v>
      </c>
      <c r="F46" s="14" t="s">
        <v>390</v>
      </c>
      <c r="G46" s="14" t="s">
        <v>391</v>
      </c>
      <c r="H46" s="14" t="s">
        <v>392</v>
      </c>
      <c r="I46" s="14"/>
      <c r="J46" s="14" t="s">
        <v>47</v>
      </c>
      <c r="K46" s="14" t="s">
        <v>48</v>
      </c>
      <c r="L46" s="14" t="s">
        <v>393</v>
      </c>
      <c r="M46" s="14" t="s">
        <v>394</v>
      </c>
      <c r="N46" s="14" t="s">
        <v>51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3</v>
      </c>
      <c r="Z46" s="15" t="n">
        <f aca="false">IF(X46=0,"",X46-Y46)</f>
        <v>10</v>
      </c>
      <c r="AA46" s="21" t="n">
        <f aca="false">IFERROR(Y46/X46,"")</f>
        <v>0.230769230769231</v>
      </c>
      <c r="AB46" s="15" t="n">
        <v>0</v>
      </c>
      <c r="AC46" s="22" t="n">
        <f aca="false">AB46*(1+$L$3)</f>
        <v>0</v>
      </c>
      <c r="AD46" s="20"/>
      <c r="AE46" s="23" t="n">
        <f aca="false">AC46-AD46</f>
        <v>0</v>
      </c>
      <c r="AF46" s="21" t="str">
        <f aca="false">IFERROR(AD46/AC46,"")</f>
        <v/>
      </c>
    </row>
    <row r="47" customFormat="false" ht="15" hidden="false" customHeight="true" outlineLevel="0" collapsed="false">
      <c r="A47" s="14" t="n">
        <v>631472</v>
      </c>
      <c r="B47" s="14" t="n">
        <v>477971</v>
      </c>
      <c r="C47" s="14" t="s">
        <v>395</v>
      </c>
      <c r="D47" s="14" t="s">
        <v>396</v>
      </c>
      <c r="E47" s="14" t="s">
        <v>93</v>
      </c>
      <c r="F47" s="14" t="s">
        <v>397</v>
      </c>
      <c r="G47" s="14" t="s">
        <v>398</v>
      </c>
      <c r="H47" s="14" t="s">
        <v>399</v>
      </c>
      <c r="I47" s="14"/>
      <c r="J47" s="14" t="s">
        <v>47</v>
      </c>
      <c r="K47" s="14" t="s">
        <v>48</v>
      </c>
      <c r="L47" s="14" t="s">
        <v>49</v>
      </c>
      <c r="M47" s="14" t="s">
        <v>400</v>
      </c>
      <c r="N47" s="14" t="s">
        <v>51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2</v>
      </c>
      <c r="Z47" s="15" t="n">
        <f aca="false">IF(X47=0,"",X47-Y47)</f>
        <v>11</v>
      </c>
      <c r="AA47" s="21" t="n">
        <f aca="false">IFERROR(Y47/X47,"")</f>
        <v>0.153846153846154</v>
      </c>
      <c r="AB47" s="15" t="n">
        <v>0</v>
      </c>
      <c r="AC47" s="22" t="n">
        <f aca="false">AB47*(1+$L$3)</f>
        <v>0</v>
      </c>
      <c r="AD47" s="20"/>
      <c r="AE47" s="23" t="n">
        <f aca="false">AC47-AD47</f>
        <v>0</v>
      </c>
      <c r="AF47" s="21" t="str">
        <f aca="false">IFERROR(AD47/AC47,"")</f>
        <v/>
      </c>
    </row>
    <row r="48" customFormat="false" ht="15" hidden="false" customHeight="true" outlineLevel="0" collapsed="false">
      <c r="A48" s="14" t="n">
        <v>658034</v>
      </c>
      <c r="B48" s="14" t="n">
        <v>499037</v>
      </c>
      <c r="C48" s="14" t="s">
        <v>401</v>
      </c>
      <c r="D48" s="14" t="s">
        <v>402</v>
      </c>
      <c r="E48" s="14" t="s">
        <v>403</v>
      </c>
      <c r="F48" s="14" t="s">
        <v>404</v>
      </c>
      <c r="G48" s="14" t="s">
        <v>405</v>
      </c>
      <c r="H48" s="14" t="s">
        <v>406</v>
      </c>
      <c r="I48" s="14"/>
      <c r="J48" s="14" t="s">
        <v>407</v>
      </c>
      <c r="K48" s="14" t="s">
        <v>408</v>
      </c>
      <c r="L48" s="14" t="s">
        <v>409</v>
      </c>
      <c r="M48" s="14" t="s">
        <v>410</v>
      </c>
      <c r="N48" s="14" t="s">
        <v>70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8</v>
      </c>
      <c r="Z48" s="15" t="n">
        <f aca="false">IF(X48=0,"",X48-Y48)</f>
        <v>4</v>
      </c>
      <c r="AA48" s="21" t="n">
        <f aca="false">IFERROR(Y48/X48,"")</f>
        <v>0.666666666666667</v>
      </c>
      <c r="AB48" s="15" t="n">
        <v>0</v>
      </c>
      <c r="AC48" s="22" t="n">
        <f aca="false">AB48*(1+$L$3)</f>
        <v>0</v>
      </c>
      <c r="AD48" s="20"/>
      <c r="AE48" s="23" t="n">
        <f aca="false">AC48-AD48</f>
        <v>0</v>
      </c>
      <c r="AF48" s="21" t="str">
        <f aca="false">IFERROR(AD48/AC48,"")</f>
        <v/>
      </c>
    </row>
    <row r="49" customFormat="false" ht="15" hidden="false" customHeight="true" outlineLevel="0" collapsed="false">
      <c r="A49" s="14" t="n">
        <v>654368</v>
      </c>
      <c r="B49" s="14" t="n">
        <v>495521</v>
      </c>
      <c r="C49" s="14" t="s">
        <v>411</v>
      </c>
      <c r="D49" s="14" t="s">
        <v>412</v>
      </c>
      <c r="E49" s="14" t="s">
        <v>413</v>
      </c>
      <c r="F49" s="14" t="s">
        <v>414</v>
      </c>
      <c r="G49" s="14" t="s">
        <v>415</v>
      </c>
      <c r="H49" s="14" t="s">
        <v>416</v>
      </c>
      <c r="I49" s="14" t="s">
        <v>276</v>
      </c>
      <c r="J49" s="14" t="s">
        <v>417</v>
      </c>
      <c r="K49" s="14" t="s">
        <v>67</v>
      </c>
      <c r="L49" s="14" t="s">
        <v>418</v>
      </c>
      <c r="M49" s="14" t="s">
        <v>419</v>
      </c>
      <c r="N49" s="14" t="s">
        <v>70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21</v>
      </c>
      <c r="Z49" s="15" t="n">
        <f aca="false">IF(X49=0,"",X49-Y49)</f>
        <v>-9</v>
      </c>
      <c r="AA49" s="21" t="n">
        <f aca="false">IFERROR(Y49/X49,"")</f>
        <v>1.75</v>
      </c>
      <c r="AB49" s="15" t="n">
        <v>0</v>
      </c>
      <c r="AC49" s="22" t="n">
        <f aca="false">AB49*(1+$L$3)</f>
        <v>0</v>
      </c>
      <c r="AD49" s="20"/>
      <c r="AE49" s="23" t="n">
        <f aca="false">AC49-AD49</f>
        <v>0</v>
      </c>
      <c r="AF49" s="21" t="str">
        <f aca="false">IFERROR(AD49/AC49,"")</f>
        <v/>
      </c>
    </row>
    <row r="50" customFormat="false" ht="15" hidden="false" customHeight="true" outlineLevel="0" collapsed="false">
      <c r="A50" s="14" t="n">
        <v>659802</v>
      </c>
      <c r="B50" s="14" t="n">
        <v>500809</v>
      </c>
      <c r="C50" s="14" t="s">
        <v>420</v>
      </c>
      <c r="D50" s="14" t="s">
        <v>421</v>
      </c>
      <c r="E50" s="14" t="s">
        <v>422</v>
      </c>
      <c r="F50" s="14" t="s">
        <v>423</v>
      </c>
      <c r="G50" s="14" t="s">
        <v>424</v>
      </c>
      <c r="H50" s="14" t="s">
        <v>425</v>
      </c>
      <c r="I50" s="14"/>
      <c r="J50" s="14" t="s">
        <v>47</v>
      </c>
      <c r="K50" s="14" t="s">
        <v>48</v>
      </c>
      <c r="L50" s="14" t="s">
        <v>188</v>
      </c>
      <c r="M50" s="14" t="s">
        <v>426</v>
      </c>
      <c r="N50" s="14" t="s">
        <v>70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3</v>
      </c>
      <c r="Z50" s="15" t="n">
        <f aca="false">IF(X50=0,"",X50-Y50)</f>
        <v>8</v>
      </c>
      <c r="AA50" s="21" t="n">
        <f aca="false">IFERROR(Y50/X50,"")</f>
        <v>0.272727272727273</v>
      </c>
      <c r="AB50" s="15" t="n">
        <v>0</v>
      </c>
      <c r="AC50" s="22" t="n">
        <f aca="false">AB50*(1+$L$3)</f>
        <v>0</v>
      </c>
      <c r="AD50" s="20"/>
      <c r="AE50" s="23" t="n">
        <f aca="false">AC50-AD50</f>
        <v>0</v>
      </c>
      <c r="AF50" s="21" t="str">
        <f aca="false">IFERROR(AD50/AC50,"")</f>
        <v/>
      </c>
    </row>
    <row r="51" customFormat="false" ht="15" hidden="false" customHeight="true" outlineLevel="0" collapsed="false">
      <c r="A51" s="14" t="n">
        <v>644687</v>
      </c>
      <c r="B51" s="14" t="n">
        <v>486107</v>
      </c>
      <c r="C51" s="14" t="s">
        <v>427</v>
      </c>
      <c r="D51" s="14" t="s">
        <v>428</v>
      </c>
      <c r="E51" s="14" t="s">
        <v>429</v>
      </c>
      <c r="F51" s="14" t="s">
        <v>430</v>
      </c>
      <c r="G51" s="14" t="s">
        <v>431</v>
      </c>
      <c r="H51" s="14" t="s">
        <v>432</v>
      </c>
      <c r="I51" s="14"/>
      <c r="J51" s="14" t="s">
        <v>66</v>
      </c>
      <c r="K51" s="14" t="s">
        <v>67</v>
      </c>
      <c r="L51" s="14" t="s">
        <v>68</v>
      </c>
      <c r="M51" s="14" t="s">
        <v>433</v>
      </c>
      <c r="N51" s="14" t="s">
        <v>70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</v>
      </c>
      <c r="Z51" s="15" t="n">
        <f aca="false">IF(X51=0,"",X51-Y51)</f>
        <v>10</v>
      </c>
      <c r="AA51" s="21" t="n">
        <f aca="false">IFERROR(Y51/X51,"")</f>
        <v>0.0909090909090909</v>
      </c>
      <c r="AB51" s="15" t="n">
        <v>0</v>
      </c>
      <c r="AC51" s="22" t="n">
        <f aca="false">AB51*(1+$L$3)</f>
        <v>0</v>
      </c>
      <c r="AD51" s="20"/>
      <c r="AE51" s="23" t="n">
        <f aca="false">AC51-AD51</f>
        <v>0</v>
      </c>
      <c r="AF51" s="21" t="str">
        <f aca="false">IFERROR(AD51/AC51,"")</f>
        <v/>
      </c>
    </row>
    <row r="52" customFormat="false" ht="15" hidden="false" customHeight="true" outlineLevel="0" collapsed="false">
      <c r="A52" s="14" t="n">
        <v>660179</v>
      </c>
      <c r="B52" s="14" t="n">
        <v>501187</v>
      </c>
      <c r="C52" s="14" t="s">
        <v>434</v>
      </c>
      <c r="D52" s="14" t="s">
        <v>435</v>
      </c>
      <c r="E52" s="14" t="s">
        <v>436</v>
      </c>
      <c r="F52" s="14" t="s">
        <v>437</v>
      </c>
      <c r="G52" s="14" t="s">
        <v>438</v>
      </c>
      <c r="H52" s="14" t="s">
        <v>439</v>
      </c>
      <c r="I52" s="14"/>
      <c r="J52" s="14" t="s">
        <v>440</v>
      </c>
      <c r="K52" s="14" t="s">
        <v>307</v>
      </c>
      <c r="L52" s="14" t="s">
        <v>441</v>
      </c>
      <c r="M52" s="14" t="s">
        <v>442</v>
      </c>
      <c r="N52" s="14" t="s">
        <v>70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2" t="n">
        <f aca="false">AB52*(1+$L$3)</f>
        <v>0</v>
      </c>
      <c r="AD52" s="20"/>
      <c r="AE52" s="23" t="n">
        <f aca="false">AC52-AD52</f>
        <v>0</v>
      </c>
      <c r="AF52" s="21" t="str">
        <f aca="false">IFERROR(AD52/AC52,"")</f>
        <v/>
      </c>
    </row>
    <row r="53" customFormat="false" ht="15" hidden="false" customHeight="true" outlineLevel="0" collapsed="false">
      <c r="A53" s="14" t="n">
        <v>644373</v>
      </c>
      <c r="B53" s="14" t="n">
        <v>485800</v>
      </c>
      <c r="C53" s="14" t="s">
        <v>443</v>
      </c>
      <c r="D53" s="14" t="s">
        <v>444</v>
      </c>
      <c r="E53" s="14" t="s">
        <v>445</v>
      </c>
      <c r="F53" s="14" t="s">
        <v>446</v>
      </c>
      <c r="G53" s="14" t="s">
        <v>447</v>
      </c>
      <c r="H53" s="14" t="s">
        <v>448</v>
      </c>
      <c r="I53" s="14"/>
      <c r="J53" s="14" t="s">
        <v>47</v>
      </c>
      <c r="K53" s="14" t="s">
        <v>48</v>
      </c>
      <c r="L53" s="14" t="s">
        <v>49</v>
      </c>
      <c r="M53" s="14" t="s">
        <v>449</v>
      </c>
      <c r="N53" s="14" t="s">
        <v>51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2" t="n">
        <f aca="false">AB53*(1+$L$3)</f>
        <v>0</v>
      </c>
      <c r="AD53" s="20"/>
      <c r="AE53" s="23" t="n">
        <f aca="false">AC53-AD53</f>
        <v>0</v>
      </c>
      <c r="AF53" s="21" t="str">
        <f aca="false">IFERROR(AD53/AC53,"")</f>
        <v/>
      </c>
    </row>
    <row r="54" customFormat="false" ht="15" hidden="false" customHeight="true" outlineLevel="0" collapsed="false">
      <c r="A54" s="14" t="n">
        <v>635358</v>
      </c>
      <c r="B54" s="14" t="n">
        <v>481827</v>
      </c>
      <c r="C54" s="14" t="s">
        <v>450</v>
      </c>
      <c r="D54" s="14" t="s">
        <v>451</v>
      </c>
      <c r="E54" s="14" t="s">
        <v>452</v>
      </c>
      <c r="F54" s="14" t="s">
        <v>453</v>
      </c>
      <c r="G54" s="14" t="s">
        <v>454</v>
      </c>
      <c r="H54" s="14" t="s">
        <v>304</v>
      </c>
      <c r="I54" s="14" t="s">
        <v>455</v>
      </c>
      <c r="J54" s="14" t="s">
        <v>306</v>
      </c>
      <c r="K54" s="14" t="s">
        <v>307</v>
      </c>
      <c r="L54" s="14" t="s">
        <v>308</v>
      </c>
      <c r="M54" s="14" t="s">
        <v>456</v>
      </c>
      <c r="N54" s="14" t="s">
        <v>70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/>
      <c r="Z54" s="15" t="n">
        <f aca="false">IF(X54=0,"",X54-Y54)</f>
        <v>10</v>
      </c>
      <c r="AA54" s="21" t="n">
        <f aca="false">IFERROR(Y54/X54,"")</f>
        <v>0</v>
      </c>
      <c r="AB54" s="15" t="n">
        <v>11</v>
      </c>
      <c r="AC54" s="22" t="n">
        <f aca="false">AB54*(1+$L$3)</f>
        <v>12.32</v>
      </c>
      <c r="AD54" s="20"/>
      <c r="AE54" s="23" t="n">
        <f aca="false">AC54-AD54</f>
        <v>12.32</v>
      </c>
      <c r="AF54" s="21" t="n">
        <f aca="false">IFERROR(AD54/AC54,"")</f>
        <v>0</v>
      </c>
    </row>
    <row r="55" customFormat="false" ht="15" hidden="false" customHeight="true" outlineLevel="0" collapsed="false">
      <c r="A55" s="14" t="n">
        <v>176303</v>
      </c>
      <c r="B55" s="14" t="n">
        <v>187166</v>
      </c>
      <c r="C55" s="14" t="s">
        <v>457</v>
      </c>
      <c r="D55" s="14" t="s">
        <v>458</v>
      </c>
      <c r="E55" s="14" t="s">
        <v>459</v>
      </c>
      <c r="F55" s="14" t="s">
        <v>460</v>
      </c>
      <c r="G55" s="14" t="s">
        <v>461</v>
      </c>
      <c r="H55" s="14" t="s">
        <v>462</v>
      </c>
      <c r="I55" s="14"/>
      <c r="J55" s="14" t="s">
        <v>463</v>
      </c>
      <c r="K55" s="14" t="s">
        <v>464</v>
      </c>
      <c r="L55" s="14" t="s">
        <v>465</v>
      </c>
      <c r="M55" s="14" t="s">
        <v>466</v>
      </c>
      <c r="N55" s="14" t="s">
        <v>70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 t="n">
        <v>2</v>
      </c>
      <c r="Z55" s="15" t="n">
        <f aca="false">IF(X55=0,"",X55-Y55)</f>
        <v>8</v>
      </c>
      <c r="AA55" s="21" t="n">
        <f aca="false">IFERROR(Y55/X55,"")</f>
        <v>0.2</v>
      </c>
      <c r="AB55" s="15" t="n">
        <v>0</v>
      </c>
      <c r="AC55" s="22" t="n">
        <f aca="false">AB55*(1+$L$3)</f>
        <v>0</v>
      </c>
      <c r="AD55" s="20"/>
      <c r="AE55" s="23" t="n">
        <f aca="false">AC55-AD55</f>
        <v>0</v>
      </c>
      <c r="AF55" s="21" t="str">
        <f aca="false">IFERROR(AD55/AC55,"")</f>
        <v/>
      </c>
    </row>
    <row r="56" customFormat="false" ht="15" hidden="false" customHeight="true" outlineLevel="0" collapsed="false">
      <c r="A56" s="14" t="n">
        <v>659547</v>
      </c>
      <c r="B56" s="14" t="n">
        <v>500553</v>
      </c>
      <c r="C56" s="14" t="s">
        <v>467</v>
      </c>
      <c r="D56" s="14" t="s">
        <v>468</v>
      </c>
      <c r="E56" s="14" t="s">
        <v>469</v>
      </c>
      <c r="F56" s="14" t="s">
        <v>470</v>
      </c>
      <c r="G56" s="14" t="s">
        <v>471</v>
      </c>
      <c r="H56" s="14" t="s">
        <v>472</v>
      </c>
      <c r="I56" s="14"/>
      <c r="J56" s="14" t="s">
        <v>306</v>
      </c>
      <c r="K56" s="14" t="s">
        <v>307</v>
      </c>
      <c r="L56" s="14" t="s">
        <v>308</v>
      </c>
      <c r="M56" s="14" t="s">
        <v>473</v>
      </c>
      <c r="N56" s="14" t="s">
        <v>70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 t="n">
        <v>6</v>
      </c>
      <c r="Z56" s="15" t="n">
        <f aca="false">IF(X56=0,"",X56-Y56)</f>
        <v>3</v>
      </c>
      <c r="AA56" s="21" t="n">
        <f aca="false">IFERROR(Y56/X56,"")</f>
        <v>0.666666666666667</v>
      </c>
      <c r="AB56" s="15" t="n">
        <v>0</v>
      </c>
      <c r="AC56" s="22" t="n">
        <f aca="false">AB56*(1+$L$3)</f>
        <v>0</v>
      </c>
      <c r="AD56" s="20"/>
      <c r="AE56" s="23" t="n">
        <f aca="false">AC56-AD56</f>
        <v>0</v>
      </c>
      <c r="AF56" s="21" t="str">
        <f aca="false">IFERROR(AD56/AC56,"")</f>
        <v/>
      </c>
    </row>
    <row r="57" customFormat="false" ht="15" hidden="false" customHeight="true" outlineLevel="0" collapsed="false">
      <c r="A57" s="14" t="n">
        <v>655720</v>
      </c>
      <c r="B57" s="14" t="n">
        <v>496848</v>
      </c>
      <c r="C57" s="14" t="s">
        <v>474</v>
      </c>
      <c r="D57" s="14" t="s">
        <v>475</v>
      </c>
      <c r="E57" s="14" t="s">
        <v>476</v>
      </c>
      <c r="F57" s="14" t="s">
        <v>477</v>
      </c>
      <c r="G57" s="14" t="s">
        <v>478</v>
      </c>
      <c r="H57" s="14" t="s">
        <v>479</v>
      </c>
      <c r="I57" s="14"/>
      <c r="J57" s="14" t="s">
        <v>480</v>
      </c>
      <c r="K57" s="14" t="s">
        <v>197</v>
      </c>
      <c r="L57" s="14" t="s">
        <v>481</v>
      </c>
      <c r="M57" s="14" t="s">
        <v>482</v>
      </c>
      <c r="N57" s="14" t="s">
        <v>70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5</v>
      </c>
      <c r="Z57" s="15" t="n">
        <f aca="false">IF(X57=0,"",X57-Y57)</f>
        <v>4</v>
      </c>
      <c r="AA57" s="21" t="n">
        <f aca="false">IFERROR(Y57/X57,"")</f>
        <v>0.555555555555556</v>
      </c>
      <c r="AB57" s="15" t="n">
        <v>0</v>
      </c>
      <c r="AC57" s="22" t="n">
        <f aca="false">AB57*(1+$L$3)</f>
        <v>0</v>
      </c>
      <c r="AD57" s="20"/>
      <c r="AE57" s="23" t="n">
        <f aca="false">AC57-AD57</f>
        <v>0</v>
      </c>
      <c r="AF57" s="21" t="str">
        <f aca="false">IFERROR(AD57/AC57,"")</f>
        <v/>
      </c>
    </row>
    <row r="58" customFormat="false" ht="15" hidden="false" customHeight="true" outlineLevel="0" collapsed="false">
      <c r="A58" s="14" t="n">
        <v>652451</v>
      </c>
      <c r="B58" s="14" t="n">
        <v>493609</v>
      </c>
      <c r="C58" s="14" t="s">
        <v>483</v>
      </c>
      <c r="D58" s="14" t="s">
        <v>484</v>
      </c>
      <c r="E58" s="14" t="s">
        <v>485</v>
      </c>
      <c r="F58" s="14" t="s">
        <v>486</v>
      </c>
      <c r="G58" s="14" t="s">
        <v>487</v>
      </c>
      <c r="H58" s="14" t="s">
        <v>488</v>
      </c>
      <c r="I58" s="14"/>
      <c r="J58" s="14" t="s">
        <v>489</v>
      </c>
      <c r="K58" s="14" t="s">
        <v>307</v>
      </c>
      <c r="L58" s="14" t="s">
        <v>490</v>
      </c>
      <c r="M58" s="14" t="s">
        <v>491</v>
      </c>
      <c r="N58" s="14" t="s">
        <v>70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2</v>
      </c>
      <c r="Z58" s="15" t="n">
        <f aca="false">IF(X58=0,"",X58-Y58)</f>
        <v>7</v>
      </c>
      <c r="AA58" s="21" t="n">
        <f aca="false">IFERROR(Y58/X58,"")</f>
        <v>0.222222222222222</v>
      </c>
      <c r="AB58" s="15" t="n">
        <v>3</v>
      </c>
      <c r="AC58" s="22" t="n">
        <f aca="false">AB58*(1+$L$3)</f>
        <v>3.36</v>
      </c>
      <c r="AD58" s="20"/>
      <c r="AE58" s="23" t="n">
        <f aca="false">AC58-AD58</f>
        <v>3.36</v>
      </c>
      <c r="AF58" s="21" t="n">
        <f aca="false">IFERROR(AD58/AC58,"")</f>
        <v>0</v>
      </c>
    </row>
    <row r="59" customFormat="false" ht="15" hidden="false" customHeight="true" outlineLevel="0" collapsed="false">
      <c r="A59" s="14" t="n">
        <v>631776</v>
      </c>
      <c r="B59" s="14" t="n">
        <v>478269</v>
      </c>
      <c r="C59" s="14" t="s">
        <v>492</v>
      </c>
      <c r="D59" s="14" t="s">
        <v>493</v>
      </c>
      <c r="E59" s="14" t="s">
        <v>494</v>
      </c>
      <c r="F59" s="14" t="s">
        <v>495</v>
      </c>
      <c r="G59" s="14" t="s">
        <v>496</v>
      </c>
      <c r="H59" s="14" t="s">
        <v>497</v>
      </c>
      <c r="I59" s="14"/>
      <c r="J59" s="14" t="s">
        <v>47</v>
      </c>
      <c r="K59" s="14" t="s">
        <v>48</v>
      </c>
      <c r="L59" s="14" t="s">
        <v>393</v>
      </c>
      <c r="M59" s="14" t="s">
        <v>498</v>
      </c>
      <c r="N59" s="14" t="s">
        <v>51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 t="n">
        <v>2</v>
      </c>
      <c r="Z59" s="15" t="n">
        <f aca="false">IF(X59=0,"",X59-Y59)</f>
        <v>7</v>
      </c>
      <c r="AA59" s="21" t="n">
        <f aca="false">IFERROR(Y59/X59,"")</f>
        <v>0.222222222222222</v>
      </c>
      <c r="AB59" s="15" t="n">
        <v>0</v>
      </c>
      <c r="AC59" s="22" t="n">
        <f aca="false">AB59*(1+$L$3)</f>
        <v>0</v>
      </c>
      <c r="AD59" s="20"/>
      <c r="AE59" s="23" t="n">
        <f aca="false">AC59-AD59</f>
        <v>0</v>
      </c>
      <c r="AF59" s="21" t="str">
        <f aca="false">IFERROR(AD59/AC59,"")</f>
        <v/>
      </c>
    </row>
    <row r="60" customFormat="false" ht="15" hidden="false" customHeight="true" outlineLevel="0" collapsed="false">
      <c r="A60" s="14" t="n">
        <v>660725</v>
      </c>
      <c r="B60" s="14" t="n">
        <v>501738</v>
      </c>
      <c r="C60" s="14" t="s">
        <v>499</v>
      </c>
      <c r="D60" s="14" t="s">
        <v>500</v>
      </c>
      <c r="E60" s="14" t="s">
        <v>501</v>
      </c>
      <c r="F60" s="14"/>
      <c r="G60" s="14" t="s">
        <v>502</v>
      </c>
      <c r="H60" s="14" t="s">
        <v>503</v>
      </c>
      <c r="I60" s="14" t="s">
        <v>504</v>
      </c>
      <c r="J60" s="14" t="s">
        <v>505</v>
      </c>
      <c r="K60" s="14" t="s">
        <v>506</v>
      </c>
      <c r="L60" s="14" t="s">
        <v>507</v>
      </c>
      <c r="M60" s="14" t="s">
        <v>508</v>
      </c>
      <c r="N60" s="14" t="s">
        <v>70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 t="n">
        <v>1</v>
      </c>
      <c r="Z60" s="15" t="n">
        <f aca="false">IF(X60=0,"",X60-Y60)</f>
        <v>7</v>
      </c>
      <c r="AA60" s="21" t="n">
        <f aca="false">IFERROR(Y60/X60,"")</f>
        <v>0.125</v>
      </c>
      <c r="AB60" s="15" t="n">
        <v>0</v>
      </c>
      <c r="AC60" s="22" t="n">
        <f aca="false">AB60*(1+$L$3)</f>
        <v>0</v>
      </c>
      <c r="AD60" s="20"/>
      <c r="AE60" s="23" t="n">
        <f aca="false">AC60-AD60</f>
        <v>0</v>
      </c>
      <c r="AF60" s="21" t="str">
        <f aca="false">IFERROR(AD60/AC60,"")</f>
        <v/>
      </c>
    </row>
    <row r="61" customFormat="false" ht="15" hidden="false" customHeight="true" outlineLevel="0" collapsed="false">
      <c r="A61" s="14" t="n">
        <v>660647</v>
      </c>
      <c r="B61" s="14" t="n">
        <v>501660</v>
      </c>
      <c r="C61" s="14" t="s">
        <v>509</v>
      </c>
      <c r="D61" s="14" t="s">
        <v>510</v>
      </c>
      <c r="E61" s="14" t="s">
        <v>511</v>
      </c>
      <c r="F61" s="14" t="s">
        <v>512</v>
      </c>
      <c r="G61" s="14" t="s">
        <v>513</v>
      </c>
      <c r="H61" s="14" t="s">
        <v>514</v>
      </c>
      <c r="I61" s="14"/>
      <c r="J61" s="14" t="s">
        <v>47</v>
      </c>
      <c r="K61" s="14" t="s">
        <v>48</v>
      </c>
      <c r="L61" s="14" t="s">
        <v>515</v>
      </c>
      <c r="M61" s="14" t="s">
        <v>516</v>
      </c>
      <c r="N61" s="14" t="s">
        <v>51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2" t="n">
        <f aca="false">AB61*(1+$L$3)</f>
        <v>0</v>
      </c>
      <c r="AD61" s="20"/>
      <c r="AE61" s="23" t="n">
        <f aca="false">AC61-AD61</f>
        <v>0</v>
      </c>
      <c r="AF61" s="21" t="str">
        <f aca="false">IFERROR(AD61/AC61,"")</f>
        <v/>
      </c>
    </row>
    <row r="62" customFormat="false" ht="15" hidden="false" customHeight="true" outlineLevel="0" collapsed="false">
      <c r="A62" s="14" t="n">
        <v>660802</v>
      </c>
      <c r="B62" s="14" t="n">
        <v>501817</v>
      </c>
      <c r="C62" s="14" t="s">
        <v>517</v>
      </c>
      <c r="D62" s="14" t="s">
        <v>518</v>
      </c>
      <c r="E62" s="14" t="s">
        <v>519</v>
      </c>
      <c r="F62" s="14" t="s">
        <v>520</v>
      </c>
      <c r="G62" s="14" t="s">
        <v>521</v>
      </c>
      <c r="H62" s="14" t="s">
        <v>522</v>
      </c>
      <c r="I62" s="14"/>
      <c r="J62" s="14" t="s">
        <v>407</v>
      </c>
      <c r="K62" s="14" t="s">
        <v>408</v>
      </c>
      <c r="L62" s="14" t="s">
        <v>523</v>
      </c>
      <c r="M62" s="14" t="s">
        <v>524</v>
      </c>
      <c r="N62" s="14" t="s">
        <v>70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4</v>
      </c>
      <c r="Z62" s="15" t="n">
        <f aca="false">IF(X62=0,"",X62-Y62)</f>
        <v>4</v>
      </c>
      <c r="AA62" s="21" t="n">
        <f aca="false">IFERROR(Y62/X62,"")</f>
        <v>0.5</v>
      </c>
      <c r="AB62" s="15" t="n">
        <v>0</v>
      </c>
      <c r="AC62" s="22" t="n">
        <f aca="false">AB62*(1+$L$3)</f>
        <v>0</v>
      </c>
      <c r="AD62" s="20"/>
      <c r="AE62" s="23" t="n">
        <f aca="false">AC62-AD62</f>
        <v>0</v>
      </c>
      <c r="AF62" s="21" t="str">
        <f aca="false">IFERROR(AD62/AC62,"")</f>
        <v/>
      </c>
    </row>
    <row r="63" customFormat="false" ht="15" hidden="false" customHeight="true" outlineLevel="0" collapsed="false">
      <c r="A63" s="14" t="n">
        <v>658104</v>
      </c>
      <c r="B63" s="14" t="n">
        <v>499107</v>
      </c>
      <c r="C63" s="14" t="s">
        <v>525</v>
      </c>
      <c r="D63" s="14" t="s">
        <v>526</v>
      </c>
      <c r="E63" s="14" t="s">
        <v>527</v>
      </c>
      <c r="F63" s="14" t="s">
        <v>528</v>
      </c>
      <c r="G63" s="14" t="s">
        <v>529</v>
      </c>
      <c r="H63" s="14" t="s">
        <v>530</v>
      </c>
      <c r="I63" s="14"/>
      <c r="J63" s="14" t="s">
        <v>531</v>
      </c>
      <c r="K63" s="14" t="s">
        <v>48</v>
      </c>
      <c r="L63" s="14" t="s">
        <v>532</v>
      </c>
      <c r="M63" s="14" t="s">
        <v>533</v>
      </c>
      <c r="N63" s="14" t="s">
        <v>70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1</v>
      </c>
      <c r="Z63" s="15" t="n">
        <f aca="false">IF(X63=0,"",X63-Y63)</f>
        <v>7</v>
      </c>
      <c r="AA63" s="21" t="n">
        <f aca="false">IFERROR(Y63/X63,"")</f>
        <v>0.125</v>
      </c>
      <c r="AB63" s="15" t="n">
        <v>0</v>
      </c>
      <c r="AC63" s="22" t="n">
        <f aca="false">AB63*(1+$L$3)</f>
        <v>0</v>
      </c>
      <c r="AD63" s="20"/>
      <c r="AE63" s="23" t="n">
        <f aca="false">AC63-AD63</f>
        <v>0</v>
      </c>
      <c r="AF63" s="21" t="str">
        <f aca="false">IFERROR(AD63/AC63,"")</f>
        <v/>
      </c>
    </row>
    <row r="64" customFormat="false" ht="15" hidden="false" customHeight="true" outlineLevel="0" collapsed="false">
      <c r="A64" s="14" t="n">
        <v>659197</v>
      </c>
      <c r="B64" s="14" t="n">
        <v>500193</v>
      </c>
      <c r="C64" s="14" t="s">
        <v>534</v>
      </c>
      <c r="D64" s="14" t="s">
        <v>233</v>
      </c>
      <c r="E64" s="14" t="s">
        <v>535</v>
      </c>
      <c r="F64" s="14" t="s">
        <v>536</v>
      </c>
      <c r="G64" s="14" t="s">
        <v>236</v>
      </c>
      <c r="H64" s="14" t="s">
        <v>537</v>
      </c>
      <c r="I64" s="14"/>
      <c r="J64" s="14" t="s">
        <v>538</v>
      </c>
      <c r="K64" s="14" t="s">
        <v>67</v>
      </c>
      <c r="L64" s="14" t="s">
        <v>539</v>
      </c>
      <c r="M64" s="14" t="s">
        <v>241</v>
      </c>
      <c r="N64" s="14" t="s">
        <v>70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2" t="n">
        <f aca="false">AB64*(1+$L$3)</f>
        <v>0</v>
      </c>
      <c r="AD64" s="20"/>
      <c r="AE64" s="23" t="n">
        <f aca="false">AC64-AD64</f>
        <v>0</v>
      </c>
      <c r="AF64" s="21" t="str">
        <f aca="false">IFERROR(AD64/AC64,"")</f>
        <v/>
      </c>
    </row>
    <row r="65" customFormat="false" ht="15" hidden="false" customHeight="true" outlineLevel="0" collapsed="false">
      <c r="A65" s="14" t="n">
        <v>631073</v>
      </c>
      <c r="B65" s="14" t="n">
        <v>477576</v>
      </c>
      <c r="C65" s="14" t="s">
        <v>540</v>
      </c>
      <c r="D65" s="14" t="s">
        <v>541</v>
      </c>
      <c r="E65" s="14" t="s">
        <v>542</v>
      </c>
      <c r="F65" s="14" t="s">
        <v>543</v>
      </c>
      <c r="G65" s="14" t="s">
        <v>544</v>
      </c>
      <c r="H65" s="14" t="s">
        <v>545</v>
      </c>
      <c r="I65" s="14" t="s">
        <v>546</v>
      </c>
      <c r="J65" s="14" t="s">
        <v>547</v>
      </c>
      <c r="K65" s="14" t="s">
        <v>48</v>
      </c>
      <c r="L65" s="14" t="s">
        <v>548</v>
      </c>
      <c r="M65" s="14" t="s">
        <v>549</v>
      </c>
      <c r="N65" s="14" t="s">
        <v>51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2" t="n">
        <f aca="false">AB65*(1+$L$3)</f>
        <v>0</v>
      </c>
      <c r="AD65" s="20"/>
      <c r="AE65" s="23" t="n">
        <f aca="false">AC65-AD65</f>
        <v>0</v>
      </c>
      <c r="AF65" s="21" t="str">
        <f aca="false">IFERROR(AD65/AC65,"")</f>
        <v/>
      </c>
    </row>
    <row r="66" customFormat="false" ht="15" hidden="false" customHeight="true" outlineLevel="0" collapsed="false">
      <c r="A66" s="14" t="n">
        <v>658962</v>
      </c>
      <c r="B66" s="14" t="n">
        <v>499954</v>
      </c>
      <c r="C66" s="14" t="s">
        <v>550</v>
      </c>
      <c r="D66" s="14" t="s">
        <v>551</v>
      </c>
      <c r="E66" s="14" t="s">
        <v>552</v>
      </c>
      <c r="F66" s="14" t="s">
        <v>553</v>
      </c>
      <c r="G66" s="14" t="s">
        <v>554</v>
      </c>
      <c r="H66" s="14" t="s">
        <v>555</v>
      </c>
      <c r="I66" s="14"/>
      <c r="J66" s="14" t="s">
        <v>556</v>
      </c>
      <c r="K66" s="14" t="s">
        <v>557</v>
      </c>
      <c r="L66" s="14" t="s">
        <v>558</v>
      </c>
      <c r="M66" s="14" t="s">
        <v>559</v>
      </c>
      <c r="N66" s="14" t="s">
        <v>70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 t="n">
        <v>1</v>
      </c>
      <c r="Z66" s="15" t="n">
        <f aca="false">IF(X66=0,"",X66-Y66)</f>
        <v>7</v>
      </c>
      <c r="AA66" s="21" t="n">
        <f aca="false">IFERROR(Y66/X66,"")</f>
        <v>0.125</v>
      </c>
      <c r="AB66" s="15" t="n">
        <v>0</v>
      </c>
      <c r="AC66" s="22" t="n">
        <f aca="false">AB66*(1+$L$3)</f>
        <v>0</v>
      </c>
      <c r="AD66" s="20"/>
      <c r="AE66" s="23" t="n">
        <f aca="false">AC66-AD66</f>
        <v>0</v>
      </c>
      <c r="AF66" s="21" t="str">
        <f aca="false">IFERROR(AD66/AC66,"")</f>
        <v/>
      </c>
    </row>
    <row r="67" customFormat="false" ht="15" hidden="false" customHeight="true" outlineLevel="0" collapsed="false">
      <c r="A67" s="14" t="n">
        <v>636852</v>
      </c>
      <c r="B67" s="14" t="n">
        <v>483302</v>
      </c>
      <c r="C67" s="14" t="s">
        <v>560</v>
      </c>
      <c r="D67" s="14" t="s">
        <v>561</v>
      </c>
      <c r="E67" s="14" t="s">
        <v>562</v>
      </c>
      <c r="F67" s="14" t="s">
        <v>563</v>
      </c>
      <c r="G67" s="14" t="s">
        <v>564</v>
      </c>
      <c r="H67" s="14" t="s">
        <v>565</v>
      </c>
      <c r="I67" s="14"/>
      <c r="J67" s="14" t="s">
        <v>566</v>
      </c>
      <c r="K67" s="14" t="s">
        <v>48</v>
      </c>
      <c r="L67" s="14" t="s">
        <v>567</v>
      </c>
      <c r="M67" s="14" t="s">
        <v>568</v>
      </c>
      <c r="N67" s="14" t="s">
        <v>70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2" t="n">
        <f aca="false">AB67*(1+$L$3)</f>
        <v>0</v>
      </c>
      <c r="AD67" s="20"/>
      <c r="AE67" s="23" t="n">
        <f aca="false">AC67-AD67</f>
        <v>0</v>
      </c>
      <c r="AF67" s="21" t="str">
        <f aca="false">IFERROR(AD67/AC67,"")</f>
        <v/>
      </c>
    </row>
    <row r="68" customFormat="false" ht="15" hidden="false" customHeight="true" outlineLevel="0" collapsed="false">
      <c r="A68" s="14" t="n">
        <v>657294</v>
      </c>
      <c r="B68" s="14" t="n">
        <v>498327</v>
      </c>
      <c r="C68" s="14" t="s">
        <v>569</v>
      </c>
      <c r="D68" s="14" t="s">
        <v>570</v>
      </c>
      <c r="E68" s="14" t="s">
        <v>571</v>
      </c>
      <c r="F68" s="14" t="s">
        <v>572</v>
      </c>
      <c r="G68" s="14" t="s">
        <v>573</v>
      </c>
      <c r="H68" s="14" t="s">
        <v>574</v>
      </c>
      <c r="I68" s="14"/>
      <c r="J68" s="14" t="s">
        <v>575</v>
      </c>
      <c r="K68" s="14" t="s">
        <v>67</v>
      </c>
      <c r="L68" s="14" t="s">
        <v>576</v>
      </c>
      <c r="M68" s="14" t="s">
        <v>577</v>
      </c>
      <c r="N68" s="14" t="s">
        <v>70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/>
      <c r="Z68" s="15" t="n">
        <f aca="false">IF(X68=0,"",X68-Y68)</f>
        <v>7</v>
      </c>
      <c r="AA68" s="21" t="n">
        <f aca="false">IFERROR(Y68/X68,"")</f>
        <v>0</v>
      </c>
      <c r="AB68" s="15" t="n">
        <v>0</v>
      </c>
      <c r="AC68" s="22" t="n">
        <f aca="false">AB68*(1+$L$3)</f>
        <v>0</v>
      </c>
      <c r="AD68" s="20"/>
      <c r="AE68" s="23" t="n">
        <f aca="false">AC68-AD68</f>
        <v>0</v>
      </c>
      <c r="AF68" s="21" t="str">
        <f aca="false">IFERROR(AD68/AC68,"")</f>
        <v/>
      </c>
    </row>
    <row r="69" customFormat="false" ht="15" hidden="false" customHeight="true" outlineLevel="0" collapsed="false">
      <c r="A69" s="14" t="n">
        <v>632579</v>
      </c>
      <c r="B69" s="14" t="n">
        <v>479094</v>
      </c>
      <c r="C69" s="14" t="s">
        <v>578</v>
      </c>
      <c r="D69" s="14" t="s">
        <v>579</v>
      </c>
      <c r="E69" s="14" t="s">
        <v>580</v>
      </c>
      <c r="F69" s="14" t="s">
        <v>581</v>
      </c>
      <c r="G69" s="14" t="s">
        <v>582</v>
      </c>
      <c r="H69" s="14" t="s">
        <v>583</v>
      </c>
      <c r="I69" s="14" t="s">
        <v>584</v>
      </c>
      <c r="J69" s="14" t="s">
        <v>585</v>
      </c>
      <c r="K69" s="14" t="s">
        <v>67</v>
      </c>
      <c r="L69" s="14" t="s">
        <v>586</v>
      </c>
      <c r="M69" s="14" t="s">
        <v>587</v>
      </c>
      <c r="N69" s="14" t="s">
        <v>70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/>
      <c r="Z69" s="15" t="n">
        <f aca="false">IF(X69=0,"",X69-Y69)</f>
        <v>7</v>
      </c>
      <c r="AA69" s="21" t="n">
        <f aca="false">IFERROR(Y69/X69,"")</f>
        <v>0</v>
      </c>
      <c r="AB69" s="15" t="n">
        <v>0</v>
      </c>
      <c r="AC69" s="22" t="n">
        <f aca="false">AB69*(1+$L$3)</f>
        <v>0</v>
      </c>
      <c r="AD69" s="20"/>
      <c r="AE69" s="23" t="n">
        <f aca="false">AC69-AD69</f>
        <v>0</v>
      </c>
      <c r="AF69" s="21" t="str">
        <f aca="false">IFERROR(AD69/AC69,"")</f>
        <v/>
      </c>
    </row>
    <row r="70" customFormat="false" ht="15" hidden="false" customHeight="true" outlineLevel="0" collapsed="false">
      <c r="A70" s="14" t="n">
        <v>182638</v>
      </c>
      <c r="B70" s="14" t="n">
        <v>192642</v>
      </c>
      <c r="C70" s="14" t="s">
        <v>588</v>
      </c>
      <c r="D70" s="14" t="s">
        <v>589</v>
      </c>
      <c r="E70" s="14" t="s">
        <v>590</v>
      </c>
      <c r="F70" s="14" t="s">
        <v>591</v>
      </c>
      <c r="G70" s="14" t="s">
        <v>592</v>
      </c>
      <c r="H70" s="14" t="s">
        <v>593</v>
      </c>
      <c r="I70" s="14"/>
      <c r="J70" s="14" t="s">
        <v>594</v>
      </c>
      <c r="K70" s="14" t="s">
        <v>67</v>
      </c>
      <c r="L70" s="14" t="s">
        <v>595</v>
      </c>
      <c r="M70" s="14" t="s">
        <v>596</v>
      </c>
      <c r="N70" s="14" t="s">
        <v>70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1</v>
      </c>
      <c r="Z70" s="15" t="n">
        <f aca="false">IF(X70=0,"",X70-Y70)</f>
        <v>6</v>
      </c>
      <c r="AA70" s="21" t="n">
        <f aca="false">IFERROR(Y70/X70,"")</f>
        <v>0.142857142857143</v>
      </c>
      <c r="AB70" s="15" t="n">
        <v>3</v>
      </c>
      <c r="AC70" s="22" t="n">
        <f aca="false">AB70*(1+$L$3)</f>
        <v>3.36</v>
      </c>
      <c r="AD70" s="20"/>
      <c r="AE70" s="23" t="n">
        <f aca="false">AC70-AD70</f>
        <v>3.36</v>
      </c>
      <c r="AF70" s="21" t="n">
        <f aca="false">IFERROR(AD70/AC70,"")</f>
        <v>0</v>
      </c>
    </row>
    <row r="71" customFormat="false" ht="15" hidden="false" customHeight="true" outlineLevel="0" collapsed="false">
      <c r="A71" s="14" t="n">
        <v>659599</v>
      </c>
      <c r="B71" s="14" t="n">
        <v>500605</v>
      </c>
      <c r="C71" s="14" t="s">
        <v>597</v>
      </c>
      <c r="D71" s="14" t="s">
        <v>598</v>
      </c>
      <c r="E71" s="14" t="s">
        <v>599</v>
      </c>
      <c r="F71" s="14" t="s">
        <v>600</v>
      </c>
      <c r="G71" s="14" t="s">
        <v>601</v>
      </c>
      <c r="H71" s="14" t="s">
        <v>602</v>
      </c>
      <c r="I71" s="14"/>
      <c r="J71" s="14" t="s">
        <v>603</v>
      </c>
      <c r="K71" s="14" t="s">
        <v>604</v>
      </c>
      <c r="L71" s="14" t="s">
        <v>605</v>
      </c>
      <c r="M71" s="14" t="s">
        <v>606</v>
      </c>
      <c r="N71" s="14" t="s">
        <v>70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2" t="n">
        <f aca="false">AB71*(1+$L$3)</f>
        <v>0</v>
      </c>
      <c r="AD71" s="20"/>
      <c r="AE71" s="23" t="n">
        <f aca="false">AC71-AD71</f>
        <v>0</v>
      </c>
      <c r="AF71" s="21" t="str">
        <f aca="false">IFERROR(AD71/AC71,"")</f>
        <v/>
      </c>
    </row>
    <row r="72" customFormat="false" ht="15" hidden="false" customHeight="true" outlineLevel="0" collapsed="false">
      <c r="A72" s="14" t="n">
        <v>627278</v>
      </c>
      <c r="B72" s="14" t="n">
        <v>475654</v>
      </c>
      <c r="C72" s="14" t="s">
        <v>607</v>
      </c>
      <c r="D72" s="14" t="s">
        <v>608</v>
      </c>
      <c r="E72" s="14" t="s">
        <v>609</v>
      </c>
      <c r="F72" s="14" t="s">
        <v>610</v>
      </c>
      <c r="G72" s="14" t="s">
        <v>611</v>
      </c>
      <c r="H72" s="14" t="s">
        <v>612</v>
      </c>
      <c r="I72" s="14" t="s">
        <v>613</v>
      </c>
      <c r="J72" s="14" t="s">
        <v>316</v>
      </c>
      <c r="K72" s="14" t="s">
        <v>307</v>
      </c>
      <c r="L72" s="14" t="s">
        <v>614</v>
      </c>
      <c r="M72" s="14" t="s">
        <v>615</v>
      </c>
      <c r="N72" s="14" t="s">
        <v>70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/>
      <c r="Z72" s="15" t="n">
        <f aca="false">IF(X72=0,"",X72-Y72)</f>
        <v>7</v>
      </c>
      <c r="AA72" s="21" t="n">
        <f aca="false">IFERROR(Y72/X72,"")</f>
        <v>0</v>
      </c>
      <c r="AB72" s="15" t="n">
        <v>0</v>
      </c>
      <c r="AC72" s="22" t="n">
        <f aca="false">AB72*(1+$L$3)</f>
        <v>0</v>
      </c>
      <c r="AD72" s="20"/>
      <c r="AE72" s="23" t="n">
        <f aca="false">AC72-AD72</f>
        <v>0</v>
      </c>
      <c r="AF72" s="21" t="str">
        <f aca="false">IFERROR(AD72/AC72,"")</f>
        <v/>
      </c>
    </row>
    <row r="73" customFormat="false" ht="15" hidden="false" customHeight="true" outlineLevel="0" collapsed="false">
      <c r="A73" s="14" t="n">
        <v>631622</v>
      </c>
      <c r="B73" s="14" t="n">
        <v>478114</v>
      </c>
      <c r="C73" s="14" t="s">
        <v>616</v>
      </c>
      <c r="D73" s="14" t="s">
        <v>617</v>
      </c>
      <c r="E73" s="14" t="s">
        <v>618</v>
      </c>
      <c r="F73" s="14" t="s">
        <v>619</v>
      </c>
      <c r="G73" s="14" t="s">
        <v>620</v>
      </c>
      <c r="H73" s="14" t="s">
        <v>621</v>
      </c>
      <c r="I73" s="14"/>
      <c r="J73" s="14" t="s">
        <v>47</v>
      </c>
      <c r="K73" s="14" t="s">
        <v>48</v>
      </c>
      <c r="L73" s="14" t="s">
        <v>49</v>
      </c>
      <c r="M73" s="14" t="s">
        <v>622</v>
      </c>
      <c r="N73" s="14" t="s">
        <v>51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6</v>
      </c>
      <c r="Z73" s="15" t="n">
        <f aca="false">IF(X73=0,"",X73-Y73)</f>
        <v>1</v>
      </c>
      <c r="AA73" s="21" t="n">
        <f aca="false">IFERROR(Y73/X73,"")</f>
        <v>0.857142857142857</v>
      </c>
      <c r="AB73" s="15" t="n">
        <v>0</v>
      </c>
      <c r="AC73" s="22" t="n">
        <f aca="false">AB73*(1+$L$3)</f>
        <v>0</v>
      </c>
      <c r="AD73" s="20"/>
      <c r="AE73" s="23" t="n">
        <f aca="false">AC73-AD73</f>
        <v>0</v>
      </c>
      <c r="AF73" s="21" t="str">
        <f aca="false">IFERROR(AD73/AC73,"")</f>
        <v/>
      </c>
    </row>
    <row r="74" customFormat="false" ht="15" hidden="false" customHeight="true" outlineLevel="0" collapsed="false">
      <c r="A74" s="14" t="n">
        <v>627553</v>
      </c>
      <c r="B74" s="14" t="n">
        <v>475928</v>
      </c>
      <c r="C74" s="14" t="s">
        <v>623</v>
      </c>
      <c r="D74" s="14" t="s">
        <v>624</v>
      </c>
      <c r="E74" s="14" t="s">
        <v>625</v>
      </c>
      <c r="F74" s="14" t="s">
        <v>626</v>
      </c>
      <c r="G74" s="14" t="s">
        <v>627</v>
      </c>
      <c r="H74" s="14" t="s">
        <v>628</v>
      </c>
      <c r="I74" s="14"/>
      <c r="J74" s="14" t="s">
        <v>629</v>
      </c>
      <c r="K74" s="14" t="s">
        <v>335</v>
      </c>
      <c r="L74" s="14" t="s">
        <v>630</v>
      </c>
      <c r="M74" s="14" t="s">
        <v>631</v>
      </c>
      <c r="N74" s="14" t="s">
        <v>70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2" t="n">
        <f aca="false">AB74*(1+$L$3)</f>
        <v>0</v>
      </c>
      <c r="AD74" s="20"/>
      <c r="AE74" s="23" t="n">
        <f aca="false">AC74-AD74</f>
        <v>0</v>
      </c>
      <c r="AF74" s="21" t="str">
        <f aca="false">IFERROR(AD74/AC74,"")</f>
        <v/>
      </c>
    </row>
    <row r="75" customFormat="false" ht="15" hidden="false" customHeight="true" outlineLevel="0" collapsed="false">
      <c r="A75" s="14" t="n">
        <v>585277</v>
      </c>
      <c r="B75" s="14" t="n">
        <v>435072</v>
      </c>
      <c r="C75" s="14" t="s">
        <v>632</v>
      </c>
      <c r="D75" s="14" t="s">
        <v>633</v>
      </c>
      <c r="E75" s="14" t="s">
        <v>634</v>
      </c>
      <c r="F75" s="14" t="s">
        <v>635</v>
      </c>
      <c r="G75" s="14" t="s">
        <v>636</v>
      </c>
      <c r="H75" s="14" t="s">
        <v>637</v>
      </c>
      <c r="I75" s="14"/>
      <c r="J75" s="14" t="s">
        <v>638</v>
      </c>
      <c r="K75" s="14" t="s">
        <v>67</v>
      </c>
      <c r="L75" s="14" t="s">
        <v>639</v>
      </c>
      <c r="M75" s="14" t="s">
        <v>640</v>
      </c>
      <c r="N75" s="14" t="s">
        <v>70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/>
      <c r="Z75" s="15" t="n">
        <f aca="false">IF(X75=0,"",X75-Y75)</f>
        <v>7</v>
      </c>
      <c r="AA75" s="21" t="n">
        <f aca="false">IFERROR(Y75/X75,"")</f>
        <v>0</v>
      </c>
      <c r="AB75" s="15" t="n">
        <v>0</v>
      </c>
      <c r="AC75" s="22" t="n">
        <f aca="false">AB75*(1+$L$3)</f>
        <v>0</v>
      </c>
      <c r="AD75" s="20"/>
      <c r="AE75" s="23" t="n">
        <f aca="false">AC75-AD75</f>
        <v>0</v>
      </c>
      <c r="AF75" s="21" t="str">
        <f aca="false">IFERROR(AD75/AC75,"")</f>
        <v/>
      </c>
    </row>
    <row r="76" customFormat="false" ht="15" hidden="false" customHeight="true" outlineLevel="0" collapsed="false">
      <c r="A76" s="14" t="n">
        <v>610023</v>
      </c>
      <c r="B76" s="14" t="n">
        <v>459539</v>
      </c>
      <c r="C76" s="14" t="s">
        <v>641</v>
      </c>
      <c r="D76" s="14" t="s">
        <v>642</v>
      </c>
      <c r="E76" s="14" t="s">
        <v>643</v>
      </c>
      <c r="F76" s="14" t="s">
        <v>644</v>
      </c>
      <c r="G76" s="14" t="s">
        <v>645</v>
      </c>
      <c r="H76" s="14" t="s">
        <v>646</v>
      </c>
      <c r="I76" s="14"/>
      <c r="J76" s="14" t="s">
        <v>638</v>
      </c>
      <c r="K76" s="14" t="s">
        <v>67</v>
      </c>
      <c r="L76" s="14" t="s">
        <v>647</v>
      </c>
      <c r="M76" s="14" t="s">
        <v>648</v>
      </c>
      <c r="N76" s="14" t="s">
        <v>70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/>
      <c r="Z76" s="15" t="n">
        <f aca="false">IF(X76=0,"",X76-Y76)</f>
        <v>7</v>
      </c>
      <c r="AA76" s="21" t="n">
        <f aca="false">IFERROR(Y76/X76,"")</f>
        <v>0</v>
      </c>
      <c r="AB76" s="15" t="n">
        <v>0</v>
      </c>
      <c r="AC76" s="22" t="n">
        <f aca="false">AB76*(1+$L$3)</f>
        <v>0</v>
      </c>
      <c r="AD76" s="20"/>
      <c r="AE76" s="23" t="n">
        <f aca="false">AC76-AD76</f>
        <v>0</v>
      </c>
      <c r="AF76" s="21" t="str">
        <f aca="false">IFERROR(AD76/AC76,"")</f>
        <v/>
      </c>
    </row>
    <row r="77" customFormat="false" ht="15" hidden="false" customHeight="true" outlineLevel="0" collapsed="false">
      <c r="A77" s="14" t="n">
        <v>631471</v>
      </c>
      <c r="B77" s="14" t="n">
        <v>477970</v>
      </c>
      <c r="C77" s="14" t="s">
        <v>649</v>
      </c>
      <c r="D77" s="14" t="s">
        <v>650</v>
      </c>
      <c r="E77" s="14" t="s">
        <v>651</v>
      </c>
      <c r="F77" s="14" t="s">
        <v>652</v>
      </c>
      <c r="G77" s="14" t="s">
        <v>653</v>
      </c>
      <c r="H77" s="14" t="s">
        <v>654</v>
      </c>
      <c r="I77" s="14"/>
      <c r="J77" s="14" t="s">
        <v>655</v>
      </c>
      <c r="K77" s="14" t="s">
        <v>48</v>
      </c>
      <c r="L77" s="14" t="s">
        <v>49</v>
      </c>
      <c r="M77" s="14" t="s">
        <v>656</v>
      </c>
      <c r="N77" s="14" t="s">
        <v>51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2" t="n">
        <f aca="false">AB77*(1+$L$3)</f>
        <v>0</v>
      </c>
      <c r="AD77" s="20"/>
      <c r="AE77" s="23" t="n">
        <f aca="false">AC77-AD77</f>
        <v>0</v>
      </c>
      <c r="AF77" s="21" t="str">
        <f aca="false">IFERROR(AD77/AC77,"")</f>
        <v/>
      </c>
    </row>
    <row r="78" customFormat="false" ht="15" hidden="false" customHeight="true" outlineLevel="0" collapsed="false">
      <c r="A78" s="14" t="n">
        <v>658333</v>
      </c>
      <c r="B78" s="14" t="n">
        <v>499346</v>
      </c>
      <c r="C78" s="14" t="s">
        <v>657</v>
      </c>
      <c r="D78" s="14" t="s">
        <v>658</v>
      </c>
      <c r="E78" s="14" t="s">
        <v>659</v>
      </c>
      <c r="F78" s="14" t="s">
        <v>660</v>
      </c>
      <c r="G78" s="14" t="s">
        <v>661</v>
      </c>
      <c r="H78" s="14" t="s">
        <v>662</v>
      </c>
      <c r="I78" s="14" t="s">
        <v>663</v>
      </c>
      <c r="J78" s="14" t="s">
        <v>664</v>
      </c>
      <c r="K78" s="14" t="s">
        <v>604</v>
      </c>
      <c r="L78" s="14" t="s">
        <v>665</v>
      </c>
      <c r="M78" s="14" t="s">
        <v>666</v>
      </c>
      <c r="N78" s="14" t="s">
        <v>70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3</v>
      </c>
      <c r="Z78" s="15" t="n">
        <f aca="false">IF(X78=0,"",X78-Y78)</f>
        <v>4</v>
      </c>
      <c r="AA78" s="21" t="n">
        <f aca="false">IFERROR(Y78/X78,"")</f>
        <v>0.428571428571429</v>
      </c>
      <c r="AB78" s="15" t="n">
        <v>0</v>
      </c>
      <c r="AC78" s="22" t="n">
        <f aca="false">AB78*(1+$L$3)</f>
        <v>0</v>
      </c>
      <c r="AD78" s="20"/>
      <c r="AE78" s="23" t="n">
        <f aca="false">AC78-AD78</f>
        <v>0</v>
      </c>
      <c r="AF78" s="21" t="str">
        <f aca="false">IFERROR(AD78/AC78,"")</f>
        <v/>
      </c>
    </row>
    <row r="79" customFormat="false" ht="15" hidden="false" customHeight="true" outlineLevel="0" collapsed="false">
      <c r="A79" s="14" t="n">
        <v>661518</v>
      </c>
      <c r="B79" s="14" t="n">
        <v>502547</v>
      </c>
      <c r="C79" s="14" t="s">
        <v>667</v>
      </c>
      <c r="D79" s="14" t="s">
        <v>668</v>
      </c>
      <c r="E79" s="14" t="s">
        <v>669</v>
      </c>
      <c r="F79" s="14"/>
      <c r="G79" s="14" t="s">
        <v>670</v>
      </c>
      <c r="H79" s="14" t="s">
        <v>671</v>
      </c>
      <c r="I79" s="14"/>
      <c r="J79" s="14" t="s">
        <v>47</v>
      </c>
      <c r="K79" s="14" t="s">
        <v>48</v>
      </c>
      <c r="L79" s="14" t="s">
        <v>49</v>
      </c>
      <c r="M79" s="14" t="s">
        <v>672</v>
      </c>
      <c r="N79" s="14" t="s">
        <v>51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/>
      <c r="Z79" s="15" t="n">
        <f aca="false">IF(X79=0,"",X79-Y79)</f>
        <v>7</v>
      </c>
      <c r="AA79" s="21" t="n">
        <f aca="false">IFERROR(Y79/X79,"")</f>
        <v>0</v>
      </c>
      <c r="AB79" s="15" t="n">
        <v>0</v>
      </c>
      <c r="AC79" s="22" t="n">
        <f aca="false">AB79*(1+$L$3)</f>
        <v>0</v>
      </c>
      <c r="AD79" s="20"/>
      <c r="AE79" s="23" t="n">
        <f aca="false">AC79-AD79</f>
        <v>0</v>
      </c>
      <c r="AF79" s="21" t="str">
        <f aca="false">IFERROR(AD79/AC79,"")</f>
        <v/>
      </c>
    </row>
    <row r="80" customFormat="false" ht="15" hidden="false" customHeight="true" outlineLevel="0" collapsed="false">
      <c r="A80" s="14" t="n">
        <v>634647</v>
      </c>
      <c r="B80" s="14" t="n">
        <v>481134</v>
      </c>
      <c r="C80" s="14" t="s">
        <v>673</v>
      </c>
      <c r="D80" s="14" t="s">
        <v>674</v>
      </c>
      <c r="E80" s="14" t="s">
        <v>675</v>
      </c>
      <c r="F80" s="14" t="s">
        <v>676</v>
      </c>
      <c r="G80" s="14" t="s">
        <v>677</v>
      </c>
      <c r="H80" s="14" t="s">
        <v>678</v>
      </c>
      <c r="I80" s="14"/>
      <c r="J80" s="14" t="s">
        <v>679</v>
      </c>
      <c r="K80" s="14" t="s">
        <v>307</v>
      </c>
      <c r="L80" s="14" t="s">
        <v>680</v>
      </c>
      <c r="M80" s="14" t="s">
        <v>681</v>
      </c>
      <c r="N80" s="14" t="s">
        <v>70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/>
      <c r="Z80" s="15" t="n">
        <f aca="false">IF(X80=0,"",X80-Y80)</f>
        <v>7</v>
      </c>
      <c r="AA80" s="21" t="n">
        <f aca="false">IFERROR(Y80/X80,"")</f>
        <v>0</v>
      </c>
      <c r="AB80" s="15" t="n">
        <v>0</v>
      </c>
      <c r="AC80" s="22" t="n">
        <f aca="false">AB80*(1+$L$3)</f>
        <v>0</v>
      </c>
      <c r="AD80" s="20"/>
      <c r="AE80" s="23" t="n">
        <f aca="false">AC80-AD80</f>
        <v>0</v>
      </c>
      <c r="AF80" s="21" t="str">
        <f aca="false">IFERROR(AD80/AC80,"")</f>
        <v/>
      </c>
    </row>
    <row r="81" customFormat="false" ht="15" hidden="false" customHeight="true" outlineLevel="0" collapsed="false">
      <c r="A81" s="14" t="n">
        <v>633777</v>
      </c>
      <c r="B81" s="14" t="n">
        <v>480276</v>
      </c>
      <c r="C81" s="14" t="s">
        <v>682</v>
      </c>
      <c r="D81" s="14" t="s">
        <v>683</v>
      </c>
      <c r="E81" s="14" t="s">
        <v>684</v>
      </c>
      <c r="F81" s="14" t="s">
        <v>685</v>
      </c>
      <c r="G81" s="14" t="s">
        <v>686</v>
      </c>
      <c r="H81" s="14" t="s">
        <v>687</v>
      </c>
      <c r="I81" s="14" t="s">
        <v>688</v>
      </c>
      <c r="J81" s="14" t="s">
        <v>689</v>
      </c>
      <c r="K81" s="14" t="s">
        <v>67</v>
      </c>
      <c r="L81" s="14" t="s">
        <v>690</v>
      </c>
      <c r="M81" s="14" t="s">
        <v>691</v>
      </c>
      <c r="N81" s="14" t="s">
        <v>70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 t="n">
        <v>2</v>
      </c>
      <c r="Z81" s="15" t="n">
        <f aca="false">IF(X81=0,"",X81-Y81)</f>
        <v>5</v>
      </c>
      <c r="AA81" s="21" t="n">
        <f aca="false">IFERROR(Y81/X81,"")</f>
        <v>0.285714285714286</v>
      </c>
      <c r="AB81" s="15" t="n">
        <v>0</v>
      </c>
      <c r="AC81" s="22" t="n">
        <f aca="false">AB81*(1+$L$3)</f>
        <v>0</v>
      </c>
      <c r="AD81" s="20"/>
      <c r="AE81" s="23" t="n">
        <f aca="false">AC81-AD81</f>
        <v>0</v>
      </c>
      <c r="AF81" s="21" t="str">
        <f aca="false">IFERROR(AD81/AC81,"")</f>
        <v/>
      </c>
    </row>
    <row r="82" customFormat="false" ht="15" hidden="false" customHeight="true" outlineLevel="0" collapsed="false">
      <c r="A82" s="14" t="n">
        <v>633690</v>
      </c>
      <c r="B82" s="14" t="n">
        <v>480189</v>
      </c>
      <c r="C82" s="14" t="s">
        <v>692</v>
      </c>
      <c r="D82" s="14" t="s">
        <v>693</v>
      </c>
      <c r="E82" s="14" t="s">
        <v>694</v>
      </c>
      <c r="F82" s="14" t="s">
        <v>695</v>
      </c>
      <c r="G82" s="14" t="s">
        <v>696</v>
      </c>
      <c r="H82" s="14" t="s">
        <v>697</v>
      </c>
      <c r="I82" s="14"/>
      <c r="J82" s="14" t="s">
        <v>698</v>
      </c>
      <c r="K82" s="14" t="s">
        <v>307</v>
      </c>
      <c r="L82" s="14" t="s">
        <v>699</v>
      </c>
      <c r="M82" s="14" t="s">
        <v>700</v>
      </c>
      <c r="N82" s="14" t="s">
        <v>70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 t="n">
        <v>4</v>
      </c>
      <c r="Z82" s="15" t="n">
        <f aca="false">IF(X82=0,"",X82-Y82)</f>
        <v>3</v>
      </c>
      <c r="AA82" s="21" t="n">
        <f aca="false">IFERROR(Y82/X82,"")</f>
        <v>0.571428571428571</v>
      </c>
      <c r="AB82" s="15" t="n">
        <v>0</v>
      </c>
      <c r="AC82" s="22" t="n">
        <f aca="false">AB82*(1+$L$3)</f>
        <v>0</v>
      </c>
      <c r="AD82" s="20"/>
      <c r="AE82" s="23" t="n">
        <f aca="false">AC82-AD82</f>
        <v>0</v>
      </c>
      <c r="AF82" s="21" t="str">
        <f aca="false">IFERROR(AD82/AC82,"")</f>
        <v/>
      </c>
    </row>
    <row r="83" customFormat="false" ht="15" hidden="false" customHeight="true" outlineLevel="0" collapsed="false">
      <c r="A83" s="14" t="n">
        <v>524678</v>
      </c>
      <c r="B83" s="14" t="n">
        <v>380516</v>
      </c>
      <c r="C83" s="14" t="s">
        <v>701</v>
      </c>
      <c r="D83" s="14" t="s">
        <v>702</v>
      </c>
      <c r="E83" s="14" t="s">
        <v>703</v>
      </c>
      <c r="F83" s="14" t="s">
        <v>704</v>
      </c>
      <c r="G83" s="14" t="s">
        <v>705</v>
      </c>
      <c r="H83" s="14" t="s">
        <v>706</v>
      </c>
      <c r="I83" s="14" t="s">
        <v>707</v>
      </c>
      <c r="J83" s="14" t="s">
        <v>708</v>
      </c>
      <c r="K83" s="14" t="s">
        <v>709</v>
      </c>
      <c r="L83" s="14" t="s">
        <v>710</v>
      </c>
      <c r="M83" s="14" t="s">
        <v>711</v>
      </c>
      <c r="N83" s="14" t="s">
        <v>70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4</v>
      </c>
      <c r="Z83" s="15" t="n">
        <f aca="false">IF(X83=0,"",X83-Y83)</f>
        <v>3</v>
      </c>
      <c r="AA83" s="21" t="n">
        <f aca="false">IFERROR(Y83/X83,"")</f>
        <v>0.571428571428571</v>
      </c>
      <c r="AB83" s="15" t="n">
        <v>5</v>
      </c>
      <c r="AC83" s="22" t="n">
        <f aca="false">AB83*(1+$L$3)</f>
        <v>5.6</v>
      </c>
      <c r="AD83" s="20" t="n">
        <v>8</v>
      </c>
      <c r="AE83" s="23" t="n">
        <f aca="false">AC83-AD83</f>
        <v>-2.4</v>
      </c>
      <c r="AF83" s="21" t="n">
        <f aca="false">IFERROR(AD83/AC83,"")</f>
        <v>1.42857142857143</v>
      </c>
    </row>
    <row r="84" customFormat="false" ht="15" hidden="false" customHeight="true" outlineLevel="0" collapsed="false">
      <c r="A84" s="14" t="n">
        <v>632443</v>
      </c>
      <c r="B84" s="14" t="n">
        <v>478964</v>
      </c>
      <c r="C84" s="14" t="s">
        <v>712</v>
      </c>
      <c r="D84" s="14" t="s">
        <v>713</v>
      </c>
      <c r="E84" s="14" t="s">
        <v>714</v>
      </c>
      <c r="F84" s="14" t="s">
        <v>715</v>
      </c>
      <c r="G84" s="14" t="s">
        <v>716</v>
      </c>
      <c r="H84" s="14" t="s">
        <v>717</v>
      </c>
      <c r="I84" s="14"/>
      <c r="J84" s="14" t="s">
        <v>47</v>
      </c>
      <c r="K84" s="14" t="s">
        <v>48</v>
      </c>
      <c r="L84" s="14" t="s">
        <v>393</v>
      </c>
      <c r="M84" s="14" t="s">
        <v>718</v>
      </c>
      <c r="N84" s="14" t="s">
        <v>51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 t="n">
        <v>2</v>
      </c>
      <c r="Z84" s="15" t="n">
        <f aca="false">IF(X84=0,"",X84-Y84)</f>
        <v>4</v>
      </c>
      <c r="AA84" s="21" t="n">
        <f aca="false">IFERROR(Y84/X84,"")</f>
        <v>0.333333333333333</v>
      </c>
      <c r="AB84" s="15" t="n">
        <v>0</v>
      </c>
      <c r="AC84" s="22" t="n">
        <f aca="false">AB84*(1+$L$3)</f>
        <v>0</v>
      </c>
      <c r="AD84" s="20"/>
      <c r="AE84" s="23" t="n">
        <f aca="false">AC84-AD84</f>
        <v>0</v>
      </c>
      <c r="AF84" s="21" t="str">
        <f aca="false">IFERROR(AD84/AC84,"")</f>
        <v/>
      </c>
    </row>
    <row r="85" customFormat="false" ht="15" hidden="false" customHeight="true" outlineLevel="0" collapsed="false">
      <c r="A85" s="14" t="n">
        <v>657846</v>
      </c>
      <c r="B85" s="14" t="n">
        <v>498850</v>
      </c>
      <c r="C85" s="14" t="s">
        <v>719</v>
      </c>
      <c r="D85" s="14" t="s">
        <v>720</v>
      </c>
      <c r="E85" s="14" t="s">
        <v>721</v>
      </c>
      <c r="F85" s="14" t="s">
        <v>722</v>
      </c>
      <c r="G85" s="14" t="s">
        <v>723</v>
      </c>
      <c r="H85" s="14" t="s">
        <v>724</v>
      </c>
      <c r="I85" s="14"/>
      <c r="J85" s="14" t="s">
        <v>725</v>
      </c>
      <c r="K85" s="14" t="s">
        <v>197</v>
      </c>
      <c r="L85" s="14" t="s">
        <v>726</v>
      </c>
      <c r="M85" s="14" t="s">
        <v>727</v>
      </c>
      <c r="N85" s="14" t="s">
        <v>70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3</v>
      </c>
      <c r="Z85" s="15" t="n">
        <f aca="false">IF(X85=0,"",X85-Y85)</f>
        <v>3</v>
      </c>
      <c r="AA85" s="21" t="n">
        <f aca="false">IFERROR(Y85/X85,"")</f>
        <v>0.5</v>
      </c>
      <c r="AB85" s="15" t="n">
        <v>0</v>
      </c>
      <c r="AC85" s="22" t="n">
        <f aca="false">AB85*(1+$L$3)</f>
        <v>0</v>
      </c>
      <c r="AD85" s="20"/>
      <c r="AE85" s="23" t="n">
        <f aca="false">AC85-AD85</f>
        <v>0</v>
      </c>
      <c r="AF85" s="21" t="str">
        <f aca="false">IFERROR(AD85/AC85,"")</f>
        <v/>
      </c>
    </row>
    <row r="86" customFormat="false" ht="15" hidden="false" customHeight="true" outlineLevel="0" collapsed="false">
      <c r="A86" s="14" t="n">
        <v>635266</v>
      </c>
      <c r="B86" s="14" t="n">
        <v>481735</v>
      </c>
      <c r="C86" s="14" t="s">
        <v>728</v>
      </c>
      <c r="D86" s="14" t="s">
        <v>729</v>
      </c>
      <c r="E86" s="14" t="s">
        <v>730</v>
      </c>
      <c r="F86" s="14" t="s">
        <v>731</v>
      </c>
      <c r="G86" s="14" t="s">
        <v>732</v>
      </c>
      <c r="H86" s="14" t="s">
        <v>733</v>
      </c>
      <c r="I86" s="14"/>
      <c r="J86" s="14" t="s">
        <v>47</v>
      </c>
      <c r="K86" s="14" t="s">
        <v>48</v>
      </c>
      <c r="L86" s="14" t="s">
        <v>49</v>
      </c>
      <c r="M86" s="14" t="s">
        <v>734</v>
      </c>
      <c r="N86" s="14" t="s">
        <v>51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 t="n">
        <v>1</v>
      </c>
      <c r="Z86" s="15" t="n">
        <f aca="false">IF(X86=0,"",X86-Y86)</f>
        <v>5</v>
      </c>
      <c r="AA86" s="21" t="n">
        <f aca="false">IFERROR(Y86/X86,"")</f>
        <v>0.166666666666667</v>
      </c>
      <c r="AB86" s="15" t="n">
        <v>0</v>
      </c>
      <c r="AC86" s="22" t="n">
        <f aca="false">AB86*(1+$L$3)</f>
        <v>0</v>
      </c>
      <c r="AD86" s="20"/>
      <c r="AE86" s="23" t="n">
        <f aca="false">AC86-AD86</f>
        <v>0</v>
      </c>
      <c r="AF86" s="21" t="str">
        <f aca="false">IFERROR(AD86/AC86,"")</f>
        <v/>
      </c>
    </row>
    <row r="87" customFormat="false" ht="15" hidden="false" customHeight="true" outlineLevel="0" collapsed="false">
      <c r="A87" s="14" t="n">
        <v>627551</v>
      </c>
      <c r="B87" s="14" t="n">
        <v>475926</v>
      </c>
      <c r="C87" s="14" t="s">
        <v>735</v>
      </c>
      <c r="D87" s="14" t="s">
        <v>736</v>
      </c>
      <c r="E87" s="14" t="s">
        <v>737</v>
      </c>
      <c r="F87" s="14" t="s">
        <v>738</v>
      </c>
      <c r="G87" s="14" t="s">
        <v>739</v>
      </c>
      <c r="H87" s="14" t="s">
        <v>740</v>
      </c>
      <c r="I87" s="14" t="s">
        <v>741</v>
      </c>
      <c r="J87" s="14" t="s">
        <v>316</v>
      </c>
      <c r="K87" s="14" t="s">
        <v>307</v>
      </c>
      <c r="L87" s="14" t="s">
        <v>742</v>
      </c>
      <c r="M87" s="14" t="s">
        <v>743</v>
      </c>
      <c r="N87" s="14" t="s">
        <v>70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3</v>
      </c>
      <c r="Z87" s="15" t="n">
        <f aca="false">IF(X87=0,"",X87-Y87)</f>
        <v>3</v>
      </c>
      <c r="AA87" s="21" t="n">
        <f aca="false">IFERROR(Y87/X87,"")</f>
        <v>0.5</v>
      </c>
      <c r="AB87" s="15" t="n">
        <v>0</v>
      </c>
      <c r="AC87" s="22" t="n">
        <f aca="false">AB87*(1+$L$3)</f>
        <v>0</v>
      </c>
      <c r="AD87" s="20"/>
      <c r="AE87" s="23" t="n">
        <f aca="false">AC87-AD87</f>
        <v>0</v>
      </c>
      <c r="AF87" s="21" t="str">
        <f aca="false">IFERROR(AD87/AC87,"")</f>
        <v/>
      </c>
    </row>
    <row r="88" customFormat="false" ht="15" hidden="false" customHeight="true" outlineLevel="0" collapsed="false">
      <c r="A88" s="14" t="n">
        <v>604901</v>
      </c>
      <c r="B88" s="14" t="n">
        <v>454716</v>
      </c>
      <c r="C88" s="14" t="s">
        <v>744</v>
      </c>
      <c r="D88" s="14" t="s">
        <v>745</v>
      </c>
      <c r="E88" s="14" t="s">
        <v>746</v>
      </c>
      <c r="F88" s="14" t="s">
        <v>747</v>
      </c>
      <c r="G88" s="14" t="s">
        <v>748</v>
      </c>
      <c r="H88" s="14" t="s">
        <v>749</v>
      </c>
      <c r="I88" s="14"/>
      <c r="J88" s="14" t="s">
        <v>638</v>
      </c>
      <c r="K88" s="14" t="s">
        <v>67</v>
      </c>
      <c r="L88" s="14" t="s">
        <v>750</v>
      </c>
      <c r="M88" s="14" t="s">
        <v>751</v>
      </c>
      <c r="N88" s="14" t="s">
        <v>70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2</v>
      </c>
      <c r="Z88" s="15" t="n">
        <f aca="false">IF(X88=0,"",X88-Y88)</f>
        <v>4</v>
      </c>
      <c r="AA88" s="21" t="n">
        <f aca="false">IFERROR(Y88/X88,"")</f>
        <v>0.333333333333333</v>
      </c>
      <c r="AB88" s="15" t="n">
        <v>0</v>
      </c>
      <c r="AC88" s="22" t="n">
        <f aca="false">AB88*(1+$L$3)</f>
        <v>0</v>
      </c>
      <c r="AD88" s="20"/>
      <c r="AE88" s="23" t="n">
        <f aca="false">AC88-AD88</f>
        <v>0</v>
      </c>
      <c r="AF88" s="21" t="str">
        <f aca="false">IFERROR(AD88/AC88,"")</f>
        <v/>
      </c>
    </row>
    <row r="89" customFormat="false" ht="15" hidden="false" customHeight="true" outlineLevel="0" collapsed="false">
      <c r="A89" s="14" t="n">
        <v>181827</v>
      </c>
      <c r="B89" s="14" t="n">
        <v>191951</v>
      </c>
      <c r="C89" s="14" t="s">
        <v>752</v>
      </c>
      <c r="D89" s="14" t="s">
        <v>753</v>
      </c>
      <c r="E89" s="14" t="s">
        <v>754</v>
      </c>
      <c r="F89" s="14" t="s">
        <v>755</v>
      </c>
      <c r="G89" s="14" t="s">
        <v>756</v>
      </c>
      <c r="H89" s="14" t="s">
        <v>757</v>
      </c>
      <c r="I89" s="14"/>
      <c r="J89" s="14" t="s">
        <v>758</v>
      </c>
      <c r="K89" s="14" t="s">
        <v>67</v>
      </c>
      <c r="L89" s="14" t="s">
        <v>759</v>
      </c>
      <c r="M89" s="14" t="s">
        <v>760</v>
      </c>
      <c r="N89" s="14" t="s">
        <v>70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/>
      <c r="Z89" s="15" t="n">
        <f aca="false">IF(X89=0,"",X89-Y89)</f>
        <v>6</v>
      </c>
      <c r="AA89" s="21" t="n">
        <f aca="false">IFERROR(Y89/X89,"")</f>
        <v>0</v>
      </c>
      <c r="AB89" s="15" t="n">
        <v>2</v>
      </c>
      <c r="AC89" s="22" t="n">
        <f aca="false">AB89*(1+$L$3)</f>
        <v>2.24</v>
      </c>
      <c r="AD89" s="20"/>
      <c r="AE89" s="23" t="n">
        <f aca="false">AC89-AD89</f>
        <v>2.24</v>
      </c>
      <c r="AF89" s="21" t="n">
        <f aca="false">IFERROR(AD89/AC89,"")</f>
        <v>0</v>
      </c>
    </row>
    <row r="90" customFormat="false" ht="15" hidden="false" customHeight="true" outlineLevel="0" collapsed="false">
      <c r="A90" s="14" t="n">
        <v>631620</v>
      </c>
      <c r="B90" s="14" t="n">
        <v>478112</v>
      </c>
      <c r="C90" s="14" t="s">
        <v>761</v>
      </c>
      <c r="D90" s="14" t="s">
        <v>762</v>
      </c>
      <c r="E90" s="14" t="s">
        <v>763</v>
      </c>
      <c r="F90" s="14" t="s">
        <v>764</v>
      </c>
      <c r="G90" s="14" t="s">
        <v>765</v>
      </c>
      <c r="H90" s="14" t="s">
        <v>766</v>
      </c>
      <c r="I90" s="14"/>
      <c r="J90" s="14" t="s">
        <v>767</v>
      </c>
      <c r="K90" s="14" t="s">
        <v>48</v>
      </c>
      <c r="L90" s="14" t="s">
        <v>768</v>
      </c>
      <c r="M90" s="14" t="s">
        <v>769</v>
      </c>
      <c r="N90" s="14" t="s">
        <v>70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/>
      <c r="Z90" s="15" t="n">
        <f aca="false">IF(X90=0,"",X90-Y90)</f>
        <v>6</v>
      </c>
      <c r="AA90" s="21" t="n">
        <f aca="false">IFERROR(Y90/X90,"")</f>
        <v>0</v>
      </c>
      <c r="AB90" s="15" t="n">
        <v>0</v>
      </c>
      <c r="AC90" s="22" t="n">
        <f aca="false">AB90*(1+$L$3)</f>
        <v>0</v>
      </c>
      <c r="AD90" s="20"/>
      <c r="AE90" s="23" t="n">
        <f aca="false">AC90-AD90</f>
        <v>0</v>
      </c>
      <c r="AF90" s="21" t="str">
        <f aca="false">IFERROR(AD90/AC90,"")</f>
        <v/>
      </c>
    </row>
    <row r="91" customFormat="false" ht="15" hidden="false" customHeight="true" outlineLevel="0" collapsed="false">
      <c r="A91" s="14" t="n">
        <v>620572</v>
      </c>
      <c r="B91" s="14" t="n">
        <v>470775</v>
      </c>
      <c r="C91" s="14" t="s">
        <v>770</v>
      </c>
      <c r="D91" s="14" t="s">
        <v>771</v>
      </c>
      <c r="E91" s="14" t="s">
        <v>772</v>
      </c>
      <c r="F91" s="14" t="s">
        <v>773</v>
      </c>
      <c r="G91" s="14" t="s">
        <v>774</v>
      </c>
      <c r="H91" s="14" t="s">
        <v>775</v>
      </c>
      <c r="I91" s="14"/>
      <c r="J91" s="14" t="s">
        <v>776</v>
      </c>
      <c r="K91" s="14" t="s">
        <v>709</v>
      </c>
      <c r="L91" s="14" t="s">
        <v>777</v>
      </c>
      <c r="M91" s="14" t="s">
        <v>778</v>
      </c>
      <c r="N91" s="14" t="s">
        <v>70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/>
      <c r="Z91" s="15" t="n">
        <f aca="false">IF(X91=0,"",X91-Y91)</f>
        <v>6</v>
      </c>
      <c r="AA91" s="21" t="n">
        <f aca="false">IFERROR(Y91/X91,"")</f>
        <v>0</v>
      </c>
      <c r="AB91" s="15" t="n">
        <v>0</v>
      </c>
      <c r="AC91" s="22" t="n">
        <f aca="false">AB91*(1+$L$3)</f>
        <v>0</v>
      </c>
      <c r="AD91" s="20"/>
      <c r="AE91" s="23" t="n">
        <f aca="false">AC91-AD91</f>
        <v>0</v>
      </c>
      <c r="AF91" s="21" t="str">
        <f aca="false">IFERROR(AD91/AC91,"")</f>
        <v/>
      </c>
    </row>
    <row r="92" customFormat="false" ht="15" hidden="false" customHeight="true" outlineLevel="0" collapsed="false">
      <c r="A92" s="14" t="n">
        <v>660331</v>
      </c>
      <c r="B92" s="14" t="n">
        <v>501339</v>
      </c>
      <c r="C92" s="14" t="s">
        <v>779</v>
      </c>
      <c r="D92" s="14" t="s">
        <v>780</v>
      </c>
      <c r="E92" s="14" t="s">
        <v>781</v>
      </c>
      <c r="F92" s="14" t="s">
        <v>782</v>
      </c>
      <c r="G92" s="14" t="s">
        <v>783</v>
      </c>
      <c r="H92" s="14" t="s">
        <v>784</v>
      </c>
      <c r="I92" s="14"/>
      <c r="J92" s="14" t="s">
        <v>708</v>
      </c>
      <c r="K92" s="14" t="s">
        <v>709</v>
      </c>
      <c r="L92" s="14" t="s">
        <v>785</v>
      </c>
      <c r="M92" s="14" t="s">
        <v>786</v>
      </c>
      <c r="N92" s="14" t="s">
        <v>70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 t="n">
        <v>1</v>
      </c>
      <c r="Z92" s="15" t="n">
        <f aca="false">IF(X92=0,"",X92-Y92)</f>
        <v>5</v>
      </c>
      <c r="AA92" s="21" t="n">
        <f aca="false">IFERROR(Y92/X92,"")</f>
        <v>0.166666666666667</v>
      </c>
      <c r="AB92" s="15" t="n">
        <v>0</v>
      </c>
      <c r="AC92" s="22" t="n">
        <f aca="false">AB92*(1+$L$3)</f>
        <v>0</v>
      </c>
      <c r="AD92" s="20"/>
      <c r="AE92" s="23" t="n">
        <f aca="false">AC92-AD92</f>
        <v>0</v>
      </c>
      <c r="AF92" s="21" t="str">
        <f aca="false">IFERROR(AD92/AC92,"")</f>
        <v/>
      </c>
    </row>
    <row r="93" customFormat="false" ht="15" hidden="false" customHeight="true" outlineLevel="0" collapsed="false">
      <c r="A93" s="14" t="n">
        <v>428523</v>
      </c>
      <c r="B93" s="14" t="n">
        <v>283898</v>
      </c>
      <c r="C93" s="14" t="s">
        <v>787</v>
      </c>
      <c r="D93" s="14" t="s">
        <v>788</v>
      </c>
      <c r="E93" s="14" t="s">
        <v>789</v>
      </c>
      <c r="F93" s="14" t="s">
        <v>790</v>
      </c>
      <c r="G93" s="14" t="s">
        <v>791</v>
      </c>
      <c r="H93" s="14" t="s">
        <v>792</v>
      </c>
      <c r="I93" s="14" t="s">
        <v>793</v>
      </c>
      <c r="J93" s="14" t="s">
        <v>794</v>
      </c>
      <c r="K93" s="14" t="s">
        <v>67</v>
      </c>
      <c r="L93" s="14" t="s">
        <v>795</v>
      </c>
      <c r="M93" s="14" t="s">
        <v>796</v>
      </c>
      <c r="N93" s="14" t="s">
        <v>70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2</v>
      </c>
      <c r="Z93" s="15" t="n">
        <f aca="false">IF(X93=0,"",X93-Y93)</f>
        <v>4</v>
      </c>
      <c r="AA93" s="21" t="n">
        <f aca="false">IFERROR(Y93/X93,"")</f>
        <v>0.333333333333333</v>
      </c>
      <c r="AB93" s="15" t="n">
        <v>0</v>
      </c>
      <c r="AC93" s="22" t="n">
        <f aca="false">AB93*(1+$L$3)</f>
        <v>0</v>
      </c>
      <c r="AD93" s="20"/>
      <c r="AE93" s="23" t="n">
        <f aca="false">AC93-AD93</f>
        <v>0</v>
      </c>
      <c r="AF93" s="21" t="str">
        <f aca="false">IFERROR(AD93/AC93,"")</f>
        <v/>
      </c>
    </row>
    <row r="94" customFormat="false" ht="15" hidden="false" customHeight="true" outlineLevel="0" collapsed="false">
      <c r="A94" s="14" t="n">
        <v>659487</v>
      </c>
      <c r="B94" s="14" t="n">
        <v>500490</v>
      </c>
      <c r="C94" s="14" t="s">
        <v>797</v>
      </c>
      <c r="D94" s="14" t="s">
        <v>798</v>
      </c>
      <c r="E94" s="14" t="s">
        <v>799</v>
      </c>
      <c r="F94" s="14" t="s">
        <v>800</v>
      </c>
      <c r="G94" s="14" t="s">
        <v>801</v>
      </c>
      <c r="H94" s="14" t="s">
        <v>802</v>
      </c>
      <c r="I94" s="14"/>
      <c r="J94" s="14" t="s">
        <v>803</v>
      </c>
      <c r="K94" s="14" t="s">
        <v>464</v>
      </c>
      <c r="L94" s="14" t="s">
        <v>804</v>
      </c>
      <c r="M94" s="14" t="s">
        <v>805</v>
      </c>
      <c r="N94" s="14" t="s">
        <v>70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2</v>
      </c>
      <c r="Z94" s="15" t="n">
        <f aca="false">IF(X94=0,"",X94-Y94)</f>
        <v>4</v>
      </c>
      <c r="AA94" s="21" t="n">
        <f aca="false">IFERROR(Y94/X94,"")</f>
        <v>0.333333333333333</v>
      </c>
      <c r="AB94" s="15" t="n">
        <v>0</v>
      </c>
      <c r="AC94" s="22" t="n">
        <f aca="false">AB94*(1+$L$3)</f>
        <v>0</v>
      </c>
      <c r="AD94" s="20"/>
      <c r="AE94" s="23" t="n">
        <f aca="false">AC94-AD94</f>
        <v>0</v>
      </c>
      <c r="AF94" s="21" t="str">
        <f aca="false">IFERROR(AD94/AC94,"")</f>
        <v/>
      </c>
    </row>
    <row r="95" customFormat="false" ht="15" hidden="false" customHeight="true" outlineLevel="0" collapsed="false">
      <c r="A95" s="14" t="n">
        <v>632823</v>
      </c>
      <c r="B95" s="14" t="n">
        <v>479336</v>
      </c>
      <c r="C95" s="14" t="s">
        <v>806</v>
      </c>
      <c r="D95" s="14" t="s">
        <v>807</v>
      </c>
      <c r="E95" s="14" t="s">
        <v>808</v>
      </c>
      <c r="F95" s="14" t="s">
        <v>809</v>
      </c>
      <c r="G95" s="14" t="s">
        <v>810</v>
      </c>
      <c r="H95" s="14" t="s">
        <v>811</v>
      </c>
      <c r="I95" s="14" t="s">
        <v>276</v>
      </c>
      <c r="J95" s="14" t="s">
        <v>812</v>
      </c>
      <c r="K95" s="14" t="s">
        <v>307</v>
      </c>
      <c r="L95" s="14" t="s">
        <v>813</v>
      </c>
      <c r="M95" s="14" t="s">
        <v>814</v>
      </c>
      <c r="N95" s="14" t="s">
        <v>70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1</v>
      </c>
      <c r="Z95" s="15" t="n">
        <f aca="false">IF(X95=0,"",X95-Y95)</f>
        <v>5</v>
      </c>
      <c r="AA95" s="21" t="n">
        <f aca="false">IFERROR(Y95/X95,"")</f>
        <v>0.166666666666667</v>
      </c>
      <c r="AB95" s="15" t="n">
        <v>0</v>
      </c>
      <c r="AC95" s="22" t="n">
        <f aca="false">AB95*(1+$L$3)</f>
        <v>0</v>
      </c>
      <c r="AD95" s="20"/>
      <c r="AE95" s="23" t="n">
        <f aca="false">AC95-AD95</f>
        <v>0</v>
      </c>
      <c r="AF95" s="21" t="str">
        <f aca="false">IFERROR(AD95/AC95,"")</f>
        <v/>
      </c>
    </row>
    <row r="96" customFormat="false" ht="15" hidden="false" customHeight="true" outlineLevel="0" collapsed="false">
      <c r="A96" s="14" t="n">
        <v>659393</v>
      </c>
      <c r="B96" s="14" t="n">
        <v>500388</v>
      </c>
      <c r="C96" s="14" t="s">
        <v>815</v>
      </c>
      <c r="D96" s="14" t="s">
        <v>816</v>
      </c>
      <c r="E96" s="14" t="s">
        <v>817</v>
      </c>
      <c r="F96" s="14" t="s">
        <v>818</v>
      </c>
      <c r="G96" s="14" t="s">
        <v>819</v>
      </c>
      <c r="H96" s="14" t="s">
        <v>820</v>
      </c>
      <c r="I96" s="14"/>
      <c r="J96" s="14" t="s">
        <v>77</v>
      </c>
      <c r="K96" s="14" t="s">
        <v>48</v>
      </c>
      <c r="L96" s="14" t="s">
        <v>86</v>
      </c>
      <c r="M96" s="14" t="s">
        <v>821</v>
      </c>
      <c r="N96" s="14" t="s">
        <v>70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2</v>
      </c>
      <c r="Z96" s="15" t="n">
        <f aca="false">IF(X96=0,"",X96-Y96)</f>
        <v>4</v>
      </c>
      <c r="AA96" s="21" t="n">
        <f aca="false">IFERROR(Y96/X96,"")</f>
        <v>0.333333333333333</v>
      </c>
      <c r="AB96" s="15" t="n">
        <v>3</v>
      </c>
      <c r="AC96" s="22" t="n">
        <f aca="false">AB96*(1+$L$3)</f>
        <v>3.36</v>
      </c>
      <c r="AD96" s="20" t="n">
        <v>3</v>
      </c>
      <c r="AE96" s="23" t="n">
        <f aca="false">AC96-AD96</f>
        <v>0.36</v>
      </c>
      <c r="AF96" s="21" t="n">
        <f aca="false">IFERROR(AD96/AC96,"")</f>
        <v>0.892857142857143</v>
      </c>
    </row>
    <row r="97" customFormat="false" ht="15" hidden="false" customHeight="true" outlineLevel="0" collapsed="false">
      <c r="A97" s="14" t="n">
        <v>595149</v>
      </c>
      <c r="B97" s="14" t="n">
        <v>443733</v>
      </c>
      <c r="C97" s="14" t="s">
        <v>822</v>
      </c>
      <c r="D97" s="14" t="s">
        <v>823</v>
      </c>
      <c r="E97" s="14" t="s">
        <v>824</v>
      </c>
      <c r="F97" s="14" t="s">
        <v>825</v>
      </c>
      <c r="G97" s="14" t="s">
        <v>826</v>
      </c>
      <c r="H97" s="14" t="s">
        <v>827</v>
      </c>
      <c r="I97" s="14"/>
      <c r="J97" s="14" t="s">
        <v>828</v>
      </c>
      <c r="K97" s="14" t="s">
        <v>67</v>
      </c>
      <c r="L97" s="14" t="s">
        <v>829</v>
      </c>
      <c r="M97" s="14" t="s">
        <v>830</v>
      </c>
      <c r="N97" s="14" t="s">
        <v>70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2</v>
      </c>
      <c r="Z97" s="15" t="n">
        <f aca="false">IF(X97=0,"",X97-Y97)</f>
        <v>4</v>
      </c>
      <c r="AA97" s="21" t="n">
        <f aca="false">IFERROR(Y97/X97,"")</f>
        <v>0.333333333333333</v>
      </c>
      <c r="AB97" s="15" t="n">
        <v>7</v>
      </c>
      <c r="AC97" s="22" t="n">
        <f aca="false">AB97*(1+$L$3)</f>
        <v>7.84</v>
      </c>
      <c r="AD97" s="20"/>
      <c r="AE97" s="23" t="n">
        <f aca="false">AC97-AD97</f>
        <v>7.84</v>
      </c>
      <c r="AF97" s="21" t="n">
        <f aca="false">IFERROR(AD97/AC97,"")</f>
        <v>0</v>
      </c>
    </row>
    <row r="98" customFormat="false" ht="15" hidden="false" customHeight="true" outlineLevel="0" collapsed="false">
      <c r="A98" s="14" t="n">
        <v>659854</v>
      </c>
      <c r="B98" s="14" t="n">
        <v>500860</v>
      </c>
      <c r="C98" s="14" t="s">
        <v>831</v>
      </c>
      <c r="D98" s="14" t="s">
        <v>832</v>
      </c>
      <c r="E98" s="14" t="s">
        <v>833</v>
      </c>
      <c r="F98" s="14" t="s">
        <v>834</v>
      </c>
      <c r="G98" s="14" t="s">
        <v>835</v>
      </c>
      <c r="H98" s="14" t="s">
        <v>836</v>
      </c>
      <c r="I98" s="14" t="s">
        <v>276</v>
      </c>
      <c r="J98" s="14" t="s">
        <v>837</v>
      </c>
      <c r="K98" s="14" t="s">
        <v>307</v>
      </c>
      <c r="L98" s="14" t="s">
        <v>838</v>
      </c>
      <c r="M98" s="14" t="s">
        <v>839</v>
      </c>
      <c r="N98" s="14" t="s">
        <v>70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/>
      <c r="Z98" s="15" t="n">
        <f aca="false">IF(X98=0,"",X98-Y98)</f>
        <v>6</v>
      </c>
      <c r="AA98" s="21" t="n">
        <f aca="false">IFERROR(Y98/X98,"")</f>
        <v>0</v>
      </c>
      <c r="AB98" s="15" t="n">
        <v>5</v>
      </c>
      <c r="AC98" s="22" t="n">
        <f aca="false">AB98*(1+$L$3)</f>
        <v>5.6</v>
      </c>
      <c r="AD98" s="20"/>
      <c r="AE98" s="23" t="n">
        <f aca="false">AC98-AD98</f>
        <v>5.6</v>
      </c>
      <c r="AF98" s="21" t="n">
        <f aca="false">IFERROR(AD98/AC98,"")</f>
        <v>0</v>
      </c>
    </row>
    <row r="99" customFormat="false" ht="15" hidden="false" customHeight="true" outlineLevel="0" collapsed="false">
      <c r="A99" s="14" t="n">
        <v>644642</v>
      </c>
      <c r="B99" s="14" t="n">
        <v>486061</v>
      </c>
      <c r="C99" s="14" t="s">
        <v>840</v>
      </c>
      <c r="D99" s="14" t="s">
        <v>841</v>
      </c>
      <c r="E99" s="14" t="s">
        <v>842</v>
      </c>
      <c r="F99" s="14" t="s">
        <v>843</v>
      </c>
      <c r="G99" s="14" t="s">
        <v>844</v>
      </c>
      <c r="H99" s="14" t="s">
        <v>845</v>
      </c>
      <c r="I99" s="14"/>
      <c r="J99" s="14" t="s">
        <v>846</v>
      </c>
      <c r="K99" s="14" t="s">
        <v>67</v>
      </c>
      <c r="L99" s="14" t="s">
        <v>847</v>
      </c>
      <c r="M99" s="14" t="s">
        <v>848</v>
      </c>
      <c r="N99" s="14" t="s">
        <v>70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2</v>
      </c>
      <c r="Z99" s="15" t="n">
        <f aca="false">IF(X99=0,"",X99-Y99)</f>
        <v>4</v>
      </c>
      <c r="AA99" s="21" t="n">
        <f aca="false">IFERROR(Y99/X99,"")</f>
        <v>0.333333333333333</v>
      </c>
      <c r="AB99" s="15" t="n">
        <v>0</v>
      </c>
      <c r="AC99" s="22" t="n">
        <f aca="false">AB99*(1+$L$3)</f>
        <v>0</v>
      </c>
      <c r="AD99" s="20"/>
      <c r="AE99" s="23" t="n">
        <f aca="false">AC99-AD99</f>
        <v>0</v>
      </c>
      <c r="AF99" s="21" t="str">
        <f aca="false">IFERROR(AD99/AC99,"")</f>
        <v/>
      </c>
    </row>
    <row r="100" customFormat="false" ht="15" hidden="false" customHeight="true" outlineLevel="0" collapsed="false">
      <c r="A100" s="14" t="n">
        <v>661517</v>
      </c>
      <c r="B100" s="14" t="n">
        <v>502546</v>
      </c>
      <c r="C100" s="14" t="s">
        <v>849</v>
      </c>
      <c r="D100" s="14" t="s">
        <v>850</v>
      </c>
      <c r="E100" s="14" t="s">
        <v>851</v>
      </c>
      <c r="F100" s="14"/>
      <c r="G100" s="14" t="s">
        <v>852</v>
      </c>
      <c r="H100" s="14" t="s">
        <v>853</v>
      </c>
      <c r="I100" s="14" t="s">
        <v>854</v>
      </c>
      <c r="J100" s="14" t="s">
        <v>47</v>
      </c>
      <c r="K100" s="14" t="s">
        <v>48</v>
      </c>
      <c r="L100" s="14" t="s">
        <v>49</v>
      </c>
      <c r="M100" s="14" t="s">
        <v>855</v>
      </c>
      <c r="N100" s="14" t="s">
        <v>51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 t="n">
        <v>2</v>
      </c>
      <c r="Z100" s="15" t="n">
        <f aca="false">IF(X100=0,"",X100-Y100)</f>
        <v>4</v>
      </c>
      <c r="AA100" s="21" t="n">
        <f aca="false">IFERROR(Y100/X100,"")</f>
        <v>0.333333333333333</v>
      </c>
      <c r="AB100" s="15" t="n">
        <v>0</v>
      </c>
      <c r="AC100" s="22" t="n">
        <f aca="false">AB100*(1+$L$3)</f>
        <v>0</v>
      </c>
      <c r="AD100" s="20"/>
      <c r="AE100" s="23" t="n">
        <f aca="false">AC100-AD100</f>
        <v>0</v>
      </c>
      <c r="AF100" s="21" t="str">
        <f aca="false">IFERROR(AD100/AC100,"")</f>
        <v/>
      </c>
    </row>
    <row r="101" customFormat="false" ht="15" hidden="false" customHeight="true" outlineLevel="0" collapsed="false">
      <c r="A101" s="14" t="n">
        <v>650792</v>
      </c>
      <c r="B101" s="14" t="n">
        <v>492042</v>
      </c>
      <c r="C101" s="14" t="s">
        <v>856</v>
      </c>
      <c r="D101" s="14" t="s">
        <v>857</v>
      </c>
      <c r="E101" s="14" t="s">
        <v>858</v>
      </c>
      <c r="F101" s="14" t="s">
        <v>859</v>
      </c>
      <c r="G101" s="14" t="s">
        <v>860</v>
      </c>
      <c r="H101" s="14" t="s">
        <v>861</v>
      </c>
      <c r="I101" s="14"/>
      <c r="J101" s="14" t="s">
        <v>862</v>
      </c>
      <c r="K101" s="14" t="s">
        <v>48</v>
      </c>
      <c r="L101" s="14" t="s">
        <v>863</v>
      </c>
      <c r="M101" s="14" t="s">
        <v>864</v>
      </c>
      <c r="N101" s="14" t="s">
        <v>70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2" t="n">
        <f aca="false">AB101*(1+$L$3)</f>
        <v>0</v>
      </c>
      <c r="AD101" s="20"/>
      <c r="AE101" s="23" t="n">
        <f aca="false">AC101-AD101</f>
        <v>0</v>
      </c>
      <c r="AF101" s="21" t="str">
        <f aca="false">IFERROR(AD101/AC101,"")</f>
        <v/>
      </c>
    </row>
    <row r="102" customFormat="false" ht="15" hidden="false" customHeight="true" outlineLevel="0" collapsed="false">
      <c r="A102" s="14" t="n">
        <v>634148</v>
      </c>
      <c r="B102" s="14" t="n">
        <v>480639</v>
      </c>
      <c r="C102" s="14" t="s">
        <v>865</v>
      </c>
      <c r="D102" s="14" t="s">
        <v>866</v>
      </c>
      <c r="E102" s="14" t="s">
        <v>867</v>
      </c>
      <c r="F102" s="14" t="s">
        <v>868</v>
      </c>
      <c r="G102" s="14" t="s">
        <v>869</v>
      </c>
      <c r="H102" s="14" t="s">
        <v>870</v>
      </c>
      <c r="I102" s="14"/>
      <c r="J102" s="14" t="s">
        <v>871</v>
      </c>
      <c r="K102" s="14" t="s">
        <v>307</v>
      </c>
      <c r="L102" s="14" t="s">
        <v>872</v>
      </c>
      <c r="M102" s="14" t="s">
        <v>873</v>
      </c>
      <c r="N102" s="14" t="s">
        <v>70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2" t="n">
        <f aca="false">AB102*(1+$L$3)</f>
        <v>0</v>
      </c>
      <c r="AD102" s="20"/>
      <c r="AE102" s="23" t="n">
        <f aca="false">AC102-AD102</f>
        <v>0</v>
      </c>
      <c r="AF102" s="21" t="str">
        <f aca="false">IFERROR(AD102/AC102,"")</f>
        <v/>
      </c>
    </row>
    <row r="103" customFormat="false" ht="15" hidden="false" customHeight="true" outlineLevel="0" collapsed="false">
      <c r="A103" s="14" t="n">
        <v>625110</v>
      </c>
      <c r="B103" s="14" t="n">
        <v>474120</v>
      </c>
      <c r="C103" s="14" t="s">
        <v>874</v>
      </c>
      <c r="D103" s="14" t="s">
        <v>875</v>
      </c>
      <c r="E103" s="14" t="s">
        <v>876</v>
      </c>
      <c r="F103" s="14" t="s">
        <v>877</v>
      </c>
      <c r="G103" s="14" t="s">
        <v>878</v>
      </c>
      <c r="H103" s="14" t="s">
        <v>879</v>
      </c>
      <c r="I103" s="14"/>
      <c r="J103" s="14" t="s">
        <v>880</v>
      </c>
      <c r="K103" s="14" t="s">
        <v>604</v>
      </c>
      <c r="L103" s="14" t="s">
        <v>881</v>
      </c>
      <c r="M103" s="14" t="s">
        <v>882</v>
      </c>
      <c r="N103" s="14" t="s">
        <v>70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2" t="n">
        <f aca="false">AB103*(1+$L$3)</f>
        <v>0</v>
      </c>
      <c r="AD103" s="20"/>
      <c r="AE103" s="23" t="n">
        <f aca="false">AC103-AD103</f>
        <v>0</v>
      </c>
      <c r="AF103" s="21" t="str">
        <f aca="false">IFERROR(AD103/AC103,"")</f>
        <v/>
      </c>
    </row>
    <row r="104" customFormat="false" ht="15" hidden="false" customHeight="true" outlineLevel="0" collapsed="false">
      <c r="A104" s="14" t="n">
        <v>452379</v>
      </c>
      <c r="B104" s="14" t="n">
        <v>307460</v>
      </c>
      <c r="C104" s="14" t="s">
        <v>883</v>
      </c>
      <c r="D104" s="14" t="s">
        <v>884</v>
      </c>
      <c r="E104" s="14" t="s">
        <v>885</v>
      </c>
      <c r="F104" s="14" t="s">
        <v>886</v>
      </c>
      <c r="G104" s="14" t="s">
        <v>887</v>
      </c>
      <c r="H104" s="14" t="s">
        <v>888</v>
      </c>
      <c r="I104" s="14"/>
      <c r="J104" s="14" t="s">
        <v>889</v>
      </c>
      <c r="K104" s="14" t="s">
        <v>557</v>
      </c>
      <c r="L104" s="14" t="s">
        <v>890</v>
      </c>
      <c r="M104" s="14" t="s">
        <v>891</v>
      </c>
      <c r="N104" s="14" t="s">
        <v>70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 t="n">
        <v>1</v>
      </c>
      <c r="Z104" s="15" t="n">
        <f aca="false">IF(X104=0,"",X104-Y104)</f>
        <v>4</v>
      </c>
      <c r="AA104" s="21" t="n">
        <f aca="false">IFERROR(Y104/X104,"")</f>
        <v>0.2</v>
      </c>
      <c r="AB104" s="15" t="n">
        <v>0</v>
      </c>
      <c r="AC104" s="22" t="n">
        <f aca="false">AB104*(1+$L$3)</f>
        <v>0</v>
      </c>
      <c r="AD104" s="20"/>
      <c r="AE104" s="23" t="n">
        <f aca="false">AC104-AD104</f>
        <v>0</v>
      </c>
      <c r="AF104" s="21" t="str">
        <f aca="false">IFERROR(AD104/AC104,"")</f>
        <v/>
      </c>
    </row>
    <row r="105" customFormat="false" ht="15" hidden="false" customHeight="true" outlineLevel="0" collapsed="false">
      <c r="A105" s="14" t="n">
        <v>610566</v>
      </c>
      <c r="B105" s="14" t="n">
        <v>460063</v>
      </c>
      <c r="C105" s="14" t="s">
        <v>892</v>
      </c>
      <c r="D105" s="14" t="s">
        <v>893</v>
      </c>
      <c r="E105" s="14" t="s">
        <v>894</v>
      </c>
      <c r="F105" s="14" t="s">
        <v>895</v>
      </c>
      <c r="G105" s="14" t="s">
        <v>896</v>
      </c>
      <c r="H105" s="14" t="s">
        <v>897</v>
      </c>
      <c r="I105" s="14" t="s">
        <v>898</v>
      </c>
      <c r="J105" s="14" t="s">
        <v>899</v>
      </c>
      <c r="K105" s="14" t="s">
        <v>67</v>
      </c>
      <c r="L105" s="14" t="s">
        <v>900</v>
      </c>
      <c r="M105" s="14" t="s">
        <v>901</v>
      </c>
      <c r="N105" s="14" t="s">
        <v>70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4</v>
      </c>
      <c r="Z105" s="15" t="n">
        <f aca="false">IF(X105=0,"",X105-Y105)</f>
        <v>1</v>
      </c>
      <c r="AA105" s="21" t="n">
        <f aca="false">IFERROR(Y105/X105,"")</f>
        <v>0.8</v>
      </c>
      <c r="AB105" s="15" t="n">
        <v>5</v>
      </c>
      <c r="AC105" s="22" t="n">
        <f aca="false">AB105*(1+$L$3)</f>
        <v>5.6</v>
      </c>
      <c r="AD105" s="20"/>
      <c r="AE105" s="23" t="n">
        <f aca="false">AC105-AD105</f>
        <v>5.6</v>
      </c>
      <c r="AF105" s="21" t="n">
        <f aca="false">IFERROR(AD105/AC105,"")</f>
        <v>0</v>
      </c>
    </row>
    <row r="106" customFormat="false" ht="15" hidden="false" customHeight="true" outlineLevel="0" collapsed="false">
      <c r="A106" s="14" t="n">
        <v>650795</v>
      </c>
      <c r="B106" s="14" t="n">
        <v>492045</v>
      </c>
      <c r="C106" s="14" t="s">
        <v>902</v>
      </c>
      <c r="D106" s="14" t="s">
        <v>903</v>
      </c>
      <c r="E106" s="14" t="s">
        <v>904</v>
      </c>
      <c r="F106" s="14" t="s">
        <v>905</v>
      </c>
      <c r="G106" s="14" t="s">
        <v>906</v>
      </c>
      <c r="H106" s="14" t="s">
        <v>907</v>
      </c>
      <c r="I106" s="14"/>
      <c r="J106" s="14" t="s">
        <v>222</v>
      </c>
      <c r="K106" s="14" t="s">
        <v>48</v>
      </c>
      <c r="L106" s="14" t="s">
        <v>223</v>
      </c>
      <c r="M106" s="14" t="s">
        <v>908</v>
      </c>
      <c r="N106" s="14" t="s">
        <v>51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3</v>
      </c>
      <c r="Z106" s="15" t="n">
        <f aca="false">IF(X106=0,"",X106-Y106)</f>
        <v>2</v>
      </c>
      <c r="AA106" s="21" t="n">
        <f aca="false">IFERROR(Y106/X106,"")</f>
        <v>0.6</v>
      </c>
      <c r="AB106" s="15" t="n">
        <v>0</v>
      </c>
      <c r="AC106" s="22" t="n">
        <f aca="false">AB106*(1+$L$3)</f>
        <v>0</v>
      </c>
      <c r="AD106" s="20"/>
      <c r="AE106" s="23" t="n">
        <f aca="false">AC106-AD106</f>
        <v>0</v>
      </c>
      <c r="AF106" s="21" t="str">
        <f aca="false">IFERROR(AD106/AC106,"")</f>
        <v/>
      </c>
    </row>
    <row r="107" customFormat="false" ht="15" hidden="false" customHeight="true" outlineLevel="0" collapsed="false">
      <c r="A107" s="14" t="n">
        <v>660946</v>
      </c>
      <c r="B107" s="14" t="n">
        <v>501960</v>
      </c>
      <c r="C107" s="14" t="s">
        <v>909</v>
      </c>
      <c r="D107" s="14" t="s">
        <v>910</v>
      </c>
      <c r="E107" s="14" t="s">
        <v>911</v>
      </c>
      <c r="F107" s="14" t="s">
        <v>912</v>
      </c>
      <c r="G107" s="14" t="s">
        <v>913</v>
      </c>
      <c r="H107" s="14" t="s">
        <v>914</v>
      </c>
      <c r="I107" s="14"/>
      <c r="J107" s="14" t="s">
        <v>306</v>
      </c>
      <c r="K107" s="14" t="s">
        <v>307</v>
      </c>
      <c r="L107" s="14" t="s">
        <v>915</v>
      </c>
      <c r="M107" s="14" t="s">
        <v>916</v>
      </c>
      <c r="N107" s="14" t="s">
        <v>70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1</v>
      </c>
      <c r="Z107" s="15" t="n">
        <f aca="false">IF(X107=0,"",X107-Y107)</f>
        <v>4</v>
      </c>
      <c r="AA107" s="21" t="n">
        <f aca="false">IFERROR(Y107/X107,"")</f>
        <v>0.2</v>
      </c>
      <c r="AB107" s="15" t="n">
        <v>0</v>
      </c>
      <c r="AC107" s="22" t="n">
        <f aca="false">AB107*(1+$L$3)</f>
        <v>0</v>
      </c>
      <c r="AD107" s="20"/>
      <c r="AE107" s="23" t="n">
        <f aca="false">AC107-AD107</f>
        <v>0</v>
      </c>
      <c r="AF107" s="21" t="str">
        <f aca="false">IFERROR(AD107/AC107,"")</f>
        <v/>
      </c>
    </row>
    <row r="108" customFormat="false" ht="15" hidden="false" customHeight="true" outlineLevel="0" collapsed="false">
      <c r="A108" s="14" t="n">
        <v>658832</v>
      </c>
      <c r="B108" s="14" t="n">
        <v>499823</v>
      </c>
      <c r="C108" s="14" t="s">
        <v>917</v>
      </c>
      <c r="D108" s="14" t="s">
        <v>918</v>
      </c>
      <c r="E108" s="14" t="s">
        <v>919</v>
      </c>
      <c r="F108" s="14" t="s">
        <v>920</v>
      </c>
      <c r="G108" s="14" t="s">
        <v>921</v>
      </c>
      <c r="H108" s="14" t="s">
        <v>922</v>
      </c>
      <c r="I108" s="14"/>
      <c r="J108" s="14" t="s">
        <v>638</v>
      </c>
      <c r="K108" s="14" t="s">
        <v>67</v>
      </c>
      <c r="L108" s="14" t="s">
        <v>923</v>
      </c>
      <c r="M108" s="14" t="s">
        <v>924</v>
      </c>
      <c r="N108" s="14" t="s">
        <v>70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2" t="n">
        <f aca="false">AB108*(1+$L$3)</f>
        <v>0</v>
      </c>
      <c r="AD108" s="20"/>
      <c r="AE108" s="23" t="n">
        <f aca="false">AC108-AD108</f>
        <v>0</v>
      </c>
      <c r="AF108" s="21" t="str">
        <f aca="false">IFERROR(AD108/AC108,"")</f>
        <v/>
      </c>
    </row>
    <row r="109" customFormat="false" ht="15" hidden="false" customHeight="true" outlineLevel="0" collapsed="false">
      <c r="A109" s="14" t="n">
        <v>632447</v>
      </c>
      <c r="B109" s="14" t="n">
        <v>478968</v>
      </c>
      <c r="C109" s="14" t="s">
        <v>925</v>
      </c>
      <c r="D109" s="14" t="s">
        <v>926</v>
      </c>
      <c r="E109" s="14" t="s">
        <v>927</v>
      </c>
      <c r="F109" s="14" t="s">
        <v>928</v>
      </c>
      <c r="G109" s="14" t="s">
        <v>929</v>
      </c>
      <c r="H109" s="14" t="s">
        <v>930</v>
      </c>
      <c r="I109" s="14"/>
      <c r="J109" s="14" t="s">
        <v>931</v>
      </c>
      <c r="K109" s="14" t="s">
        <v>932</v>
      </c>
      <c r="L109" s="14" t="s">
        <v>933</v>
      </c>
      <c r="M109" s="14" t="s">
        <v>934</v>
      </c>
      <c r="N109" s="14" t="s">
        <v>70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4</v>
      </c>
      <c r="Z109" s="15" t="n">
        <f aca="false">IF(X109=0,"",X109-Y109)</f>
        <v>1</v>
      </c>
      <c r="AA109" s="21" t="n">
        <f aca="false">IFERROR(Y109/X109,"")</f>
        <v>0.8</v>
      </c>
      <c r="AB109" s="15" t="n">
        <v>0</v>
      </c>
      <c r="AC109" s="22" t="n">
        <f aca="false">AB109*(1+$L$3)</f>
        <v>0</v>
      </c>
      <c r="AD109" s="20"/>
      <c r="AE109" s="23" t="n">
        <f aca="false">AC109-AD109</f>
        <v>0</v>
      </c>
      <c r="AF109" s="21" t="str">
        <f aca="false">IFERROR(AD109/AC109,"")</f>
        <v/>
      </c>
    </row>
    <row r="110" customFormat="false" ht="15" hidden="false" customHeight="true" outlineLevel="0" collapsed="false">
      <c r="A110" s="14" t="n">
        <v>627273</v>
      </c>
      <c r="B110" s="14" t="n">
        <v>475649</v>
      </c>
      <c r="C110" s="14" t="s">
        <v>935</v>
      </c>
      <c r="D110" s="14" t="s">
        <v>608</v>
      </c>
      <c r="E110" s="14" t="s">
        <v>936</v>
      </c>
      <c r="F110" s="14" t="s">
        <v>610</v>
      </c>
      <c r="G110" s="14" t="s">
        <v>611</v>
      </c>
      <c r="H110" s="14" t="s">
        <v>937</v>
      </c>
      <c r="I110" s="14" t="s">
        <v>938</v>
      </c>
      <c r="J110" s="14" t="s">
        <v>679</v>
      </c>
      <c r="K110" s="14" t="s">
        <v>307</v>
      </c>
      <c r="L110" s="14" t="s">
        <v>939</v>
      </c>
      <c r="M110" s="14" t="s">
        <v>615</v>
      </c>
      <c r="N110" s="14" t="s">
        <v>70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2</v>
      </c>
      <c r="Z110" s="15" t="n">
        <f aca="false">IF(X110=0,"",X110-Y110)</f>
        <v>3</v>
      </c>
      <c r="AA110" s="21" t="n">
        <f aca="false">IFERROR(Y110/X110,"")</f>
        <v>0.4</v>
      </c>
      <c r="AB110" s="15" t="n">
        <v>0</v>
      </c>
      <c r="AC110" s="22" t="n">
        <f aca="false">AB110*(1+$L$3)</f>
        <v>0</v>
      </c>
      <c r="AD110" s="20"/>
      <c r="AE110" s="23" t="n">
        <f aca="false">AC110-AD110</f>
        <v>0</v>
      </c>
      <c r="AF110" s="21" t="str">
        <f aca="false">IFERROR(AD110/AC110,"")</f>
        <v/>
      </c>
    </row>
    <row r="111" customFormat="false" ht="15" hidden="false" customHeight="true" outlineLevel="0" collapsed="false">
      <c r="A111" s="14" t="n">
        <v>660470</v>
      </c>
      <c r="B111" s="14" t="n">
        <v>501479</v>
      </c>
      <c r="C111" s="14" t="s">
        <v>940</v>
      </c>
      <c r="D111" s="14" t="s">
        <v>941</v>
      </c>
      <c r="E111" s="14" t="s">
        <v>942</v>
      </c>
      <c r="F111" s="14" t="s">
        <v>943</v>
      </c>
      <c r="G111" s="14" t="s">
        <v>944</v>
      </c>
      <c r="H111" s="14" t="s">
        <v>945</v>
      </c>
      <c r="I111" s="14"/>
      <c r="J111" s="14" t="s">
        <v>946</v>
      </c>
      <c r="K111" s="14" t="s">
        <v>67</v>
      </c>
      <c r="L111" s="14" t="s">
        <v>947</v>
      </c>
      <c r="M111" s="14" t="s">
        <v>948</v>
      </c>
      <c r="N111" s="14" t="s">
        <v>70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2" t="n">
        <f aca="false">AB111*(1+$L$3)</f>
        <v>0</v>
      </c>
      <c r="AD111" s="20"/>
      <c r="AE111" s="23" t="n">
        <f aca="false">AC111-AD111</f>
        <v>0</v>
      </c>
      <c r="AF111" s="21" t="str">
        <f aca="false">IFERROR(AD111/AC111,"")</f>
        <v/>
      </c>
    </row>
    <row r="112" customFormat="false" ht="15" hidden="false" customHeight="true" outlineLevel="0" collapsed="false">
      <c r="A112" s="14" t="n">
        <v>652650</v>
      </c>
      <c r="B112" s="14" t="n">
        <v>493809</v>
      </c>
      <c r="C112" s="14" t="s">
        <v>949</v>
      </c>
      <c r="D112" s="14" t="s">
        <v>950</v>
      </c>
      <c r="E112" s="14" t="s">
        <v>951</v>
      </c>
      <c r="F112" s="14" t="s">
        <v>952</v>
      </c>
      <c r="G112" s="14" t="s">
        <v>953</v>
      </c>
      <c r="H112" s="14" t="s">
        <v>954</v>
      </c>
      <c r="I112" s="14" t="s">
        <v>955</v>
      </c>
      <c r="J112" s="14" t="s">
        <v>66</v>
      </c>
      <c r="K112" s="14" t="s">
        <v>67</v>
      </c>
      <c r="L112" s="14" t="s">
        <v>105</v>
      </c>
      <c r="M112" s="14" t="s">
        <v>956</v>
      </c>
      <c r="N112" s="14" t="s">
        <v>70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2</v>
      </c>
      <c r="Z112" s="15" t="n">
        <f aca="false">IF(X112=0,"",X112-Y112)</f>
        <v>3</v>
      </c>
      <c r="AA112" s="21" t="n">
        <f aca="false">IFERROR(Y112/X112,"")</f>
        <v>0.4</v>
      </c>
      <c r="AB112" s="15" t="n">
        <v>0</v>
      </c>
      <c r="AC112" s="22" t="n">
        <f aca="false">AB112*(1+$L$3)</f>
        <v>0</v>
      </c>
      <c r="AD112" s="20"/>
      <c r="AE112" s="23" t="n">
        <f aca="false">AC112-AD112</f>
        <v>0</v>
      </c>
      <c r="AF112" s="21" t="str">
        <f aca="false">IFERROR(AD112/AC112,"")</f>
        <v/>
      </c>
    </row>
    <row r="113" customFormat="false" ht="15" hidden="false" customHeight="true" outlineLevel="0" collapsed="false">
      <c r="A113" s="14" t="n">
        <v>661264</v>
      </c>
      <c r="B113" s="14" t="n">
        <v>502286</v>
      </c>
      <c r="C113" s="14" t="s">
        <v>957</v>
      </c>
      <c r="D113" s="14" t="s">
        <v>958</v>
      </c>
      <c r="E113" s="14" t="s">
        <v>959</v>
      </c>
      <c r="F113" s="14"/>
      <c r="G113" s="14" t="s">
        <v>960</v>
      </c>
      <c r="H113" s="14" t="s">
        <v>961</v>
      </c>
      <c r="I113" s="14"/>
      <c r="J113" s="14" t="s">
        <v>962</v>
      </c>
      <c r="K113" s="14" t="s">
        <v>48</v>
      </c>
      <c r="L113" s="14" t="s">
        <v>963</v>
      </c>
      <c r="M113" s="14" t="s">
        <v>964</v>
      </c>
      <c r="N113" s="14" t="s">
        <v>70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8</v>
      </c>
      <c r="Z113" s="15" t="n">
        <f aca="false">IF(X113=0,"",X113-Y113)</f>
        <v>-3</v>
      </c>
      <c r="AA113" s="21" t="n">
        <f aca="false">IFERROR(Y113/X113,"")</f>
        <v>1.6</v>
      </c>
      <c r="AB113" s="15" t="n">
        <v>0</v>
      </c>
      <c r="AC113" s="22" t="n">
        <f aca="false">AB113*(1+$L$3)</f>
        <v>0</v>
      </c>
      <c r="AD113" s="20"/>
      <c r="AE113" s="23" t="n">
        <f aca="false">AC113-AD113</f>
        <v>0</v>
      </c>
      <c r="AF113" s="21" t="str">
        <f aca="false">IFERROR(AD113/AC113,"")</f>
        <v/>
      </c>
    </row>
    <row r="114" customFormat="false" ht="15" hidden="false" customHeight="true" outlineLevel="0" collapsed="false">
      <c r="A114" s="14" t="n">
        <v>658695</v>
      </c>
      <c r="B114" s="14" t="n">
        <v>499688</v>
      </c>
      <c r="C114" s="14" t="s">
        <v>965</v>
      </c>
      <c r="D114" s="14" t="s">
        <v>966</v>
      </c>
      <c r="E114" s="14" t="s">
        <v>967</v>
      </c>
      <c r="F114" s="14" t="s">
        <v>968</v>
      </c>
      <c r="G114" s="14" t="s">
        <v>969</v>
      </c>
      <c r="H114" s="14" t="s">
        <v>970</v>
      </c>
      <c r="I114" s="14"/>
      <c r="J114" s="14" t="s">
        <v>971</v>
      </c>
      <c r="K114" s="14" t="s">
        <v>506</v>
      </c>
      <c r="L114" s="14" t="s">
        <v>972</v>
      </c>
      <c r="M114" s="14" t="s">
        <v>973</v>
      </c>
      <c r="N114" s="14" t="s">
        <v>70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 t="n">
        <v>2</v>
      </c>
      <c r="Z114" s="15" t="n">
        <f aca="false">IF(X114=0,"",X114-Y114)</f>
        <v>3</v>
      </c>
      <c r="AA114" s="21" t="n">
        <f aca="false">IFERROR(Y114/X114,"")</f>
        <v>0.4</v>
      </c>
      <c r="AB114" s="15" t="n">
        <v>0</v>
      </c>
      <c r="AC114" s="22" t="n">
        <f aca="false">AB114*(1+$L$3)</f>
        <v>0</v>
      </c>
      <c r="AD114" s="20"/>
      <c r="AE114" s="23" t="n">
        <f aca="false">AC114-AD114</f>
        <v>0</v>
      </c>
      <c r="AF114" s="21" t="str">
        <f aca="false">IFERROR(AD114/AC114,"")</f>
        <v/>
      </c>
    </row>
    <row r="115" customFormat="false" ht="15" hidden="false" customHeight="true" outlineLevel="0" collapsed="false">
      <c r="A115" s="14" t="n">
        <v>655804</v>
      </c>
      <c r="B115" s="14" t="n">
        <v>496932</v>
      </c>
      <c r="C115" s="14" t="s">
        <v>974</v>
      </c>
      <c r="D115" s="14" t="s">
        <v>975</v>
      </c>
      <c r="E115" s="14" t="s">
        <v>976</v>
      </c>
      <c r="F115" s="14" t="s">
        <v>977</v>
      </c>
      <c r="G115" s="14" t="s">
        <v>978</v>
      </c>
      <c r="H115" s="14" t="s">
        <v>979</v>
      </c>
      <c r="I115" s="14"/>
      <c r="J115" s="14" t="s">
        <v>980</v>
      </c>
      <c r="K115" s="14" t="s">
        <v>981</v>
      </c>
      <c r="L115" s="14" t="s">
        <v>982</v>
      </c>
      <c r="M115" s="14" t="s">
        <v>983</v>
      </c>
      <c r="N115" s="14" t="s">
        <v>70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2</v>
      </c>
      <c r="Z115" s="15" t="n">
        <f aca="false">IF(X115=0,"",X115-Y115)</f>
        <v>3</v>
      </c>
      <c r="AA115" s="21" t="n">
        <f aca="false">IFERROR(Y115/X115,"")</f>
        <v>0.4</v>
      </c>
      <c r="AB115" s="15" t="n">
        <v>0</v>
      </c>
      <c r="AC115" s="22" t="n">
        <f aca="false">AB115*(1+$L$3)</f>
        <v>0</v>
      </c>
      <c r="AD115" s="20"/>
      <c r="AE115" s="23" t="n">
        <f aca="false">AC115-AD115</f>
        <v>0</v>
      </c>
      <c r="AF115" s="21" t="str">
        <f aca="false">IFERROR(AD115/AC115,"")</f>
        <v/>
      </c>
    </row>
    <row r="116" customFormat="false" ht="15" hidden="false" customHeight="true" outlineLevel="0" collapsed="false">
      <c r="A116" s="14" t="n">
        <v>655425</v>
      </c>
      <c r="B116" s="14" t="n">
        <v>496574</v>
      </c>
      <c r="C116" s="14" t="s">
        <v>984</v>
      </c>
      <c r="D116" s="14" t="s">
        <v>985</v>
      </c>
      <c r="E116" s="14" t="s">
        <v>986</v>
      </c>
      <c r="F116" s="14" t="s">
        <v>987</v>
      </c>
      <c r="G116" s="14" t="s">
        <v>988</v>
      </c>
      <c r="H116" s="14" t="s">
        <v>989</v>
      </c>
      <c r="I116" s="14"/>
      <c r="J116" s="14" t="s">
        <v>708</v>
      </c>
      <c r="K116" s="14" t="s">
        <v>709</v>
      </c>
      <c r="L116" s="14" t="s">
        <v>990</v>
      </c>
      <c r="M116" s="14" t="s">
        <v>991</v>
      </c>
      <c r="N116" s="14" t="s">
        <v>70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2" t="n">
        <f aca="false">AB116*(1+$L$3)</f>
        <v>0</v>
      </c>
      <c r="AD116" s="20"/>
      <c r="AE116" s="23" t="n">
        <f aca="false">AC116-AD116</f>
        <v>0</v>
      </c>
      <c r="AF116" s="21" t="str">
        <f aca="false">IFERROR(AD116/AC116,"")</f>
        <v/>
      </c>
    </row>
    <row r="117" customFormat="false" ht="15" hidden="false" customHeight="true" outlineLevel="0" collapsed="false">
      <c r="A117" s="14" t="n">
        <v>660805</v>
      </c>
      <c r="B117" s="14" t="n">
        <v>501820</v>
      </c>
      <c r="C117" s="14" t="s">
        <v>992</v>
      </c>
      <c r="D117" s="14" t="s">
        <v>993</v>
      </c>
      <c r="E117" s="14" t="s">
        <v>994</v>
      </c>
      <c r="F117" s="14" t="s">
        <v>995</v>
      </c>
      <c r="G117" s="14" t="s">
        <v>996</v>
      </c>
      <c r="H117" s="14" t="s">
        <v>997</v>
      </c>
      <c r="I117" s="14"/>
      <c r="J117" s="14" t="s">
        <v>998</v>
      </c>
      <c r="K117" s="14" t="s">
        <v>999</v>
      </c>
      <c r="L117" s="14" t="s">
        <v>1000</v>
      </c>
      <c r="M117" s="14" t="s">
        <v>1001</v>
      </c>
      <c r="N117" s="14" t="s">
        <v>70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3</v>
      </c>
      <c r="Z117" s="15" t="n">
        <f aca="false">IF(X117=0,"",X117-Y117)</f>
        <v>2</v>
      </c>
      <c r="AA117" s="21" t="n">
        <f aca="false">IFERROR(Y117/X117,"")</f>
        <v>0.6</v>
      </c>
      <c r="AB117" s="15" t="n">
        <v>0</v>
      </c>
      <c r="AC117" s="22" t="n">
        <f aca="false">AB117*(1+$L$3)</f>
        <v>0</v>
      </c>
      <c r="AD117" s="20"/>
      <c r="AE117" s="23" t="n">
        <f aca="false">AC117-AD117</f>
        <v>0</v>
      </c>
      <c r="AF117" s="21" t="str">
        <f aca="false">IFERROR(AD117/AC117,"")</f>
        <v/>
      </c>
    </row>
    <row r="118" customFormat="false" ht="15" hidden="false" customHeight="true" outlineLevel="0" collapsed="false">
      <c r="A118" s="14" t="n">
        <v>660282</v>
      </c>
      <c r="B118" s="14" t="n">
        <v>501290</v>
      </c>
      <c r="C118" s="14" t="s">
        <v>1002</v>
      </c>
      <c r="D118" s="14" t="s">
        <v>1003</v>
      </c>
      <c r="E118" s="14" t="s">
        <v>1004</v>
      </c>
      <c r="F118" s="14" t="s">
        <v>1005</v>
      </c>
      <c r="G118" s="14" t="s">
        <v>1006</v>
      </c>
      <c r="H118" s="14" t="s">
        <v>1007</v>
      </c>
      <c r="I118" s="14" t="s">
        <v>1008</v>
      </c>
      <c r="J118" s="14" t="s">
        <v>1009</v>
      </c>
      <c r="K118" s="14" t="s">
        <v>307</v>
      </c>
      <c r="L118" s="14" t="s">
        <v>1010</v>
      </c>
      <c r="M118" s="14" t="s">
        <v>1011</v>
      </c>
      <c r="N118" s="14" t="s">
        <v>70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2" t="n">
        <f aca="false">AB118*(1+$L$3)</f>
        <v>0</v>
      </c>
      <c r="AD118" s="20"/>
      <c r="AE118" s="23" t="n">
        <f aca="false">AC118-AD118</f>
        <v>0</v>
      </c>
      <c r="AF118" s="21" t="str">
        <f aca="false">IFERROR(AD118/AC118,"")</f>
        <v/>
      </c>
    </row>
    <row r="119" customFormat="false" ht="15" hidden="false" customHeight="true" outlineLevel="0" collapsed="false">
      <c r="A119" s="14" t="n">
        <v>659935</v>
      </c>
      <c r="B119" s="14" t="n">
        <v>500940</v>
      </c>
      <c r="C119" s="14" t="s">
        <v>1012</v>
      </c>
      <c r="D119" s="14" t="s">
        <v>1013</v>
      </c>
      <c r="E119" s="14" t="s">
        <v>1014</v>
      </c>
      <c r="F119" s="14" t="s">
        <v>1015</v>
      </c>
      <c r="G119" s="14" t="s">
        <v>1016</v>
      </c>
      <c r="H119" s="14" t="s">
        <v>1017</v>
      </c>
      <c r="I119" s="14"/>
      <c r="J119" s="14" t="s">
        <v>77</v>
      </c>
      <c r="K119" s="14" t="s">
        <v>48</v>
      </c>
      <c r="L119" s="14" t="s">
        <v>86</v>
      </c>
      <c r="M119" s="14" t="s">
        <v>1018</v>
      </c>
      <c r="N119" s="14" t="s">
        <v>51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/>
      <c r="Z119" s="15" t="n">
        <f aca="false">IF(X119=0,"",X119-Y119)</f>
        <v>5</v>
      </c>
      <c r="AA119" s="21" t="n">
        <f aca="false">IFERROR(Y119/X119,"")</f>
        <v>0</v>
      </c>
      <c r="AB119" s="15" t="n">
        <v>0</v>
      </c>
      <c r="AC119" s="22" t="n">
        <f aca="false">AB119*(1+$L$3)</f>
        <v>0</v>
      </c>
      <c r="AD119" s="20"/>
      <c r="AE119" s="23" t="n">
        <f aca="false">AC119-AD119</f>
        <v>0</v>
      </c>
      <c r="AF119" s="21" t="str">
        <f aca="false">IFERROR(AD119/AC119,"")</f>
        <v/>
      </c>
    </row>
    <row r="120" customFormat="false" ht="15" hidden="false" customHeight="true" outlineLevel="0" collapsed="false">
      <c r="A120" s="14" t="n">
        <v>651330</v>
      </c>
      <c r="B120" s="14" t="n">
        <v>492588</v>
      </c>
      <c r="C120" s="14" t="s">
        <v>1019</v>
      </c>
      <c r="D120" s="14" t="s">
        <v>1020</v>
      </c>
      <c r="E120" s="14" t="s">
        <v>1021</v>
      </c>
      <c r="F120" s="14" t="s">
        <v>1022</v>
      </c>
      <c r="G120" s="14" t="s">
        <v>1023</v>
      </c>
      <c r="H120" s="14" t="s">
        <v>1024</v>
      </c>
      <c r="I120" s="14" t="s">
        <v>663</v>
      </c>
      <c r="J120" s="14" t="s">
        <v>1025</v>
      </c>
      <c r="K120" s="14" t="s">
        <v>1026</v>
      </c>
      <c r="L120" s="14" t="s">
        <v>1027</v>
      </c>
      <c r="M120" s="14" t="s">
        <v>1028</v>
      </c>
      <c r="N120" s="14" t="s">
        <v>70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2" t="n">
        <f aca="false">AB120*(1+$L$3)</f>
        <v>0</v>
      </c>
      <c r="AD120" s="20"/>
      <c r="AE120" s="23" t="n">
        <f aca="false">AC120-AD120</f>
        <v>0</v>
      </c>
      <c r="AF120" s="21" t="str">
        <f aca="false">IFERROR(AD120/AC120,"")</f>
        <v/>
      </c>
    </row>
    <row r="121" customFormat="false" ht="15" hidden="false" customHeight="true" outlineLevel="0" collapsed="false">
      <c r="A121" s="14" t="n">
        <v>660365</v>
      </c>
      <c r="B121" s="14" t="n">
        <v>501374</v>
      </c>
      <c r="C121" s="14" t="s">
        <v>1029</v>
      </c>
      <c r="D121" s="14" t="s">
        <v>1030</v>
      </c>
      <c r="E121" s="14" t="s">
        <v>1030</v>
      </c>
      <c r="F121" s="14" t="s">
        <v>1031</v>
      </c>
      <c r="G121" s="14" t="s">
        <v>1032</v>
      </c>
      <c r="H121" s="14" t="s">
        <v>1033</v>
      </c>
      <c r="I121" s="14" t="s">
        <v>1034</v>
      </c>
      <c r="J121" s="14" t="s">
        <v>1035</v>
      </c>
      <c r="K121" s="14" t="s">
        <v>67</v>
      </c>
      <c r="L121" s="14" t="s">
        <v>1036</v>
      </c>
      <c r="M121" s="14" t="s">
        <v>1037</v>
      </c>
      <c r="N121" s="14" t="s">
        <v>70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2" t="n">
        <f aca="false">AB121*(1+$L$3)</f>
        <v>0</v>
      </c>
      <c r="AD121" s="20"/>
      <c r="AE121" s="23" t="n">
        <f aca="false">AC121-AD121</f>
        <v>0</v>
      </c>
      <c r="AF121" s="21" t="str">
        <f aca="false">IFERROR(AD121/AC121,"")</f>
        <v/>
      </c>
    </row>
    <row r="122" customFormat="false" ht="15" hidden="false" customHeight="true" outlineLevel="0" collapsed="false">
      <c r="A122" s="14" t="n">
        <v>658143</v>
      </c>
      <c r="B122" s="14" t="n">
        <v>499147</v>
      </c>
      <c r="C122" s="14" t="s">
        <v>1038</v>
      </c>
      <c r="D122" s="14" t="s">
        <v>1039</v>
      </c>
      <c r="E122" s="14" t="s">
        <v>1040</v>
      </c>
      <c r="F122" s="14" t="s">
        <v>1041</v>
      </c>
      <c r="G122" s="14" t="s">
        <v>1042</v>
      </c>
      <c r="H122" s="14" t="s">
        <v>1043</v>
      </c>
      <c r="I122" s="14"/>
      <c r="J122" s="14" t="s">
        <v>1044</v>
      </c>
      <c r="K122" s="14" t="s">
        <v>48</v>
      </c>
      <c r="L122" s="14" t="s">
        <v>1045</v>
      </c>
      <c r="M122" s="14" t="s">
        <v>1046</v>
      </c>
      <c r="N122" s="14" t="s">
        <v>70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 t="n">
        <v>1</v>
      </c>
      <c r="Z122" s="15" t="n">
        <f aca="false">IF(X122=0,"",X122-Y122)</f>
        <v>4</v>
      </c>
      <c r="AA122" s="21" t="n">
        <f aca="false">IFERROR(Y122/X122,"")</f>
        <v>0.2</v>
      </c>
      <c r="AB122" s="15" t="n">
        <v>0</v>
      </c>
      <c r="AC122" s="22" t="n">
        <f aca="false">AB122*(1+$L$3)</f>
        <v>0</v>
      </c>
      <c r="AD122" s="20"/>
      <c r="AE122" s="23" t="n">
        <f aca="false">AC122-AD122</f>
        <v>0</v>
      </c>
      <c r="AF122" s="21" t="str">
        <f aca="false">IFERROR(AD122/AC122,"")</f>
        <v/>
      </c>
    </row>
    <row r="123" customFormat="false" ht="15" hidden="false" customHeight="true" outlineLevel="0" collapsed="false">
      <c r="A123" s="14" t="n">
        <v>658339</v>
      </c>
      <c r="B123" s="14" t="n">
        <v>499352</v>
      </c>
      <c r="C123" s="14" t="s">
        <v>1047</v>
      </c>
      <c r="D123" s="14" t="s">
        <v>1048</v>
      </c>
      <c r="E123" s="14" t="s">
        <v>1049</v>
      </c>
      <c r="F123" s="14" t="s">
        <v>1050</v>
      </c>
      <c r="G123" s="14" t="s">
        <v>1051</v>
      </c>
      <c r="H123" s="14" t="s">
        <v>1052</v>
      </c>
      <c r="I123" s="14"/>
      <c r="J123" s="14" t="s">
        <v>1053</v>
      </c>
      <c r="K123" s="14" t="s">
        <v>335</v>
      </c>
      <c r="L123" s="14" t="s">
        <v>1054</v>
      </c>
      <c r="M123" s="14" t="s">
        <v>1055</v>
      </c>
      <c r="N123" s="14" t="s">
        <v>70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 t="n">
        <v>2</v>
      </c>
      <c r="Z123" s="15" t="n">
        <f aca="false">IF(X123=0,"",X123-Y123)</f>
        <v>3</v>
      </c>
      <c r="AA123" s="21" t="n">
        <f aca="false">IFERROR(Y123/X123,"")</f>
        <v>0.4</v>
      </c>
      <c r="AB123" s="15" t="n">
        <v>0</v>
      </c>
      <c r="AC123" s="22" t="n">
        <f aca="false">AB123*(1+$L$3)</f>
        <v>0</v>
      </c>
      <c r="AD123" s="20"/>
      <c r="AE123" s="23" t="n">
        <f aca="false">AC123-AD123</f>
        <v>0</v>
      </c>
      <c r="AF123" s="21" t="str">
        <f aca="false">IFERROR(AD123/AC123,"")</f>
        <v/>
      </c>
    </row>
    <row r="124" customFormat="false" ht="15" hidden="false" customHeight="true" outlineLevel="0" collapsed="false">
      <c r="A124" s="14" t="n">
        <v>657130</v>
      </c>
      <c r="B124" s="14" t="n">
        <v>498164</v>
      </c>
      <c r="C124" s="14" t="s">
        <v>1056</v>
      </c>
      <c r="D124" s="14" t="s">
        <v>1057</v>
      </c>
      <c r="E124" s="14" t="s">
        <v>1058</v>
      </c>
      <c r="F124" s="14" t="s">
        <v>1059</v>
      </c>
      <c r="G124" s="14" t="s">
        <v>1060</v>
      </c>
      <c r="H124" s="14" t="s">
        <v>1061</v>
      </c>
      <c r="I124" s="14" t="s">
        <v>1062</v>
      </c>
      <c r="J124" s="14" t="s">
        <v>1063</v>
      </c>
      <c r="K124" s="14" t="s">
        <v>307</v>
      </c>
      <c r="L124" s="14" t="s">
        <v>1064</v>
      </c>
      <c r="M124" s="14" t="s">
        <v>1065</v>
      </c>
      <c r="N124" s="14" t="s">
        <v>70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2" t="n">
        <f aca="false">AB124*(1+$L$3)</f>
        <v>0</v>
      </c>
      <c r="AD124" s="20"/>
      <c r="AE124" s="23" t="n">
        <f aca="false">AC124-AD124</f>
        <v>0</v>
      </c>
      <c r="AF124" s="21" t="str">
        <f aca="false">IFERROR(AD124/AC124,"")</f>
        <v/>
      </c>
    </row>
    <row r="125" customFormat="false" ht="15" hidden="false" customHeight="true" outlineLevel="0" collapsed="false">
      <c r="A125" s="14" t="n">
        <v>631950</v>
      </c>
      <c r="B125" s="14" t="n">
        <v>478490</v>
      </c>
      <c r="C125" s="14" t="s">
        <v>1066</v>
      </c>
      <c r="D125" s="14" t="s">
        <v>1067</v>
      </c>
      <c r="E125" s="14" t="s">
        <v>1068</v>
      </c>
      <c r="F125" s="14" t="s">
        <v>1069</v>
      </c>
      <c r="G125" s="14" t="s">
        <v>1070</v>
      </c>
      <c r="H125" s="14" t="s">
        <v>1071</v>
      </c>
      <c r="I125" s="14" t="s">
        <v>1072</v>
      </c>
      <c r="J125" s="14" t="s">
        <v>1073</v>
      </c>
      <c r="K125" s="14" t="s">
        <v>67</v>
      </c>
      <c r="L125" s="14" t="s">
        <v>900</v>
      </c>
      <c r="M125" s="14" t="s">
        <v>1074</v>
      </c>
      <c r="N125" s="14" t="s">
        <v>70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2" t="n">
        <f aca="false">AB125*(1+$L$3)</f>
        <v>0</v>
      </c>
      <c r="AD125" s="20"/>
      <c r="AE125" s="23" t="n">
        <f aca="false">AC125-AD125</f>
        <v>0</v>
      </c>
      <c r="AF125" s="21" t="str">
        <f aca="false">IFERROR(AD125/AC125,"")</f>
        <v/>
      </c>
    </row>
    <row r="126" customFormat="false" ht="15" hidden="false" customHeight="true" outlineLevel="0" collapsed="false">
      <c r="A126" s="14" t="n">
        <v>643115</v>
      </c>
      <c r="B126" s="14"/>
      <c r="C126" s="14" t="s">
        <v>1075</v>
      </c>
      <c r="D126" s="14" t="s">
        <v>1076</v>
      </c>
      <c r="E126" s="14" t="s">
        <v>1077</v>
      </c>
      <c r="F126" s="14" t="s">
        <v>1078</v>
      </c>
      <c r="G126" s="14" t="s">
        <v>1079</v>
      </c>
      <c r="H126" s="14" t="s">
        <v>1080</v>
      </c>
      <c r="I126" s="14" t="s">
        <v>258</v>
      </c>
      <c r="J126" s="14" t="s">
        <v>248</v>
      </c>
      <c r="K126" s="14" t="s">
        <v>249</v>
      </c>
      <c r="L126" s="14" t="s">
        <v>1081</v>
      </c>
      <c r="M126" s="14" t="s">
        <v>1082</v>
      </c>
      <c r="N126" s="14" t="s">
        <v>70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3</v>
      </c>
      <c r="Z126" s="15" t="n">
        <f aca="false">IF(X126=0,"",X126-Y126)</f>
        <v>2</v>
      </c>
      <c r="AA126" s="21" t="n">
        <f aca="false">IFERROR(Y126/X126,"")</f>
        <v>0.6</v>
      </c>
      <c r="AB126" s="15" t="n">
        <v>16</v>
      </c>
      <c r="AC126" s="22" t="n">
        <f aca="false">AB126*(1+$L$3)</f>
        <v>17.92</v>
      </c>
      <c r="AD126" s="20"/>
      <c r="AE126" s="23" t="n">
        <f aca="false">AC126-AD126</f>
        <v>17.92</v>
      </c>
      <c r="AF126" s="21" t="n">
        <f aca="false">IFERROR(AD126/AC126,"")</f>
        <v>0</v>
      </c>
    </row>
    <row r="127" customFormat="false" ht="15" hidden="false" customHeight="true" outlineLevel="0" collapsed="false">
      <c r="A127" s="14" t="n">
        <v>604907</v>
      </c>
      <c r="B127" s="14" t="n">
        <v>454722</v>
      </c>
      <c r="C127" s="14" t="s">
        <v>1083</v>
      </c>
      <c r="D127" s="14" t="s">
        <v>1084</v>
      </c>
      <c r="E127" s="14" t="s">
        <v>1085</v>
      </c>
      <c r="F127" s="14" t="s">
        <v>1086</v>
      </c>
      <c r="G127" s="14" t="s">
        <v>1087</v>
      </c>
      <c r="H127" s="14" t="s">
        <v>1088</v>
      </c>
      <c r="I127" s="14"/>
      <c r="J127" s="14" t="s">
        <v>638</v>
      </c>
      <c r="K127" s="14" t="s">
        <v>67</v>
      </c>
      <c r="L127" s="14" t="s">
        <v>1089</v>
      </c>
      <c r="M127" s="14" t="s">
        <v>1090</v>
      </c>
      <c r="N127" s="14" t="s">
        <v>70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 t="n">
        <v>1</v>
      </c>
      <c r="Z127" s="15" t="n">
        <f aca="false">IF(X127=0,"",X127-Y127)</f>
        <v>4</v>
      </c>
      <c r="AA127" s="21" t="n">
        <f aca="false">IFERROR(Y127/X127,"")</f>
        <v>0.2</v>
      </c>
      <c r="AB127" s="15" t="n">
        <v>0</v>
      </c>
      <c r="AC127" s="22" t="n">
        <f aca="false">AB127*(1+$L$3)</f>
        <v>0</v>
      </c>
      <c r="AD127" s="20"/>
      <c r="AE127" s="23" t="n">
        <f aca="false">AC127-AD127</f>
        <v>0</v>
      </c>
      <c r="AF127" s="21" t="str">
        <f aca="false">IFERROR(AD127/AC127,"")</f>
        <v/>
      </c>
    </row>
    <row r="128" customFormat="false" ht="15" hidden="false" customHeight="true" outlineLevel="0" collapsed="false">
      <c r="A128" s="14" t="n">
        <v>657802</v>
      </c>
      <c r="B128" s="14" t="n">
        <v>498810</v>
      </c>
      <c r="C128" s="14" t="s">
        <v>1091</v>
      </c>
      <c r="D128" s="14" t="s">
        <v>1092</v>
      </c>
      <c r="E128" s="14" t="s">
        <v>1093</v>
      </c>
      <c r="F128" s="14" t="s">
        <v>1094</v>
      </c>
      <c r="G128" s="14" t="s">
        <v>1095</v>
      </c>
      <c r="H128" s="14" t="s">
        <v>1096</v>
      </c>
      <c r="I128" s="14"/>
      <c r="J128" s="14" t="s">
        <v>1097</v>
      </c>
      <c r="K128" s="14" t="s">
        <v>67</v>
      </c>
      <c r="L128" s="14" t="s">
        <v>1098</v>
      </c>
      <c r="M128" s="14" t="s">
        <v>1099</v>
      </c>
      <c r="N128" s="14" t="s">
        <v>70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2" t="n">
        <f aca="false">AB128*(1+$L$3)</f>
        <v>0</v>
      </c>
      <c r="AD128" s="20"/>
      <c r="AE128" s="23" t="n">
        <f aca="false">AC128-AD128</f>
        <v>0</v>
      </c>
      <c r="AF128" s="21" t="str">
        <f aca="false">IFERROR(AD128/AC128,"")</f>
        <v/>
      </c>
    </row>
    <row r="129" customFormat="false" ht="15" hidden="false" customHeight="true" outlineLevel="0" collapsed="false">
      <c r="A129" s="14" t="n">
        <v>633535</v>
      </c>
      <c r="B129" s="14" t="n">
        <v>480037</v>
      </c>
      <c r="C129" s="14" t="s">
        <v>1100</v>
      </c>
      <c r="D129" s="14" t="s">
        <v>1101</v>
      </c>
      <c r="E129" s="14" t="s">
        <v>1102</v>
      </c>
      <c r="F129" s="14" t="s">
        <v>1103</v>
      </c>
      <c r="G129" s="14" t="s">
        <v>1104</v>
      </c>
      <c r="H129" s="14" t="s">
        <v>1105</v>
      </c>
      <c r="I129" s="14" t="s">
        <v>1106</v>
      </c>
      <c r="J129" s="14" t="s">
        <v>1107</v>
      </c>
      <c r="K129" s="14" t="s">
        <v>604</v>
      </c>
      <c r="L129" s="14" t="s">
        <v>1108</v>
      </c>
      <c r="M129" s="14" t="s">
        <v>1109</v>
      </c>
      <c r="N129" s="14" t="s">
        <v>70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/>
      <c r="Z129" s="15" t="n">
        <f aca="false">IF(X129=0,"",X129-Y129)</f>
        <v>4</v>
      </c>
      <c r="AA129" s="21" t="n">
        <f aca="false">IFERROR(Y129/X129,"")</f>
        <v>0</v>
      </c>
      <c r="AB129" s="15" t="n">
        <v>0</v>
      </c>
      <c r="AC129" s="22" t="n">
        <f aca="false">AB129*(1+$L$3)</f>
        <v>0</v>
      </c>
      <c r="AD129" s="20"/>
      <c r="AE129" s="23" t="n">
        <f aca="false">AC129-AD129</f>
        <v>0</v>
      </c>
      <c r="AF129" s="21" t="str">
        <f aca="false">IFERROR(AD129/AC129,"")</f>
        <v/>
      </c>
    </row>
    <row r="130" customFormat="false" ht="15" hidden="false" customHeight="true" outlineLevel="0" collapsed="false">
      <c r="A130" s="14" t="n">
        <v>659508</v>
      </c>
      <c r="B130" s="14" t="n">
        <v>500513</v>
      </c>
      <c r="C130" s="14" t="s">
        <v>1110</v>
      </c>
      <c r="D130" s="14" t="s">
        <v>1111</v>
      </c>
      <c r="E130" s="14" t="s">
        <v>1112</v>
      </c>
      <c r="F130" s="14" t="s">
        <v>1113</v>
      </c>
      <c r="G130" s="14" t="s">
        <v>1114</v>
      </c>
      <c r="H130" s="14" t="s">
        <v>1115</v>
      </c>
      <c r="I130" s="14"/>
      <c r="J130" s="14" t="s">
        <v>407</v>
      </c>
      <c r="K130" s="14" t="s">
        <v>408</v>
      </c>
      <c r="L130" s="14" t="s">
        <v>1116</v>
      </c>
      <c r="M130" s="14" t="s">
        <v>1117</v>
      </c>
      <c r="N130" s="14" t="s">
        <v>70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2" t="n">
        <f aca="false">AB130*(1+$L$3)</f>
        <v>0</v>
      </c>
      <c r="AD130" s="20"/>
      <c r="AE130" s="23" t="n">
        <f aca="false">AC130-AD130</f>
        <v>0</v>
      </c>
      <c r="AF130" s="21" t="str">
        <f aca="false">IFERROR(AD130/AC130,"")</f>
        <v/>
      </c>
    </row>
    <row r="131" customFormat="false" ht="15" hidden="false" customHeight="true" outlineLevel="0" collapsed="false">
      <c r="A131" s="14" t="n">
        <v>657915</v>
      </c>
      <c r="B131" s="14" t="n">
        <v>498919</v>
      </c>
      <c r="C131" s="14" t="s">
        <v>1118</v>
      </c>
      <c r="D131" s="14" t="s">
        <v>1119</v>
      </c>
      <c r="E131" s="14" t="s">
        <v>1120</v>
      </c>
      <c r="F131" s="14" t="s">
        <v>1121</v>
      </c>
      <c r="G131" s="14" t="s">
        <v>1122</v>
      </c>
      <c r="H131" s="14" t="s">
        <v>1123</v>
      </c>
      <c r="I131" s="14"/>
      <c r="J131" s="14" t="s">
        <v>1124</v>
      </c>
      <c r="K131" s="14" t="s">
        <v>48</v>
      </c>
      <c r="L131" s="14" t="s">
        <v>1125</v>
      </c>
      <c r="M131" s="14" t="s">
        <v>1126</v>
      </c>
      <c r="N131" s="14" t="s">
        <v>70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3</v>
      </c>
      <c r="Z131" s="15" t="n">
        <f aca="false">IF(X131=0,"",X131-Y131)</f>
        <v>1</v>
      </c>
      <c r="AA131" s="21" t="n">
        <f aca="false">IFERROR(Y131/X131,"")</f>
        <v>0.75</v>
      </c>
      <c r="AB131" s="15" t="n">
        <v>8</v>
      </c>
      <c r="AC131" s="22" t="n">
        <f aca="false">AB131*(1+$L$3)</f>
        <v>8.96</v>
      </c>
      <c r="AD131" s="20"/>
      <c r="AE131" s="23" t="n">
        <f aca="false">AC131-AD131</f>
        <v>8.96</v>
      </c>
      <c r="AF131" s="21" t="n">
        <f aca="false">IFERROR(AD131/AC131,"")</f>
        <v>0</v>
      </c>
    </row>
    <row r="132" customFormat="false" ht="15" hidden="false" customHeight="true" outlineLevel="0" collapsed="false">
      <c r="A132" s="14" t="n">
        <v>648022</v>
      </c>
      <c r="B132" s="14" t="n">
        <v>489330</v>
      </c>
      <c r="C132" s="14" t="s">
        <v>1127</v>
      </c>
      <c r="D132" s="14" t="s">
        <v>1128</v>
      </c>
      <c r="E132" s="14" t="s">
        <v>1129</v>
      </c>
      <c r="F132" s="14" t="s">
        <v>1130</v>
      </c>
      <c r="G132" s="14" t="s">
        <v>1131</v>
      </c>
      <c r="H132" s="14" t="s">
        <v>1132</v>
      </c>
      <c r="I132" s="14"/>
      <c r="J132" s="14" t="s">
        <v>638</v>
      </c>
      <c r="K132" s="14" t="s">
        <v>67</v>
      </c>
      <c r="L132" s="14" t="s">
        <v>1133</v>
      </c>
      <c r="M132" s="14" t="s">
        <v>1134</v>
      </c>
      <c r="N132" s="14" t="s">
        <v>70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2" t="n">
        <f aca="false">AB132*(1+$L$3)</f>
        <v>0</v>
      </c>
      <c r="AD132" s="20"/>
      <c r="AE132" s="23" t="n">
        <f aca="false">AC132-AD132</f>
        <v>0</v>
      </c>
      <c r="AF132" s="21" t="str">
        <f aca="false">IFERROR(AD132/AC132,"")</f>
        <v/>
      </c>
    </row>
    <row r="133" customFormat="false" ht="15" hidden="false" customHeight="true" outlineLevel="0" collapsed="false">
      <c r="A133" s="14" t="n">
        <v>638103</v>
      </c>
      <c r="B133" s="14" t="n">
        <v>483972</v>
      </c>
      <c r="C133" s="14" t="s">
        <v>1135</v>
      </c>
      <c r="D133" s="14" t="s">
        <v>1136</v>
      </c>
      <c r="E133" s="14" t="s">
        <v>1137</v>
      </c>
      <c r="F133" s="14" t="s">
        <v>1138</v>
      </c>
      <c r="G133" s="14" t="s">
        <v>1139</v>
      </c>
      <c r="H133" s="14" t="s">
        <v>1140</v>
      </c>
      <c r="I133" s="14" t="s">
        <v>1141</v>
      </c>
      <c r="J133" s="14" t="s">
        <v>1142</v>
      </c>
      <c r="K133" s="14" t="s">
        <v>557</v>
      </c>
      <c r="L133" s="14" t="s">
        <v>1143</v>
      </c>
      <c r="M133" s="14" t="s">
        <v>1144</v>
      </c>
      <c r="N133" s="14" t="s">
        <v>70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/>
      <c r="Z133" s="15" t="n">
        <f aca="false">IF(X133=0,"",X133-Y133)</f>
        <v>4</v>
      </c>
      <c r="AA133" s="21" t="n">
        <f aca="false">IFERROR(Y133/X133,"")</f>
        <v>0</v>
      </c>
      <c r="AB133" s="15" t="n">
        <v>0</v>
      </c>
      <c r="AC133" s="22" t="n">
        <f aca="false">AB133*(1+$L$3)</f>
        <v>0</v>
      </c>
      <c r="AD133" s="20"/>
      <c r="AE133" s="23" t="n">
        <f aca="false">AC133-AD133</f>
        <v>0</v>
      </c>
      <c r="AF133" s="21" t="str">
        <f aca="false">IFERROR(AD133/AC133,"")</f>
        <v/>
      </c>
    </row>
    <row r="134" customFormat="false" ht="15" hidden="false" customHeight="true" outlineLevel="0" collapsed="false">
      <c r="A134" s="14" t="n">
        <v>646019</v>
      </c>
      <c r="B134" s="14" t="n">
        <v>487386</v>
      </c>
      <c r="C134" s="14" t="s">
        <v>1145</v>
      </c>
      <c r="D134" s="14" t="s">
        <v>1146</v>
      </c>
      <c r="E134" s="14" t="s">
        <v>1147</v>
      </c>
      <c r="F134" s="14" t="s">
        <v>1148</v>
      </c>
      <c r="G134" s="14" t="s">
        <v>1149</v>
      </c>
      <c r="H134" s="14" t="s">
        <v>1150</v>
      </c>
      <c r="I134" s="14"/>
      <c r="J134" s="14" t="s">
        <v>1097</v>
      </c>
      <c r="K134" s="14" t="s">
        <v>67</v>
      </c>
      <c r="L134" s="14" t="s">
        <v>1151</v>
      </c>
      <c r="M134" s="14" t="s">
        <v>1152</v>
      </c>
      <c r="N134" s="14" t="s">
        <v>70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2" t="n">
        <f aca="false">AB134*(1+$L$3)</f>
        <v>0</v>
      </c>
      <c r="AD134" s="20"/>
      <c r="AE134" s="23" t="n">
        <f aca="false">AC134-AD134</f>
        <v>0</v>
      </c>
      <c r="AF134" s="21" t="str">
        <f aca="false">IFERROR(AD134/AC134,"")</f>
        <v/>
      </c>
    </row>
    <row r="135" customFormat="false" ht="15" hidden="false" customHeight="true" outlineLevel="0" collapsed="false">
      <c r="A135" s="14" t="n">
        <v>643081</v>
      </c>
      <c r="B135" s="14" t="n">
        <v>484630</v>
      </c>
      <c r="C135" s="14" t="s">
        <v>1153</v>
      </c>
      <c r="D135" s="14" t="s">
        <v>1154</v>
      </c>
      <c r="E135" s="14" t="s">
        <v>1155</v>
      </c>
      <c r="F135" s="14" t="s">
        <v>1156</v>
      </c>
      <c r="G135" s="14" t="s">
        <v>1157</v>
      </c>
      <c r="H135" s="14" t="s">
        <v>1158</v>
      </c>
      <c r="I135" s="14"/>
      <c r="J135" s="14" t="s">
        <v>1159</v>
      </c>
      <c r="K135" s="14" t="s">
        <v>1160</v>
      </c>
      <c r="L135" s="14" t="s">
        <v>1161</v>
      </c>
      <c r="M135" s="14" t="s">
        <v>1162</v>
      </c>
      <c r="N135" s="14" t="s">
        <v>70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2" t="n">
        <f aca="false">AB135*(1+$L$3)</f>
        <v>0</v>
      </c>
      <c r="AD135" s="20"/>
      <c r="AE135" s="23" t="n">
        <f aca="false">AC135-AD135</f>
        <v>0</v>
      </c>
      <c r="AF135" s="21" t="str">
        <f aca="false">IFERROR(AD135/AC135,"")</f>
        <v/>
      </c>
    </row>
    <row r="136" customFormat="false" ht="15" hidden="false" customHeight="true" outlineLevel="0" collapsed="false">
      <c r="A136" s="14" t="n">
        <v>616366</v>
      </c>
      <c r="B136" s="14" t="n">
        <v>465782</v>
      </c>
      <c r="C136" s="14" t="s">
        <v>1163</v>
      </c>
      <c r="D136" s="14" t="s">
        <v>1164</v>
      </c>
      <c r="E136" s="14" t="s">
        <v>1164</v>
      </c>
      <c r="F136" s="14" t="s">
        <v>1165</v>
      </c>
      <c r="G136" s="14" t="s">
        <v>1166</v>
      </c>
      <c r="H136" s="14" t="s">
        <v>1167</v>
      </c>
      <c r="I136" s="14"/>
      <c r="J136" s="14" t="s">
        <v>1168</v>
      </c>
      <c r="K136" s="14" t="s">
        <v>464</v>
      </c>
      <c r="L136" s="14" t="s">
        <v>1169</v>
      </c>
      <c r="M136" s="14" t="s">
        <v>1170</v>
      </c>
      <c r="N136" s="14" t="s">
        <v>70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/>
      <c r="Z136" s="15" t="n">
        <f aca="false">IF(X136=0,"",X136-Y136)</f>
        <v>4</v>
      </c>
      <c r="AA136" s="21" t="n">
        <f aca="false">IFERROR(Y136/X136,"")</f>
        <v>0</v>
      </c>
      <c r="AB136" s="15" t="n">
        <v>0</v>
      </c>
      <c r="AC136" s="22" t="n">
        <f aca="false">AB136*(1+$L$3)</f>
        <v>0</v>
      </c>
      <c r="AD136" s="20"/>
      <c r="AE136" s="23" t="n">
        <f aca="false">AC136-AD136</f>
        <v>0</v>
      </c>
      <c r="AF136" s="21" t="str">
        <f aca="false">IFERROR(AD136/AC136,"")</f>
        <v/>
      </c>
    </row>
    <row r="137" customFormat="false" ht="15" hidden="false" customHeight="true" outlineLevel="0" collapsed="false">
      <c r="A137" s="14" t="n">
        <v>652532</v>
      </c>
      <c r="B137" s="14" t="n">
        <v>493690</v>
      </c>
      <c r="C137" s="14" t="s">
        <v>1171</v>
      </c>
      <c r="D137" s="14" t="s">
        <v>1172</v>
      </c>
      <c r="E137" s="14" t="s">
        <v>1173</v>
      </c>
      <c r="F137" s="14" t="s">
        <v>1174</v>
      </c>
      <c r="G137" s="14" t="s">
        <v>1175</v>
      </c>
      <c r="H137" s="14" t="s">
        <v>1176</v>
      </c>
      <c r="I137" s="14"/>
      <c r="J137" s="14" t="s">
        <v>862</v>
      </c>
      <c r="K137" s="14" t="s">
        <v>48</v>
      </c>
      <c r="L137" s="14" t="s">
        <v>1177</v>
      </c>
      <c r="M137" s="14" t="s">
        <v>1178</v>
      </c>
      <c r="N137" s="14" t="s">
        <v>70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2" t="n">
        <f aca="false">AB137*(1+$L$3)</f>
        <v>0</v>
      </c>
      <c r="AD137" s="20"/>
      <c r="AE137" s="23" t="n">
        <f aca="false">AC137-AD137</f>
        <v>0</v>
      </c>
      <c r="AF137" s="21" t="str">
        <f aca="false">IFERROR(AD137/AC137,"")</f>
        <v/>
      </c>
    </row>
    <row r="138" customFormat="false" ht="15" hidden="false" customHeight="true" outlineLevel="0" collapsed="false">
      <c r="A138" s="14" t="n">
        <v>628105</v>
      </c>
      <c r="B138" s="14" t="n">
        <v>476419</v>
      </c>
      <c r="C138" s="14" t="s">
        <v>1179</v>
      </c>
      <c r="D138" s="14" t="s">
        <v>1180</v>
      </c>
      <c r="E138" s="14" t="s">
        <v>1181</v>
      </c>
      <c r="F138" s="14" t="s">
        <v>1182</v>
      </c>
      <c r="G138" s="14" t="s">
        <v>1183</v>
      </c>
      <c r="H138" s="14" t="s">
        <v>1184</v>
      </c>
      <c r="I138" s="14" t="s">
        <v>1185</v>
      </c>
      <c r="J138" s="14" t="s">
        <v>1186</v>
      </c>
      <c r="K138" s="14" t="s">
        <v>1187</v>
      </c>
      <c r="L138" s="14" t="s">
        <v>1188</v>
      </c>
      <c r="M138" s="14" t="s">
        <v>1189</v>
      </c>
      <c r="N138" s="14" t="s">
        <v>70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 t="n">
        <v>1</v>
      </c>
      <c r="Z138" s="15" t="n">
        <f aca="false">IF(X138=0,"",X138-Y138)</f>
        <v>3</v>
      </c>
      <c r="AA138" s="21" t="n">
        <f aca="false">IFERROR(Y138/X138,"")</f>
        <v>0.25</v>
      </c>
      <c r="AB138" s="15" t="n">
        <v>0</v>
      </c>
      <c r="AC138" s="22" t="n">
        <f aca="false">AB138*(1+$L$3)</f>
        <v>0</v>
      </c>
      <c r="AD138" s="20"/>
      <c r="AE138" s="23" t="n">
        <f aca="false">AC138-AD138</f>
        <v>0</v>
      </c>
      <c r="AF138" s="21" t="str">
        <f aca="false">IFERROR(AD138/AC138,"")</f>
        <v/>
      </c>
    </row>
    <row r="139" customFormat="false" ht="15" hidden="false" customHeight="true" outlineLevel="0" collapsed="false">
      <c r="A139" s="14" t="n">
        <v>634666</v>
      </c>
      <c r="B139" s="14" t="n">
        <v>481153</v>
      </c>
      <c r="C139" s="14" t="s">
        <v>1190</v>
      </c>
      <c r="D139" s="14" t="s">
        <v>1191</v>
      </c>
      <c r="E139" s="14" t="s">
        <v>1192</v>
      </c>
      <c r="F139" s="14" t="s">
        <v>1193</v>
      </c>
      <c r="G139" s="14" t="s">
        <v>1194</v>
      </c>
      <c r="H139" s="14" t="s">
        <v>1195</v>
      </c>
      <c r="I139" s="14"/>
      <c r="J139" s="14" t="s">
        <v>1196</v>
      </c>
      <c r="K139" s="14" t="s">
        <v>67</v>
      </c>
      <c r="L139" s="14" t="s">
        <v>1197</v>
      </c>
      <c r="M139" s="14" t="s">
        <v>1198</v>
      </c>
      <c r="N139" s="14" t="s">
        <v>70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/>
      <c r="Z139" s="15" t="n">
        <f aca="false">IF(X139=0,"",X139-Y139)</f>
        <v>4</v>
      </c>
      <c r="AA139" s="21" t="n">
        <f aca="false">IFERROR(Y139/X139,"")</f>
        <v>0</v>
      </c>
      <c r="AB139" s="15" t="n">
        <v>0</v>
      </c>
      <c r="AC139" s="22" t="n">
        <f aca="false">AB139*(1+$L$3)</f>
        <v>0</v>
      </c>
      <c r="AD139" s="20"/>
      <c r="AE139" s="23" t="n">
        <f aca="false">AC139-AD139</f>
        <v>0</v>
      </c>
      <c r="AF139" s="21" t="str">
        <f aca="false">IFERROR(AD139/AC139,"")</f>
        <v/>
      </c>
    </row>
    <row r="140" customFormat="false" ht="15" hidden="false" customHeight="true" outlineLevel="0" collapsed="false">
      <c r="A140" s="14" t="n">
        <v>624290</v>
      </c>
      <c r="B140" s="14" t="n">
        <v>473542</v>
      </c>
      <c r="C140" s="14" t="s">
        <v>1199</v>
      </c>
      <c r="D140" s="14" t="s">
        <v>1200</v>
      </c>
      <c r="E140" s="14" t="s">
        <v>1201</v>
      </c>
      <c r="F140" s="14" t="s">
        <v>1202</v>
      </c>
      <c r="G140" s="14" t="s">
        <v>1203</v>
      </c>
      <c r="H140" s="14" t="s">
        <v>1204</v>
      </c>
      <c r="I140" s="14" t="s">
        <v>1205</v>
      </c>
      <c r="J140" s="14" t="s">
        <v>1206</v>
      </c>
      <c r="K140" s="14" t="s">
        <v>307</v>
      </c>
      <c r="L140" s="14" t="s">
        <v>1207</v>
      </c>
      <c r="M140" s="14" t="s">
        <v>1208</v>
      </c>
      <c r="N140" s="14" t="s">
        <v>70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 t="n">
        <v>7</v>
      </c>
      <c r="Z140" s="15" t="n">
        <f aca="false">IF(X140=0,"",X140-Y140)</f>
        <v>-3</v>
      </c>
      <c r="AA140" s="21" t="n">
        <f aca="false">IFERROR(Y140/X140,"")</f>
        <v>1.75</v>
      </c>
      <c r="AB140" s="15" t="n">
        <v>10</v>
      </c>
      <c r="AC140" s="22" t="n">
        <f aca="false">AB140*(1+$L$3)</f>
        <v>11.2</v>
      </c>
      <c r="AD140" s="20"/>
      <c r="AE140" s="23" t="n">
        <f aca="false">AC140-AD140</f>
        <v>11.2</v>
      </c>
      <c r="AF140" s="21" t="n">
        <f aca="false">IFERROR(AD140/AC140,"")</f>
        <v>0</v>
      </c>
    </row>
    <row r="141" customFormat="false" ht="15" hidden="false" customHeight="true" outlineLevel="0" collapsed="false">
      <c r="A141" s="14" t="n">
        <v>191601</v>
      </c>
      <c r="B141" s="14" t="n">
        <v>191601</v>
      </c>
      <c r="C141" s="14" t="s">
        <v>1209</v>
      </c>
      <c r="D141" s="14" t="s">
        <v>1210</v>
      </c>
      <c r="E141" s="14" t="s">
        <v>1211</v>
      </c>
      <c r="F141" s="14" t="s">
        <v>1212</v>
      </c>
      <c r="G141" s="14" t="s">
        <v>1213</v>
      </c>
      <c r="H141" s="14" t="s">
        <v>1214</v>
      </c>
      <c r="I141" s="14"/>
      <c r="J141" s="14" t="s">
        <v>1215</v>
      </c>
      <c r="K141" s="14" t="s">
        <v>67</v>
      </c>
      <c r="L141" s="14" t="s">
        <v>1216</v>
      </c>
      <c r="M141" s="14" t="s">
        <v>1217</v>
      </c>
      <c r="N141" s="14" t="s">
        <v>70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/>
      <c r="Z141" s="15" t="n">
        <f aca="false">IF(X141=0,"",X141-Y141)</f>
        <v>4</v>
      </c>
      <c r="AA141" s="21" t="n">
        <f aca="false">IFERROR(Y141/X141,"")</f>
        <v>0</v>
      </c>
      <c r="AB141" s="15" t="n">
        <v>0</v>
      </c>
      <c r="AC141" s="22" t="n">
        <f aca="false">AB141*(1+$L$3)</f>
        <v>0</v>
      </c>
      <c r="AD141" s="20"/>
      <c r="AE141" s="23" t="n">
        <f aca="false">AC141-AD141</f>
        <v>0</v>
      </c>
      <c r="AF141" s="21" t="str">
        <f aca="false">IFERROR(AD141/AC141,"")</f>
        <v/>
      </c>
    </row>
    <row r="142" customFormat="false" ht="15" hidden="false" customHeight="true" outlineLevel="0" collapsed="false">
      <c r="A142" s="14" t="n">
        <v>657910</v>
      </c>
      <c r="B142" s="14" t="n">
        <v>498914</v>
      </c>
      <c r="C142" s="14" t="s">
        <v>1218</v>
      </c>
      <c r="D142" s="14" t="s">
        <v>1219</v>
      </c>
      <c r="E142" s="14" t="s">
        <v>1220</v>
      </c>
      <c r="F142" s="14" t="s">
        <v>1221</v>
      </c>
      <c r="G142" s="14" t="s">
        <v>1222</v>
      </c>
      <c r="H142" s="14" t="s">
        <v>1223</v>
      </c>
      <c r="I142" s="14"/>
      <c r="J142" s="14" t="s">
        <v>531</v>
      </c>
      <c r="K142" s="14" t="s">
        <v>48</v>
      </c>
      <c r="L142" s="14" t="s">
        <v>532</v>
      </c>
      <c r="M142" s="14" t="s">
        <v>1224</v>
      </c>
      <c r="N142" s="14" t="s">
        <v>70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2" t="n">
        <f aca="false">AB142*(1+$L$3)</f>
        <v>0</v>
      </c>
      <c r="AD142" s="20"/>
      <c r="AE142" s="23" t="n">
        <f aca="false">AC142-AD142</f>
        <v>0</v>
      </c>
      <c r="AF142" s="21" t="str">
        <f aca="false">IFERROR(AD142/AC142,"")</f>
        <v/>
      </c>
    </row>
    <row r="143" customFormat="false" ht="15" hidden="false" customHeight="true" outlineLevel="0" collapsed="false">
      <c r="A143" s="14" t="n">
        <v>657892</v>
      </c>
      <c r="B143" s="14" t="n">
        <v>498896</v>
      </c>
      <c r="C143" s="14" t="s">
        <v>1225</v>
      </c>
      <c r="D143" s="14" t="s">
        <v>1226</v>
      </c>
      <c r="E143" s="14" t="s">
        <v>1227</v>
      </c>
      <c r="F143" s="14" t="s">
        <v>1228</v>
      </c>
      <c r="G143" s="14" t="s">
        <v>1229</v>
      </c>
      <c r="H143" s="14" t="s">
        <v>1230</v>
      </c>
      <c r="I143" s="14" t="s">
        <v>1231</v>
      </c>
      <c r="J143" s="14" t="s">
        <v>248</v>
      </c>
      <c r="K143" s="14" t="s">
        <v>249</v>
      </c>
      <c r="L143" s="14" t="s">
        <v>250</v>
      </c>
      <c r="M143" s="14" t="s">
        <v>1232</v>
      </c>
      <c r="N143" s="14" t="s">
        <v>70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2" t="n">
        <f aca="false">AB143*(1+$L$3)</f>
        <v>0</v>
      </c>
      <c r="AD143" s="20"/>
      <c r="AE143" s="23" t="n">
        <f aca="false">AC143-AD143</f>
        <v>0</v>
      </c>
      <c r="AF143" s="21" t="str">
        <f aca="false">IFERROR(AD143/AC143,"")</f>
        <v/>
      </c>
    </row>
    <row r="144" customFormat="false" ht="15" hidden="false" customHeight="true" outlineLevel="0" collapsed="false">
      <c r="A144" s="14" t="n">
        <v>651265</v>
      </c>
      <c r="B144" s="14" t="n">
        <v>492523</v>
      </c>
      <c r="C144" s="14" t="s">
        <v>1233</v>
      </c>
      <c r="D144" s="14" t="s">
        <v>1234</v>
      </c>
      <c r="E144" s="14" t="s">
        <v>1235</v>
      </c>
      <c r="F144" s="14" t="s">
        <v>1236</v>
      </c>
      <c r="G144" s="14" t="s">
        <v>1237</v>
      </c>
      <c r="H144" s="14" t="s">
        <v>1238</v>
      </c>
      <c r="I144" s="14"/>
      <c r="J144" s="14" t="s">
        <v>47</v>
      </c>
      <c r="K144" s="14" t="s">
        <v>48</v>
      </c>
      <c r="L144" s="14" t="s">
        <v>393</v>
      </c>
      <c r="M144" s="14" t="s">
        <v>1239</v>
      </c>
      <c r="N144" s="14" t="s">
        <v>51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2" t="n">
        <f aca="false">AB144*(1+$L$3)</f>
        <v>0</v>
      </c>
      <c r="AD144" s="20"/>
      <c r="AE144" s="23" t="n">
        <f aca="false">AC144-AD144</f>
        <v>0</v>
      </c>
      <c r="AF144" s="21" t="str">
        <f aca="false">IFERROR(AD144/AC144,"")</f>
        <v/>
      </c>
    </row>
    <row r="145" customFormat="false" ht="15" hidden="false" customHeight="true" outlineLevel="0" collapsed="false">
      <c r="A145" s="14" t="n">
        <v>631759</v>
      </c>
      <c r="B145" s="14" t="n">
        <v>478252</v>
      </c>
      <c r="C145" s="14" t="s">
        <v>1240</v>
      </c>
      <c r="D145" s="14" t="s">
        <v>1241</v>
      </c>
      <c r="E145" s="14" t="s">
        <v>1242</v>
      </c>
      <c r="F145" s="14" t="s">
        <v>1243</v>
      </c>
      <c r="G145" s="14" t="s">
        <v>1244</v>
      </c>
      <c r="H145" s="14" t="s">
        <v>1245</v>
      </c>
      <c r="I145" s="14"/>
      <c r="J145" s="14" t="s">
        <v>1246</v>
      </c>
      <c r="K145" s="14" t="s">
        <v>604</v>
      </c>
      <c r="L145" s="14" t="s">
        <v>1247</v>
      </c>
      <c r="M145" s="14" t="s">
        <v>1248</v>
      </c>
      <c r="N145" s="14" t="s">
        <v>70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 t="n">
        <v>1</v>
      </c>
      <c r="Z145" s="15" t="n">
        <f aca="false">IF(X145=0,"",X145-Y145)</f>
        <v>3</v>
      </c>
      <c r="AA145" s="21" t="n">
        <f aca="false">IFERROR(Y145/X145,"")</f>
        <v>0.25</v>
      </c>
      <c r="AB145" s="15" t="n">
        <v>0</v>
      </c>
      <c r="AC145" s="22" t="n">
        <f aca="false">AB145*(1+$L$3)</f>
        <v>0</v>
      </c>
      <c r="AD145" s="20"/>
      <c r="AE145" s="23" t="n">
        <f aca="false">AC145-AD145</f>
        <v>0</v>
      </c>
      <c r="AF145" s="21" t="str">
        <f aca="false">IFERROR(AD145/AC145,"")</f>
        <v/>
      </c>
    </row>
    <row r="146" customFormat="false" ht="15" hidden="false" customHeight="true" outlineLevel="0" collapsed="false">
      <c r="A146" s="14" t="n">
        <v>632030</v>
      </c>
      <c r="B146" s="14" t="n">
        <v>478574</v>
      </c>
      <c r="C146" s="14" t="s">
        <v>1249</v>
      </c>
      <c r="D146" s="14" t="s">
        <v>1250</v>
      </c>
      <c r="E146" s="14" t="s">
        <v>1251</v>
      </c>
      <c r="F146" s="14" t="s">
        <v>1252</v>
      </c>
      <c r="G146" s="14" t="s">
        <v>1253</v>
      </c>
      <c r="H146" s="14" t="s">
        <v>1254</v>
      </c>
      <c r="I146" s="14"/>
      <c r="J146" s="14" t="s">
        <v>1255</v>
      </c>
      <c r="K146" s="14" t="s">
        <v>1256</v>
      </c>
      <c r="L146" s="14" t="s">
        <v>1257</v>
      </c>
      <c r="M146" s="14" t="s">
        <v>1258</v>
      </c>
      <c r="N146" s="14" t="s">
        <v>70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2</v>
      </c>
      <c r="Z146" s="15" t="n">
        <f aca="false">IF(X146=0,"",X146-Y146)</f>
        <v>2</v>
      </c>
      <c r="AA146" s="21" t="n">
        <f aca="false">IFERROR(Y146/X146,"")</f>
        <v>0.5</v>
      </c>
      <c r="AB146" s="15" t="n">
        <v>0</v>
      </c>
      <c r="AC146" s="22" t="n">
        <f aca="false">AB146*(1+$L$3)</f>
        <v>0</v>
      </c>
      <c r="AD146" s="20"/>
      <c r="AE146" s="23" t="n">
        <f aca="false">AC146-AD146</f>
        <v>0</v>
      </c>
      <c r="AF146" s="21" t="str">
        <f aca="false">IFERROR(AD146/AC146,"")</f>
        <v/>
      </c>
    </row>
    <row r="147" customFormat="false" ht="15" hidden="false" customHeight="true" outlineLevel="0" collapsed="false">
      <c r="A147" s="14" t="n">
        <v>661154</v>
      </c>
      <c r="B147" s="14" t="n">
        <v>502174</v>
      </c>
      <c r="C147" s="14" t="s">
        <v>1259</v>
      </c>
      <c r="D147" s="14" t="s">
        <v>1260</v>
      </c>
      <c r="E147" s="14" t="s">
        <v>1261</v>
      </c>
      <c r="F147" s="14" t="s">
        <v>1262</v>
      </c>
      <c r="G147" s="14" t="s">
        <v>1263</v>
      </c>
      <c r="H147" s="14" t="s">
        <v>1264</v>
      </c>
      <c r="I147" s="14"/>
      <c r="J147" s="14" t="s">
        <v>638</v>
      </c>
      <c r="K147" s="14" t="s">
        <v>67</v>
      </c>
      <c r="L147" s="14" t="s">
        <v>1265</v>
      </c>
      <c r="M147" s="14" t="s">
        <v>1266</v>
      </c>
      <c r="N147" s="14" t="s">
        <v>70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2" t="n">
        <f aca="false">AB147*(1+$L$3)</f>
        <v>0</v>
      </c>
      <c r="AD147" s="20"/>
      <c r="AE147" s="23" t="n">
        <f aca="false">AC147-AD147</f>
        <v>0</v>
      </c>
      <c r="AF147" s="21" t="str">
        <f aca="false">IFERROR(AD147/AC147,"")</f>
        <v/>
      </c>
    </row>
    <row r="148" customFormat="false" ht="15" hidden="false" customHeight="true" outlineLevel="0" collapsed="false">
      <c r="A148" s="14" t="n">
        <v>660519</v>
      </c>
      <c r="B148" s="14" t="n">
        <v>501527</v>
      </c>
      <c r="C148" s="14" t="s">
        <v>1267</v>
      </c>
      <c r="D148" s="14" t="s">
        <v>1268</v>
      </c>
      <c r="E148" s="14" t="s">
        <v>1269</v>
      </c>
      <c r="F148" s="14" t="s">
        <v>1270</v>
      </c>
      <c r="G148" s="14" t="s">
        <v>1271</v>
      </c>
      <c r="H148" s="14" t="s">
        <v>1272</v>
      </c>
      <c r="I148" s="14" t="s">
        <v>793</v>
      </c>
      <c r="J148" s="14" t="s">
        <v>638</v>
      </c>
      <c r="K148" s="14" t="s">
        <v>67</v>
      </c>
      <c r="L148" s="14" t="s">
        <v>1273</v>
      </c>
      <c r="M148" s="14" t="s">
        <v>1274</v>
      </c>
      <c r="N148" s="14" t="s">
        <v>70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2" t="n">
        <f aca="false">AB148*(1+$L$3)</f>
        <v>0</v>
      </c>
      <c r="AD148" s="20"/>
      <c r="AE148" s="23" t="n">
        <f aca="false">AC148-AD148</f>
        <v>0</v>
      </c>
      <c r="AF148" s="21" t="str">
        <f aca="false">IFERROR(AD148/AC148,"")</f>
        <v/>
      </c>
    </row>
    <row r="149" customFormat="false" ht="15" hidden="false" customHeight="true" outlineLevel="0" collapsed="false">
      <c r="A149" s="14" t="n">
        <v>660031</v>
      </c>
      <c r="B149" s="14" t="n">
        <v>501035</v>
      </c>
      <c r="C149" s="14" t="s">
        <v>1275</v>
      </c>
      <c r="D149" s="14" t="s">
        <v>1276</v>
      </c>
      <c r="E149" s="14" t="s">
        <v>1277</v>
      </c>
      <c r="F149" s="14" t="s">
        <v>1278</v>
      </c>
      <c r="G149" s="14" t="s">
        <v>1279</v>
      </c>
      <c r="H149" s="14" t="s">
        <v>1280</v>
      </c>
      <c r="I149" s="14" t="s">
        <v>1281</v>
      </c>
      <c r="J149" s="14" t="s">
        <v>1282</v>
      </c>
      <c r="K149" s="14" t="s">
        <v>307</v>
      </c>
      <c r="L149" s="14" t="s">
        <v>1283</v>
      </c>
      <c r="M149" s="14" t="s">
        <v>1284</v>
      </c>
      <c r="N149" s="14" t="s">
        <v>70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1</v>
      </c>
      <c r="Z149" s="15" t="n">
        <f aca="false">IF(X149=0,"",X149-Y149)</f>
        <v>3</v>
      </c>
      <c r="AA149" s="21" t="n">
        <f aca="false">IFERROR(Y149/X149,"")</f>
        <v>0.25</v>
      </c>
      <c r="AB149" s="15" t="n">
        <v>0</v>
      </c>
      <c r="AC149" s="22" t="n">
        <f aca="false">AB149*(1+$L$3)</f>
        <v>0</v>
      </c>
      <c r="AD149" s="20"/>
      <c r="AE149" s="23" t="n">
        <f aca="false">AC149-AD149</f>
        <v>0</v>
      </c>
      <c r="AF149" s="21" t="str">
        <f aca="false">IFERROR(AD149/AC149,"")</f>
        <v/>
      </c>
    </row>
    <row r="150" customFormat="false" ht="15" hidden="false" customHeight="true" outlineLevel="0" collapsed="false">
      <c r="A150" s="14" t="n">
        <v>658943</v>
      </c>
      <c r="B150" s="14" t="n">
        <v>499935</v>
      </c>
      <c r="C150" s="14" t="s">
        <v>1285</v>
      </c>
      <c r="D150" s="14" t="s">
        <v>1286</v>
      </c>
      <c r="E150" s="14" t="s">
        <v>1287</v>
      </c>
      <c r="F150" s="14" t="s">
        <v>1288</v>
      </c>
      <c r="G150" s="14" t="s">
        <v>1289</v>
      </c>
      <c r="H150" s="14" t="s">
        <v>1290</v>
      </c>
      <c r="I150" s="14"/>
      <c r="J150" s="14" t="s">
        <v>862</v>
      </c>
      <c r="K150" s="14" t="s">
        <v>48</v>
      </c>
      <c r="L150" s="14" t="s">
        <v>1291</v>
      </c>
      <c r="M150" s="14" t="s">
        <v>1292</v>
      </c>
      <c r="N150" s="14" t="s">
        <v>70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1</v>
      </c>
      <c r="Z150" s="15" t="n">
        <f aca="false">IF(X150=0,"",X150-Y150)</f>
        <v>3</v>
      </c>
      <c r="AA150" s="21" t="n">
        <f aca="false">IFERROR(Y150/X150,"")</f>
        <v>0.25</v>
      </c>
      <c r="AB150" s="15" t="n">
        <v>0</v>
      </c>
      <c r="AC150" s="22" t="n">
        <f aca="false">AB150*(1+$L$3)</f>
        <v>0</v>
      </c>
      <c r="AD150" s="20"/>
      <c r="AE150" s="23" t="n">
        <f aca="false">AC150-AD150</f>
        <v>0</v>
      </c>
      <c r="AF150" s="21" t="str">
        <f aca="false">IFERROR(AD150/AC150,"")</f>
        <v/>
      </c>
    </row>
    <row r="151" customFormat="false" ht="15" hidden="false" customHeight="true" outlineLevel="0" collapsed="false">
      <c r="A151" s="14" t="n">
        <v>658712</v>
      </c>
      <c r="B151" s="14" t="n">
        <v>499704</v>
      </c>
      <c r="C151" s="14" t="s">
        <v>1293</v>
      </c>
      <c r="D151" s="14" t="s">
        <v>1294</v>
      </c>
      <c r="E151" s="14" t="s">
        <v>1295</v>
      </c>
      <c r="F151" s="14" t="s">
        <v>1296</v>
      </c>
      <c r="G151" s="14" t="s">
        <v>1297</v>
      </c>
      <c r="H151" s="14" t="s">
        <v>1298</v>
      </c>
      <c r="I151" s="14"/>
      <c r="J151" s="14" t="s">
        <v>1299</v>
      </c>
      <c r="K151" s="14" t="s">
        <v>48</v>
      </c>
      <c r="L151" s="14" t="s">
        <v>1300</v>
      </c>
      <c r="M151" s="14" t="s">
        <v>1301</v>
      </c>
      <c r="N151" s="14" t="s">
        <v>70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2" t="n">
        <f aca="false">AB151*(1+$L$3)</f>
        <v>0</v>
      </c>
      <c r="AD151" s="20"/>
      <c r="AE151" s="23" t="n">
        <f aca="false">AC151-AD151</f>
        <v>0</v>
      </c>
      <c r="AF151" s="21" t="str">
        <f aca="false">IFERROR(AD151/AC151,"")</f>
        <v/>
      </c>
    </row>
    <row r="152" customFormat="false" ht="15" hidden="false" customHeight="true" outlineLevel="0" collapsed="false">
      <c r="A152" s="14" t="n">
        <v>654788</v>
      </c>
      <c r="B152" s="14" t="n">
        <v>495939</v>
      </c>
      <c r="C152" s="14" t="s">
        <v>1302</v>
      </c>
      <c r="D152" s="14" t="s">
        <v>1303</v>
      </c>
      <c r="E152" s="14" t="s">
        <v>1304</v>
      </c>
      <c r="F152" s="14" t="s">
        <v>1305</v>
      </c>
      <c r="G152" s="14" t="s">
        <v>1306</v>
      </c>
      <c r="H152" s="14" t="s">
        <v>1307</v>
      </c>
      <c r="I152" s="14"/>
      <c r="J152" s="14" t="s">
        <v>1308</v>
      </c>
      <c r="K152" s="14" t="s">
        <v>604</v>
      </c>
      <c r="L152" s="14" t="s">
        <v>1309</v>
      </c>
      <c r="M152" s="14" t="s">
        <v>1310</v>
      </c>
      <c r="N152" s="14" t="s">
        <v>70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2" t="n">
        <f aca="false">AB152*(1+$L$3)</f>
        <v>0</v>
      </c>
      <c r="AD152" s="20"/>
      <c r="AE152" s="23" t="n">
        <f aca="false">AC152-AD152</f>
        <v>0</v>
      </c>
      <c r="AF152" s="21" t="str">
        <f aca="false">IFERROR(AD152/AC152,"")</f>
        <v/>
      </c>
    </row>
    <row r="153" customFormat="false" ht="15" hidden="false" customHeight="true" outlineLevel="0" collapsed="false">
      <c r="A153" s="14" t="n">
        <v>654754</v>
      </c>
      <c r="B153" s="14" t="n">
        <v>495906</v>
      </c>
      <c r="C153" s="14" t="s">
        <v>1311</v>
      </c>
      <c r="D153" s="14" t="s">
        <v>1312</v>
      </c>
      <c r="E153" s="14" t="s">
        <v>1313</v>
      </c>
      <c r="F153" s="14" t="s">
        <v>1314</v>
      </c>
      <c r="G153" s="14" t="s">
        <v>1315</v>
      </c>
      <c r="H153" s="14" t="s">
        <v>1316</v>
      </c>
      <c r="I153" s="14" t="s">
        <v>1317</v>
      </c>
      <c r="J153" s="14" t="s">
        <v>1318</v>
      </c>
      <c r="K153" s="14" t="s">
        <v>604</v>
      </c>
      <c r="L153" s="14" t="s">
        <v>1319</v>
      </c>
      <c r="M153" s="14" t="s">
        <v>1320</v>
      </c>
      <c r="N153" s="14" t="s">
        <v>70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 t="n">
        <v>1</v>
      </c>
      <c r="Z153" s="15" t="n">
        <f aca="false">IF(X153=0,"",X153-Y153)</f>
        <v>3</v>
      </c>
      <c r="AA153" s="21" t="n">
        <f aca="false">IFERROR(Y153/X153,"")</f>
        <v>0.25</v>
      </c>
      <c r="AB153" s="15" t="n">
        <v>0</v>
      </c>
      <c r="AC153" s="22" t="n">
        <f aca="false">AB153*(1+$L$3)</f>
        <v>0</v>
      </c>
      <c r="AD153" s="20"/>
      <c r="AE153" s="23" t="n">
        <f aca="false">AC153-AD153</f>
        <v>0</v>
      </c>
      <c r="AF153" s="21" t="str">
        <f aca="false">IFERROR(AD153/AC153,"")</f>
        <v/>
      </c>
    </row>
    <row r="154" customFormat="false" ht="15" hidden="false" customHeight="true" outlineLevel="0" collapsed="false">
      <c r="A154" s="14" t="n">
        <v>651978</v>
      </c>
      <c r="B154" s="14" t="n">
        <v>493168</v>
      </c>
      <c r="C154" s="14" t="s">
        <v>1321</v>
      </c>
      <c r="D154" s="14" t="s">
        <v>1322</v>
      </c>
      <c r="E154" s="14" t="s">
        <v>1323</v>
      </c>
      <c r="F154" s="14" t="s">
        <v>1324</v>
      </c>
      <c r="G154" s="14" t="s">
        <v>1325</v>
      </c>
      <c r="H154" s="14" t="s">
        <v>1326</v>
      </c>
      <c r="I154" s="14" t="s">
        <v>1327</v>
      </c>
      <c r="J154" s="14" t="s">
        <v>1328</v>
      </c>
      <c r="K154" s="14" t="s">
        <v>506</v>
      </c>
      <c r="L154" s="14" t="s">
        <v>1329</v>
      </c>
      <c r="M154" s="14" t="s">
        <v>1330</v>
      </c>
      <c r="N154" s="14" t="s">
        <v>70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2" t="n">
        <f aca="false">AB154*(1+$L$3)</f>
        <v>0</v>
      </c>
      <c r="AD154" s="20"/>
      <c r="AE154" s="23" t="n">
        <f aca="false">AC154-AD154</f>
        <v>0</v>
      </c>
      <c r="AF154" s="21" t="str">
        <f aca="false">IFERROR(AD154/AC154,"")</f>
        <v/>
      </c>
    </row>
    <row r="155" customFormat="false" ht="15" hidden="false" customHeight="true" outlineLevel="0" collapsed="false">
      <c r="A155" s="14" t="n">
        <v>647309</v>
      </c>
      <c r="B155" s="14" t="n">
        <v>488635</v>
      </c>
      <c r="C155" s="14" t="s">
        <v>1331</v>
      </c>
      <c r="D155" s="14" t="s">
        <v>1332</v>
      </c>
      <c r="E155" s="14" t="s">
        <v>1333</v>
      </c>
      <c r="F155" s="14" t="s">
        <v>1334</v>
      </c>
      <c r="G155" s="14" t="s">
        <v>1335</v>
      </c>
      <c r="H155" s="14" t="s">
        <v>1336</v>
      </c>
      <c r="I155" s="14"/>
      <c r="J155" s="14" t="s">
        <v>638</v>
      </c>
      <c r="K155" s="14" t="s">
        <v>67</v>
      </c>
      <c r="L155" s="14" t="s">
        <v>1337</v>
      </c>
      <c r="M155" s="14" t="s">
        <v>1338</v>
      </c>
      <c r="N155" s="14" t="s">
        <v>70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/>
      <c r="Z155" s="15" t="n">
        <f aca="false">IF(X155=0,"",X155-Y155)</f>
        <v>4</v>
      </c>
      <c r="AA155" s="21" t="n">
        <f aca="false">IFERROR(Y155/X155,"")</f>
        <v>0</v>
      </c>
      <c r="AB155" s="15" t="n">
        <v>0</v>
      </c>
      <c r="AC155" s="22" t="n">
        <f aca="false">AB155*(1+$L$3)</f>
        <v>0</v>
      </c>
      <c r="AD155" s="20"/>
      <c r="AE155" s="23" t="n">
        <f aca="false">AC155-AD155</f>
        <v>0</v>
      </c>
      <c r="AF155" s="21" t="str">
        <f aca="false">IFERROR(AD155/AC155,"")</f>
        <v/>
      </c>
    </row>
    <row r="156" customFormat="false" ht="15" hidden="false" customHeight="true" outlineLevel="0" collapsed="false">
      <c r="A156" s="14" t="n">
        <v>636853</v>
      </c>
      <c r="B156" s="14" t="n">
        <v>483303</v>
      </c>
      <c r="C156" s="14" t="s">
        <v>1339</v>
      </c>
      <c r="D156" s="14" t="s">
        <v>1340</v>
      </c>
      <c r="E156" s="14" t="s">
        <v>1341</v>
      </c>
      <c r="F156" s="14" t="s">
        <v>1342</v>
      </c>
      <c r="G156" s="14" t="s">
        <v>1343</v>
      </c>
      <c r="H156" s="14" t="s">
        <v>1344</v>
      </c>
      <c r="I156" s="14"/>
      <c r="J156" s="14" t="s">
        <v>1345</v>
      </c>
      <c r="K156" s="14" t="s">
        <v>67</v>
      </c>
      <c r="L156" s="14" t="s">
        <v>1346</v>
      </c>
      <c r="M156" s="14" t="s">
        <v>1347</v>
      </c>
      <c r="N156" s="14" t="s">
        <v>70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12</v>
      </c>
      <c r="Z156" s="15" t="n">
        <f aca="false">IF(X156=0,"",X156-Y156)</f>
        <v>-8</v>
      </c>
      <c r="AA156" s="21" t="n">
        <f aca="false">IFERROR(Y156/X156,"")</f>
        <v>3</v>
      </c>
      <c r="AB156" s="15" t="n">
        <v>0</v>
      </c>
      <c r="AC156" s="22" t="n">
        <f aca="false">AB156*(1+$L$3)</f>
        <v>0</v>
      </c>
      <c r="AD156" s="20"/>
      <c r="AE156" s="23" t="n">
        <f aca="false">AC156-AD156</f>
        <v>0</v>
      </c>
      <c r="AF156" s="21" t="str">
        <f aca="false">IFERROR(AD156/AC156,"")</f>
        <v/>
      </c>
    </row>
    <row r="157" customFormat="false" ht="15" hidden="false" customHeight="true" outlineLevel="0" collapsed="false">
      <c r="A157" s="14" t="n">
        <v>632742</v>
      </c>
      <c r="B157" s="14" t="n">
        <v>479259</v>
      </c>
      <c r="C157" s="14" t="s">
        <v>1348</v>
      </c>
      <c r="D157" s="14" t="s">
        <v>1349</v>
      </c>
      <c r="E157" s="14" t="s">
        <v>1350</v>
      </c>
      <c r="F157" s="14" t="s">
        <v>1351</v>
      </c>
      <c r="G157" s="14" t="s">
        <v>1352</v>
      </c>
      <c r="H157" s="14" t="s">
        <v>1353</v>
      </c>
      <c r="I157" s="14"/>
      <c r="J157" s="14" t="s">
        <v>1354</v>
      </c>
      <c r="K157" s="14" t="s">
        <v>67</v>
      </c>
      <c r="L157" s="14" t="s">
        <v>1355</v>
      </c>
      <c r="M157" s="14" t="s">
        <v>1356</v>
      </c>
      <c r="N157" s="14" t="s">
        <v>70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2" t="n">
        <f aca="false">AB157*(1+$L$3)</f>
        <v>0</v>
      </c>
      <c r="AD157" s="20"/>
      <c r="AE157" s="23" t="n">
        <f aca="false">AC157-AD157</f>
        <v>0</v>
      </c>
      <c r="AF157" s="21" t="str">
        <f aca="false">IFERROR(AD157/AC157,"")</f>
        <v/>
      </c>
    </row>
    <row r="158" customFormat="false" ht="15" hidden="false" customHeight="true" outlineLevel="0" collapsed="false">
      <c r="A158" s="14" t="n">
        <v>627161</v>
      </c>
      <c r="B158" s="14" t="n">
        <v>475545</v>
      </c>
      <c r="C158" s="14" t="s">
        <v>1357</v>
      </c>
      <c r="D158" s="14" t="s">
        <v>1358</v>
      </c>
      <c r="E158" s="14" t="s">
        <v>1359</v>
      </c>
      <c r="F158" s="14" t="s">
        <v>1360</v>
      </c>
      <c r="G158" s="14" t="s">
        <v>1361</v>
      </c>
      <c r="H158" s="14" t="s">
        <v>1362</v>
      </c>
      <c r="I158" s="14" t="s">
        <v>1363</v>
      </c>
      <c r="J158" s="14" t="s">
        <v>306</v>
      </c>
      <c r="K158" s="14" t="s">
        <v>307</v>
      </c>
      <c r="L158" s="14" t="s">
        <v>308</v>
      </c>
      <c r="M158" s="14" t="s">
        <v>1364</v>
      </c>
      <c r="N158" s="14" t="s">
        <v>70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2" t="n">
        <f aca="false">AB158*(1+$L$3)</f>
        <v>0</v>
      </c>
      <c r="AD158" s="20"/>
      <c r="AE158" s="23" t="n">
        <f aca="false">AC158-AD158</f>
        <v>0</v>
      </c>
      <c r="AF158" s="21" t="str">
        <f aca="false">IFERROR(AD158/AC158,"")</f>
        <v/>
      </c>
    </row>
    <row r="159" customFormat="false" ht="15" hidden="false" customHeight="true" outlineLevel="0" collapsed="false">
      <c r="A159" s="14" t="n">
        <v>655726</v>
      </c>
      <c r="B159" s="14" t="n">
        <v>496854</v>
      </c>
      <c r="C159" s="14" t="s">
        <v>1365</v>
      </c>
      <c r="D159" s="14" t="s">
        <v>1366</v>
      </c>
      <c r="E159" s="14" t="s">
        <v>1367</v>
      </c>
      <c r="F159" s="14" t="s">
        <v>1368</v>
      </c>
      <c r="G159" s="14" t="s">
        <v>1369</v>
      </c>
      <c r="H159" s="14" t="s">
        <v>1370</v>
      </c>
      <c r="I159" s="14" t="s">
        <v>1371</v>
      </c>
      <c r="J159" s="14" t="s">
        <v>1372</v>
      </c>
      <c r="K159" s="14" t="s">
        <v>249</v>
      </c>
      <c r="L159" s="14" t="s">
        <v>1373</v>
      </c>
      <c r="M159" s="14" t="s">
        <v>1374</v>
      </c>
      <c r="N159" s="14" t="s">
        <v>70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/>
      <c r="Z159" s="15" t="n">
        <f aca="false">IF(X159=0,"",X159-Y159)</f>
        <v>3</v>
      </c>
      <c r="AA159" s="21" t="n">
        <f aca="false">IFERROR(Y159/X159,"")</f>
        <v>0</v>
      </c>
      <c r="AB159" s="15" t="n">
        <v>0</v>
      </c>
      <c r="AC159" s="22" t="n">
        <f aca="false">AB159*(1+$L$3)</f>
        <v>0</v>
      </c>
      <c r="AD159" s="20"/>
      <c r="AE159" s="23" t="n">
        <f aca="false">AC159-AD159</f>
        <v>0</v>
      </c>
      <c r="AF159" s="21" t="str">
        <f aca="false">IFERROR(AD159/AC159,"")</f>
        <v/>
      </c>
    </row>
    <row r="160" customFormat="false" ht="15" hidden="false" customHeight="true" outlineLevel="0" collapsed="false">
      <c r="A160" s="14" t="n">
        <v>660686</v>
      </c>
      <c r="B160" s="14" t="n">
        <v>501699</v>
      </c>
      <c r="C160" s="14" t="s">
        <v>1375</v>
      </c>
      <c r="D160" s="14" t="s">
        <v>1376</v>
      </c>
      <c r="E160" s="14" t="s">
        <v>1377</v>
      </c>
      <c r="F160" s="14" t="s">
        <v>1378</v>
      </c>
      <c r="G160" s="14" t="s">
        <v>1379</v>
      </c>
      <c r="H160" s="14" t="s">
        <v>1380</v>
      </c>
      <c r="I160" s="14" t="s">
        <v>1034</v>
      </c>
      <c r="J160" s="14" t="s">
        <v>1381</v>
      </c>
      <c r="K160" s="14" t="s">
        <v>709</v>
      </c>
      <c r="L160" s="14" t="s">
        <v>1382</v>
      </c>
      <c r="M160" s="14" t="s">
        <v>1383</v>
      </c>
      <c r="N160" s="14" t="s">
        <v>70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2" t="n">
        <f aca="false">AB160*(1+$L$3)</f>
        <v>0</v>
      </c>
      <c r="AD160" s="20"/>
      <c r="AE160" s="23" t="n">
        <f aca="false">AC160-AD160</f>
        <v>0</v>
      </c>
      <c r="AF160" s="21" t="str">
        <f aca="false">IFERROR(AD160/AC160,"")</f>
        <v/>
      </c>
    </row>
    <row r="161" customFormat="false" ht="15" hidden="false" customHeight="true" outlineLevel="0" collapsed="false">
      <c r="A161" s="14" t="n">
        <v>659588</v>
      </c>
      <c r="B161" s="14" t="n">
        <v>500594</v>
      </c>
      <c r="C161" s="14" t="s">
        <v>1384</v>
      </c>
      <c r="D161" s="14" t="s">
        <v>1385</v>
      </c>
      <c r="E161" s="14" t="s">
        <v>1386</v>
      </c>
      <c r="F161" s="14" t="s">
        <v>1387</v>
      </c>
      <c r="G161" s="14" t="s">
        <v>1388</v>
      </c>
      <c r="H161" s="14" t="s">
        <v>1389</v>
      </c>
      <c r="I161" s="14"/>
      <c r="J161" s="14" t="s">
        <v>679</v>
      </c>
      <c r="K161" s="14" t="s">
        <v>307</v>
      </c>
      <c r="L161" s="14" t="s">
        <v>1390</v>
      </c>
      <c r="M161" s="14" t="s">
        <v>1391</v>
      </c>
      <c r="N161" s="14" t="s">
        <v>70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2" t="n">
        <f aca="false">AB161*(1+$L$3)</f>
        <v>0</v>
      </c>
      <c r="AD161" s="20"/>
      <c r="AE161" s="23" t="n">
        <f aca="false">AC161-AD161</f>
        <v>0</v>
      </c>
      <c r="AF161" s="21" t="str">
        <f aca="false">IFERROR(AD161/AC161,"")</f>
        <v/>
      </c>
    </row>
    <row r="162" customFormat="false" ht="15" hidden="false" customHeight="true" outlineLevel="0" collapsed="false">
      <c r="A162" s="14" t="n">
        <v>658487</v>
      </c>
      <c r="B162" s="14" t="n">
        <v>499500</v>
      </c>
      <c r="C162" s="14" t="s">
        <v>1392</v>
      </c>
      <c r="D162" s="14" t="s">
        <v>1393</v>
      </c>
      <c r="E162" s="14" t="s">
        <v>1394</v>
      </c>
      <c r="F162" s="14" t="s">
        <v>1395</v>
      </c>
      <c r="G162" s="14" t="s">
        <v>1396</v>
      </c>
      <c r="H162" s="14" t="s">
        <v>1397</v>
      </c>
      <c r="I162" s="14"/>
      <c r="J162" s="14" t="s">
        <v>1398</v>
      </c>
      <c r="K162" s="14" t="s">
        <v>307</v>
      </c>
      <c r="L162" s="14" t="s">
        <v>1399</v>
      </c>
      <c r="M162" s="14" t="s">
        <v>1400</v>
      </c>
      <c r="N162" s="14" t="s">
        <v>70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2</v>
      </c>
      <c r="Z162" s="15" t="n">
        <f aca="false">IF(X162=0,"",X162-Y162)</f>
        <v>1</v>
      </c>
      <c r="AA162" s="21" t="n">
        <f aca="false">IFERROR(Y162/X162,"")</f>
        <v>0.666666666666667</v>
      </c>
      <c r="AB162" s="15" t="n">
        <v>0</v>
      </c>
      <c r="AC162" s="22" t="n">
        <f aca="false">AB162*(1+$L$3)</f>
        <v>0</v>
      </c>
      <c r="AD162" s="20"/>
      <c r="AE162" s="23" t="n">
        <f aca="false">AC162-AD162</f>
        <v>0</v>
      </c>
      <c r="AF162" s="21" t="str">
        <f aca="false">IFERROR(AD162/AC162,"")</f>
        <v/>
      </c>
    </row>
    <row r="163" customFormat="false" ht="15" hidden="false" customHeight="true" outlineLevel="0" collapsed="false">
      <c r="A163" s="14" t="n">
        <v>638450</v>
      </c>
      <c r="B163" s="14" t="n">
        <v>484311</v>
      </c>
      <c r="C163" s="14" t="s">
        <v>1401</v>
      </c>
      <c r="D163" s="14" t="s">
        <v>1402</v>
      </c>
      <c r="E163" s="14" t="s">
        <v>1403</v>
      </c>
      <c r="F163" s="14" t="s">
        <v>1404</v>
      </c>
      <c r="G163" s="14" t="s">
        <v>1405</v>
      </c>
      <c r="H163" s="14" t="s">
        <v>1406</v>
      </c>
      <c r="I163" s="14"/>
      <c r="J163" s="14" t="s">
        <v>316</v>
      </c>
      <c r="K163" s="14" t="s">
        <v>307</v>
      </c>
      <c r="L163" s="14" t="s">
        <v>1407</v>
      </c>
      <c r="M163" s="14" t="s">
        <v>1408</v>
      </c>
      <c r="N163" s="14" t="s">
        <v>70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 t="n">
        <v>1</v>
      </c>
      <c r="Z163" s="15" t="n">
        <f aca="false">IF(X163=0,"",X163-Y163)</f>
        <v>2</v>
      </c>
      <c r="AA163" s="21" t="n">
        <f aca="false">IFERROR(Y163/X163,"")</f>
        <v>0.333333333333333</v>
      </c>
      <c r="AB163" s="15" t="n">
        <v>0</v>
      </c>
      <c r="AC163" s="22" t="n">
        <f aca="false">AB163*(1+$L$3)</f>
        <v>0</v>
      </c>
      <c r="AD163" s="20"/>
      <c r="AE163" s="23" t="n">
        <f aca="false">AC163-AD163</f>
        <v>0</v>
      </c>
      <c r="AF163" s="21" t="str">
        <f aca="false">IFERROR(AD163/AC163,"")</f>
        <v/>
      </c>
    </row>
    <row r="164" customFormat="false" ht="15" hidden="false" customHeight="true" outlineLevel="0" collapsed="false">
      <c r="A164" s="14" t="n">
        <v>635831</v>
      </c>
      <c r="B164" s="14" t="n">
        <v>482293</v>
      </c>
      <c r="C164" s="14" t="s">
        <v>1409</v>
      </c>
      <c r="D164" s="14" t="s">
        <v>1410</v>
      </c>
      <c r="E164" s="14" t="s">
        <v>1411</v>
      </c>
      <c r="F164" s="14" t="s">
        <v>1412</v>
      </c>
      <c r="G164" s="14" t="s">
        <v>1413</v>
      </c>
      <c r="H164" s="14" t="s">
        <v>1414</v>
      </c>
      <c r="I164" s="14"/>
      <c r="J164" s="14" t="s">
        <v>862</v>
      </c>
      <c r="K164" s="14" t="s">
        <v>48</v>
      </c>
      <c r="L164" s="14" t="s">
        <v>1177</v>
      </c>
      <c r="M164" s="14" t="s">
        <v>1415</v>
      </c>
      <c r="N164" s="14" t="s">
        <v>70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2</v>
      </c>
      <c r="Z164" s="15" t="n">
        <f aca="false">IF(X164=0,"",X164-Y164)</f>
        <v>1</v>
      </c>
      <c r="AA164" s="21" t="n">
        <f aca="false">IFERROR(Y164/X164,"")</f>
        <v>0.666666666666667</v>
      </c>
      <c r="AB164" s="15" t="n">
        <v>0</v>
      </c>
      <c r="AC164" s="22" t="n">
        <f aca="false">AB164*(1+$L$3)</f>
        <v>0</v>
      </c>
      <c r="AD164" s="20"/>
      <c r="AE164" s="23" t="n">
        <f aca="false">AC164-AD164</f>
        <v>0</v>
      </c>
      <c r="AF164" s="21" t="str">
        <f aca="false">IFERROR(AD164/AC164,"")</f>
        <v/>
      </c>
    </row>
    <row r="165" customFormat="false" ht="15" hidden="false" customHeight="true" outlineLevel="0" collapsed="false">
      <c r="A165" s="14" t="n">
        <v>631829</v>
      </c>
      <c r="B165" s="14" t="n">
        <v>478318</v>
      </c>
      <c r="C165" s="14" t="s">
        <v>1416</v>
      </c>
      <c r="D165" s="14" t="s">
        <v>1417</v>
      </c>
      <c r="E165" s="14" t="s">
        <v>1418</v>
      </c>
      <c r="F165" s="14" t="s">
        <v>1419</v>
      </c>
      <c r="G165" s="14" t="s">
        <v>1420</v>
      </c>
      <c r="H165" s="14" t="s">
        <v>1421</v>
      </c>
      <c r="I165" s="14" t="s">
        <v>1422</v>
      </c>
      <c r="J165" s="14" t="s">
        <v>1423</v>
      </c>
      <c r="K165" s="14" t="s">
        <v>67</v>
      </c>
      <c r="L165" s="14" t="s">
        <v>1424</v>
      </c>
      <c r="M165" s="14" t="s">
        <v>1425</v>
      </c>
      <c r="N165" s="14" t="s">
        <v>70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1</v>
      </c>
      <c r="Z165" s="15" t="n">
        <f aca="false">IF(X165=0,"",X165-Y165)</f>
        <v>2</v>
      </c>
      <c r="AA165" s="21" t="n">
        <f aca="false">IFERROR(Y165/X165,"")</f>
        <v>0.333333333333333</v>
      </c>
      <c r="AB165" s="15" t="n">
        <v>5</v>
      </c>
      <c r="AC165" s="22" t="n">
        <f aca="false">AB165*(1+$L$3)</f>
        <v>5.6</v>
      </c>
      <c r="AD165" s="20"/>
      <c r="AE165" s="23" t="n">
        <f aca="false">AC165-AD165</f>
        <v>5.6</v>
      </c>
      <c r="AF165" s="21" t="n">
        <f aca="false">IFERROR(AD165/AC165,"")</f>
        <v>0</v>
      </c>
    </row>
    <row r="166" customFormat="false" ht="15" hidden="false" customHeight="true" outlineLevel="0" collapsed="false">
      <c r="A166" s="14" t="n">
        <v>635909</v>
      </c>
      <c r="B166" s="14" t="n">
        <v>482368</v>
      </c>
      <c r="C166" s="14" t="s">
        <v>1426</v>
      </c>
      <c r="D166" s="14" t="s">
        <v>1427</v>
      </c>
      <c r="E166" s="14" t="s">
        <v>1428</v>
      </c>
      <c r="F166" s="14" t="s">
        <v>1429</v>
      </c>
      <c r="G166" s="14" t="s">
        <v>1430</v>
      </c>
      <c r="H166" s="14" t="s">
        <v>1431</v>
      </c>
      <c r="I166" s="14"/>
      <c r="J166" s="14" t="s">
        <v>566</v>
      </c>
      <c r="K166" s="14" t="s">
        <v>48</v>
      </c>
      <c r="L166" s="14" t="s">
        <v>1432</v>
      </c>
      <c r="M166" s="14" t="s">
        <v>1433</v>
      </c>
      <c r="N166" s="14" t="s">
        <v>70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/>
      <c r="Z166" s="15" t="n">
        <f aca="false">IF(X166=0,"",X166-Y166)</f>
        <v>3</v>
      </c>
      <c r="AA166" s="21" t="n">
        <f aca="false">IFERROR(Y166/X166,"")</f>
        <v>0</v>
      </c>
      <c r="AB166" s="15" t="n">
        <v>0</v>
      </c>
      <c r="AC166" s="22" t="n">
        <f aca="false">AB166*(1+$L$3)</f>
        <v>0</v>
      </c>
      <c r="AD166" s="20"/>
      <c r="AE166" s="23" t="n">
        <f aca="false">AC166-AD166</f>
        <v>0</v>
      </c>
      <c r="AF166" s="21" t="str">
        <f aca="false">IFERROR(AD166/AC166,"")</f>
        <v/>
      </c>
    </row>
    <row r="167" customFormat="false" ht="15" hidden="false" customHeight="true" outlineLevel="0" collapsed="false">
      <c r="A167" s="14" t="n">
        <v>605869</v>
      </c>
      <c r="B167" s="14" t="n">
        <v>455629</v>
      </c>
      <c r="C167" s="14" t="s">
        <v>1434</v>
      </c>
      <c r="D167" s="14" t="s">
        <v>1435</v>
      </c>
      <c r="E167" s="14" t="s">
        <v>1436</v>
      </c>
      <c r="F167" s="14" t="s">
        <v>1437</v>
      </c>
      <c r="G167" s="14" t="s">
        <v>1438</v>
      </c>
      <c r="H167" s="14" t="s">
        <v>1439</v>
      </c>
      <c r="I167" s="14"/>
      <c r="J167" s="14" t="s">
        <v>638</v>
      </c>
      <c r="K167" s="14" t="s">
        <v>67</v>
      </c>
      <c r="L167" s="14" t="s">
        <v>1440</v>
      </c>
      <c r="M167" s="14" t="s">
        <v>1441</v>
      </c>
      <c r="N167" s="14" t="s">
        <v>70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2" t="n">
        <f aca="false">AB167*(1+$L$3)</f>
        <v>0</v>
      </c>
      <c r="AD167" s="20"/>
      <c r="AE167" s="23" t="n">
        <f aca="false">AC167-AD167</f>
        <v>0</v>
      </c>
      <c r="AF167" s="21" t="str">
        <f aca="false">IFERROR(AD167/AC167,"")</f>
        <v/>
      </c>
    </row>
    <row r="168" customFormat="false" ht="15" hidden="false" customHeight="true" outlineLevel="0" collapsed="false">
      <c r="A168" s="14" t="n">
        <v>608673</v>
      </c>
      <c r="B168" s="14" t="n">
        <v>458243</v>
      </c>
      <c r="C168" s="14" t="s">
        <v>1442</v>
      </c>
      <c r="D168" s="14" t="s">
        <v>1443</v>
      </c>
      <c r="E168" s="14" t="s">
        <v>1444</v>
      </c>
      <c r="F168" s="14" t="s">
        <v>1445</v>
      </c>
      <c r="G168" s="14" t="s">
        <v>1446</v>
      </c>
      <c r="H168" s="14" t="s">
        <v>1447</v>
      </c>
      <c r="I168" s="14"/>
      <c r="J168" s="14" t="s">
        <v>1448</v>
      </c>
      <c r="K168" s="14" t="s">
        <v>709</v>
      </c>
      <c r="L168" s="14" t="s">
        <v>1449</v>
      </c>
      <c r="M168" s="14" t="s">
        <v>1450</v>
      </c>
      <c r="N168" s="14" t="s">
        <v>70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 t="n">
        <v>1</v>
      </c>
      <c r="Z168" s="15" t="n">
        <f aca="false">IF(X168=0,"",X168-Y168)</f>
        <v>2</v>
      </c>
      <c r="AA168" s="21" t="n">
        <f aca="false">IFERROR(Y168/X168,"")</f>
        <v>0.333333333333333</v>
      </c>
      <c r="AB168" s="15" t="n">
        <v>0</v>
      </c>
      <c r="AC168" s="22" t="n">
        <f aca="false">AB168*(1+$L$3)</f>
        <v>0</v>
      </c>
      <c r="AD168" s="20"/>
      <c r="AE168" s="23" t="n">
        <f aca="false">AC168-AD168</f>
        <v>0</v>
      </c>
      <c r="AF168" s="21" t="str">
        <f aca="false">IFERROR(AD168/AC168,"")</f>
        <v/>
      </c>
    </row>
    <row r="169" customFormat="false" ht="15" hidden="false" customHeight="true" outlineLevel="0" collapsed="false">
      <c r="A169" s="14" t="n">
        <v>603388</v>
      </c>
      <c r="B169" s="14" t="n">
        <v>453223</v>
      </c>
      <c r="C169" s="14" t="s">
        <v>1451</v>
      </c>
      <c r="D169" s="14" t="s">
        <v>1452</v>
      </c>
      <c r="E169" s="14" t="s">
        <v>1453</v>
      </c>
      <c r="F169" s="14" t="s">
        <v>1454</v>
      </c>
      <c r="G169" s="14" t="s">
        <v>1455</v>
      </c>
      <c r="H169" s="14" t="s">
        <v>1456</v>
      </c>
      <c r="I169" s="14" t="s">
        <v>1457</v>
      </c>
      <c r="J169" s="14" t="s">
        <v>1458</v>
      </c>
      <c r="K169" s="14" t="s">
        <v>1026</v>
      </c>
      <c r="L169" s="14" t="s">
        <v>1459</v>
      </c>
      <c r="M169" s="14" t="s">
        <v>1460</v>
      </c>
      <c r="N169" s="14" t="s">
        <v>70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2" t="n">
        <f aca="false">AB169*(1+$L$3)</f>
        <v>0</v>
      </c>
      <c r="AD169" s="20"/>
      <c r="AE169" s="23" t="n">
        <f aca="false">AC169-AD169</f>
        <v>0</v>
      </c>
      <c r="AF169" s="21" t="str">
        <f aca="false">IFERROR(AD169/AC169,"")</f>
        <v/>
      </c>
    </row>
    <row r="170" customFormat="false" ht="15" hidden="false" customHeight="true" outlineLevel="0" collapsed="false">
      <c r="A170" s="14" t="n">
        <v>659327</v>
      </c>
      <c r="B170" s="14" t="n">
        <v>500323</v>
      </c>
      <c r="C170" s="14" t="s">
        <v>1461</v>
      </c>
      <c r="D170" s="14" t="s">
        <v>1462</v>
      </c>
      <c r="E170" s="14" t="s">
        <v>1463</v>
      </c>
      <c r="F170" s="14" t="s">
        <v>1464</v>
      </c>
      <c r="G170" s="14" t="s">
        <v>1465</v>
      </c>
      <c r="H170" s="14" t="s">
        <v>1466</v>
      </c>
      <c r="I170" s="14"/>
      <c r="J170" s="14" t="s">
        <v>1467</v>
      </c>
      <c r="K170" s="14" t="s">
        <v>48</v>
      </c>
      <c r="L170" s="14" t="s">
        <v>1468</v>
      </c>
      <c r="M170" s="14" t="s">
        <v>1469</v>
      </c>
      <c r="N170" s="14" t="s">
        <v>70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 t="n">
        <v>1</v>
      </c>
      <c r="Z170" s="15" t="n">
        <f aca="false">IF(X170=0,"",X170-Y170)</f>
        <v>2</v>
      </c>
      <c r="AA170" s="21" t="n">
        <f aca="false">IFERROR(Y170/X170,"")</f>
        <v>0.333333333333333</v>
      </c>
      <c r="AB170" s="15" t="n">
        <v>0</v>
      </c>
      <c r="AC170" s="22" t="n">
        <f aca="false">AB170*(1+$L$3)</f>
        <v>0</v>
      </c>
      <c r="AD170" s="20"/>
      <c r="AE170" s="23" t="n">
        <f aca="false">AC170-AD170</f>
        <v>0</v>
      </c>
      <c r="AF170" s="21" t="str">
        <f aca="false">IFERROR(AD170/AC170,"")</f>
        <v/>
      </c>
    </row>
    <row r="171" customFormat="false" ht="15" hidden="false" customHeight="true" outlineLevel="0" collapsed="false">
      <c r="A171" s="14" t="n">
        <v>651558</v>
      </c>
      <c r="B171" s="14" t="n">
        <v>492813</v>
      </c>
      <c r="C171" s="14" t="s">
        <v>1470</v>
      </c>
      <c r="D171" s="14" t="s">
        <v>1471</v>
      </c>
      <c r="E171" s="14" t="s">
        <v>1472</v>
      </c>
      <c r="F171" s="14" t="s">
        <v>1473</v>
      </c>
      <c r="G171" s="14" t="s">
        <v>1474</v>
      </c>
      <c r="H171" s="14" t="s">
        <v>1475</v>
      </c>
      <c r="I171" s="14" t="s">
        <v>1476</v>
      </c>
      <c r="J171" s="14" t="s">
        <v>1477</v>
      </c>
      <c r="K171" s="14" t="s">
        <v>307</v>
      </c>
      <c r="L171" s="14" t="s">
        <v>1478</v>
      </c>
      <c r="M171" s="14" t="s">
        <v>1479</v>
      </c>
      <c r="N171" s="14" t="s">
        <v>70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2" t="n">
        <f aca="false">AB171*(1+$L$3)</f>
        <v>0</v>
      </c>
      <c r="AD171" s="20"/>
      <c r="AE171" s="23" t="n">
        <f aca="false">AC171-AD171</f>
        <v>0</v>
      </c>
      <c r="AF171" s="21" t="str">
        <f aca="false">IFERROR(AD171/AC171,"")</f>
        <v/>
      </c>
    </row>
    <row r="172" customFormat="false" ht="15" hidden="false" customHeight="true" outlineLevel="0" collapsed="false">
      <c r="A172" s="14" t="n">
        <v>659577</v>
      </c>
      <c r="B172" s="14" t="n">
        <v>500583</v>
      </c>
      <c r="C172" s="14" t="s">
        <v>1480</v>
      </c>
      <c r="D172" s="14" t="s">
        <v>1481</v>
      </c>
      <c r="E172" s="14" t="s">
        <v>1482</v>
      </c>
      <c r="F172" s="14" t="s">
        <v>1483</v>
      </c>
      <c r="G172" s="14" t="s">
        <v>1484</v>
      </c>
      <c r="H172" s="14" t="s">
        <v>1485</v>
      </c>
      <c r="I172" s="14"/>
      <c r="J172" s="14" t="s">
        <v>1486</v>
      </c>
      <c r="K172" s="14" t="s">
        <v>307</v>
      </c>
      <c r="L172" s="14" t="s">
        <v>1487</v>
      </c>
      <c r="M172" s="14" t="s">
        <v>1488</v>
      </c>
      <c r="N172" s="14" t="s">
        <v>70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2" t="n">
        <f aca="false">AB172*(1+$L$3)</f>
        <v>0</v>
      </c>
      <c r="AD172" s="20"/>
      <c r="AE172" s="23" t="n">
        <f aca="false">AC172-AD172</f>
        <v>0</v>
      </c>
      <c r="AF172" s="21" t="str">
        <f aca="false">IFERROR(AD172/AC172,"")</f>
        <v/>
      </c>
    </row>
    <row r="173" customFormat="false" ht="15" hidden="false" customHeight="true" outlineLevel="0" collapsed="false">
      <c r="A173" s="14" t="n">
        <v>658626</v>
      </c>
      <c r="B173" s="14" t="n">
        <v>499634</v>
      </c>
      <c r="C173" s="14" t="s">
        <v>1489</v>
      </c>
      <c r="D173" s="14" t="s">
        <v>1490</v>
      </c>
      <c r="E173" s="14" t="s">
        <v>1491</v>
      </c>
      <c r="F173" s="14" t="s">
        <v>1492</v>
      </c>
      <c r="G173" s="14" t="s">
        <v>1493</v>
      </c>
      <c r="H173" s="14" t="s">
        <v>1494</v>
      </c>
      <c r="I173" s="14"/>
      <c r="J173" s="14" t="s">
        <v>556</v>
      </c>
      <c r="K173" s="14" t="s">
        <v>557</v>
      </c>
      <c r="L173" s="14" t="s">
        <v>1495</v>
      </c>
      <c r="M173" s="14" t="s">
        <v>1496</v>
      </c>
      <c r="N173" s="14" t="s">
        <v>70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2" t="n">
        <f aca="false">AB173*(1+$L$3)</f>
        <v>0</v>
      </c>
      <c r="AD173" s="20"/>
      <c r="AE173" s="23" t="n">
        <f aca="false">AC173-AD173</f>
        <v>0</v>
      </c>
      <c r="AF173" s="21" t="str">
        <f aca="false">IFERROR(AD173/AC173,"")</f>
        <v/>
      </c>
    </row>
    <row r="174" customFormat="false" ht="15" hidden="false" customHeight="true" outlineLevel="0" collapsed="false">
      <c r="A174" s="14" t="n">
        <v>657878</v>
      </c>
      <c r="B174" s="14" t="n">
        <v>498882</v>
      </c>
      <c r="C174" s="14" t="s">
        <v>1497</v>
      </c>
      <c r="D174" s="14" t="s">
        <v>1498</v>
      </c>
      <c r="E174" s="14" t="s">
        <v>1499</v>
      </c>
      <c r="F174" s="14" t="s">
        <v>1500</v>
      </c>
      <c r="G174" s="14" t="s">
        <v>1501</v>
      </c>
      <c r="H174" s="14" t="s">
        <v>1502</v>
      </c>
      <c r="I174" s="14"/>
      <c r="J174" s="14" t="s">
        <v>556</v>
      </c>
      <c r="K174" s="14" t="s">
        <v>557</v>
      </c>
      <c r="L174" s="14" t="s">
        <v>1503</v>
      </c>
      <c r="M174" s="14" t="s">
        <v>1504</v>
      </c>
      <c r="N174" s="14" t="s">
        <v>70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 t="n">
        <v>2</v>
      </c>
      <c r="Z174" s="15" t="n">
        <f aca="false">IF(X174=0,"",X174-Y174)</f>
        <v>1</v>
      </c>
      <c r="AA174" s="21" t="n">
        <f aca="false">IFERROR(Y174/X174,"")</f>
        <v>0.666666666666667</v>
      </c>
      <c r="AB174" s="15" t="n">
        <v>0</v>
      </c>
      <c r="AC174" s="22" t="n">
        <f aca="false">AB174*(1+$L$3)</f>
        <v>0</v>
      </c>
      <c r="AD174" s="20"/>
      <c r="AE174" s="23" t="n">
        <f aca="false">AC174-AD174</f>
        <v>0</v>
      </c>
      <c r="AF174" s="21" t="str">
        <f aca="false">IFERROR(AD174/AC174,"")</f>
        <v/>
      </c>
    </row>
    <row r="175" customFormat="false" ht="15" hidden="false" customHeight="true" outlineLevel="0" collapsed="false">
      <c r="A175" s="14" t="n">
        <v>634645</v>
      </c>
      <c r="B175" s="14" t="n">
        <v>481132</v>
      </c>
      <c r="C175" s="14" t="s">
        <v>1505</v>
      </c>
      <c r="D175" s="14" t="s">
        <v>1506</v>
      </c>
      <c r="E175" s="14" t="s">
        <v>1507</v>
      </c>
      <c r="F175" s="14" t="s">
        <v>1508</v>
      </c>
      <c r="G175" s="14" t="s">
        <v>1509</v>
      </c>
      <c r="H175" s="14" t="s">
        <v>1510</v>
      </c>
      <c r="I175" s="14"/>
      <c r="J175" s="14" t="s">
        <v>1511</v>
      </c>
      <c r="K175" s="14" t="s">
        <v>335</v>
      </c>
      <c r="L175" s="14" t="s">
        <v>1512</v>
      </c>
      <c r="M175" s="14" t="s">
        <v>1513</v>
      </c>
      <c r="N175" s="14" t="s">
        <v>70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1</v>
      </c>
      <c r="Z175" s="15" t="n">
        <f aca="false">IF(X175=0,"",X175-Y175)</f>
        <v>2</v>
      </c>
      <c r="AA175" s="21" t="n">
        <f aca="false">IFERROR(Y175/X175,"")</f>
        <v>0.333333333333333</v>
      </c>
      <c r="AB175" s="15" t="n">
        <v>0</v>
      </c>
      <c r="AC175" s="22" t="n">
        <f aca="false">AB175*(1+$L$3)</f>
        <v>0</v>
      </c>
      <c r="AD175" s="20"/>
      <c r="AE175" s="23" t="n">
        <f aca="false">AC175-AD175</f>
        <v>0</v>
      </c>
      <c r="AF175" s="21" t="str">
        <f aca="false">IFERROR(AD175/AC175,"")</f>
        <v/>
      </c>
    </row>
    <row r="176" customFormat="false" ht="15" hidden="false" customHeight="true" outlineLevel="0" collapsed="false">
      <c r="A176" s="14" t="n">
        <v>660991</v>
      </c>
      <c r="B176" s="14" t="n">
        <v>502005</v>
      </c>
      <c r="C176" s="14" t="s">
        <v>1514</v>
      </c>
      <c r="D176" s="14" t="s">
        <v>1515</v>
      </c>
      <c r="E176" s="14" t="s">
        <v>1516</v>
      </c>
      <c r="F176" s="14"/>
      <c r="G176" s="14" t="s">
        <v>1517</v>
      </c>
      <c r="H176" s="14" t="s">
        <v>1518</v>
      </c>
      <c r="I176" s="14"/>
      <c r="J176" s="14" t="s">
        <v>1519</v>
      </c>
      <c r="K176" s="14" t="s">
        <v>604</v>
      </c>
      <c r="L176" s="14" t="s">
        <v>1520</v>
      </c>
      <c r="M176" s="14" t="s">
        <v>1521</v>
      </c>
      <c r="N176" s="14" t="s">
        <v>70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/>
      <c r="Z176" s="15" t="n">
        <f aca="false">IF(X176=0,"",X176-Y176)</f>
        <v>3</v>
      </c>
      <c r="AA176" s="21" t="n">
        <f aca="false">IFERROR(Y176/X176,"")</f>
        <v>0</v>
      </c>
      <c r="AB176" s="15" t="n">
        <v>0</v>
      </c>
      <c r="AC176" s="22" t="n">
        <f aca="false">AB176*(1+$L$3)</f>
        <v>0</v>
      </c>
      <c r="AD176" s="20"/>
      <c r="AE176" s="23" t="n">
        <f aca="false">AC176-AD176</f>
        <v>0</v>
      </c>
      <c r="AF176" s="21" t="str">
        <f aca="false">IFERROR(AD176/AC176,"")</f>
        <v/>
      </c>
    </row>
    <row r="177" customFormat="false" ht="15" hidden="false" customHeight="true" outlineLevel="0" collapsed="false">
      <c r="A177" s="14" t="n">
        <v>660630</v>
      </c>
      <c r="B177" s="14" t="n">
        <v>501640</v>
      </c>
      <c r="C177" s="14" t="s">
        <v>1522</v>
      </c>
      <c r="D177" s="14" t="s">
        <v>1523</v>
      </c>
      <c r="E177" s="14" t="s">
        <v>1524</v>
      </c>
      <c r="F177" s="14" t="s">
        <v>1525</v>
      </c>
      <c r="G177" s="14" t="s">
        <v>1526</v>
      </c>
      <c r="H177" s="14" t="s">
        <v>1527</v>
      </c>
      <c r="I177" s="14" t="s">
        <v>276</v>
      </c>
      <c r="J177" s="14" t="s">
        <v>1528</v>
      </c>
      <c r="K177" s="14" t="s">
        <v>1160</v>
      </c>
      <c r="L177" s="14" t="s">
        <v>1529</v>
      </c>
      <c r="M177" s="14" t="s">
        <v>1530</v>
      </c>
      <c r="N177" s="14" t="s">
        <v>70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2" t="n">
        <f aca="false">AB177*(1+$L$3)</f>
        <v>0</v>
      </c>
      <c r="AD177" s="20"/>
      <c r="AE177" s="23" t="n">
        <f aca="false">AC177-AD177</f>
        <v>0</v>
      </c>
      <c r="AF177" s="21" t="str">
        <f aca="false">IFERROR(AD177/AC177,"")</f>
        <v/>
      </c>
    </row>
    <row r="178" customFormat="false" ht="15" hidden="false" customHeight="true" outlineLevel="0" collapsed="false">
      <c r="A178" s="14" t="n">
        <v>659496</v>
      </c>
      <c r="B178" s="14" t="n">
        <v>500501</v>
      </c>
      <c r="C178" s="14" t="s">
        <v>1531</v>
      </c>
      <c r="D178" s="14" t="s">
        <v>1532</v>
      </c>
      <c r="E178" s="14" t="s">
        <v>1533</v>
      </c>
      <c r="F178" s="14" t="s">
        <v>1534</v>
      </c>
      <c r="G178" s="14" t="s">
        <v>1535</v>
      </c>
      <c r="H178" s="14" t="s">
        <v>1536</v>
      </c>
      <c r="I178" s="14"/>
      <c r="J178" s="14" t="s">
        <v>306</v>
      </c>
      <c r="K178" s="14" t="s">
        <v>307</v>
      </c>
      <c r="L178" s="14" t="s">
        <v>308</v>
      </c>
      <c r="M178" s="14" t="s">
        <v>1537</v>
      </c>
      <c r="N178" s="14" t="s">
        <v>70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2" t="n">
        <f aca="false">AB178*(1+$L$3)</f>
        <v>0</v>
      </c>
      <c r="AD178" s="20"/>
      <c r="AE178" s="23" t="n">
        <f aca="false">AC178-AD178</f>
        <v>0</v>
      </c>
      <c r="AF178" s="21" t="str">
        <f aca="false">IFERROR(AD178/AC178,"")</f>
        <v/>
      </c>
    </row>
    <row r="179" customFormat="false" ht="15" hidden="false" customHeight="true" outlineLevel="0" collapsed="false">
      <c r="A179" s="14" t="n">
        <v>657824</v>
      </c>
      <c r="B179" s="14" t="n">
        <v>498829</v>
      </c>
      <c r="C179" s="14" t="s">
        <v>1538</v>
      </c>
      <c r="D179" s="14" t="s">
        <v>1539</v>
      </c>
      <c r="E179" s="14" t="s">
        <v>1540</v>
      </c>
      <c r="F179" s="14" t="s">
        <v>1541</v>
      </c>
      <c r="G179" s="14" t="s">
        <v>1542</v>
      </c>
      <c r="H179" s="14" t="s">
        <v>1543</v>
      </c>
      <c r="I179" s="14"/>
      <c r="J179" s="14" t="s">
        <v>1544</v>
      </c>
      <c r="K179" s="14" t="s">
        <v>1545</v>
      </c>
      <c r="L179" s="14" t="s">
        <v>1546</v>
      </c>
      <c r="M179" s="14" t="s">
        <v>1547</v>
      </c>
      <c r="N179" s="14" t="s">
        <v>70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3</v>
      </c>
      <c r="Z179" s="15" t="n">
        <f aca="false">IF(X179=0,"",X179-Y179)</f>
        <v>0</v>
      </c>
      <c r="AA179" s="21" t="n">
        <f aca="false">IFERROR(Y179/X179,"")</f>
        <v>1</v>
      </c>
      <c r="AB179" s="15" t="n">
        <v>1</v>
      </c>
      <c r="AC179" s="22" t="n">
        <f aca="false">AB179*(1+$L$3)</f>
        <v>1.12</v>
      </c>
      <c r="AD179" s="20"/>
      <c r="AE179" s="23" t="n">
        <f aca="false">AC179-AD179</f>
        <v>1.12</v>
      </c>
      <c r="AF179" s="21" t="n">
        <f aca="false">IFERROR(AD179/AC179,"")</f>
        <v>0</v>
      </c>
    </row>
    <row r="180" customFormat="false" ht="15" hidden="false" customHeight="true" outlineLevel="0" collapsed="false">
      <c r="A180" s="14" t="n">
        <v>657226</v>
      </c>
      <c r="B180" s="14" t="n">
        <v>498258</v>
      </c>
      <c r="C180" s="14" t="s">
        <v>1548</v>
      </c>
      <c r="D180" s="14" t="s">
        <v>1549</v>
      </c>
      <c r="E180" s="14" t="s">
        <v>1550</v>
      </c>
      <c r="F180" s="14" t="s">
        <v>1551</v>
      </c>
      <c r="G180" s="14" t="s">
        <v>1552</v>
      </c>
      <c r="H180" s="14" t="s">
        <v>1553</v>
      </c>
      <c r="I180" s="14"/>
      <c r="J180" s="14" t="s">
        <v>334</v>
      </c>
      <c r="K180" s="14" t="s">
        <v>335</v>
      </c>
      <c r="L180" s="14" t="s">
        <v>1554</v>
      </c>
      <c r="M180" s="14" t="s">
        <v>1555</v>
      </c>
      <c r="N180" s="14" t="s">
        <v>70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2" t="n">
        <f aca="false">AB180*(1+$L$3)</f>
        <v>0</v>
      </c>
      <c r="AD180" s="20"/>
      <c r="AE180" s="23" t="n">
        <f aca="false">AC180-AD180</f>
        <v>0</v>
      </c>
      <c r="AF180" s="21" t="str">
        <f aca="false">IFERROR(AD180/AC180,"")</f>
        <v/>
      </c>
    </row>
    <row r="181" customFormat="false" ht="15" hidden="false" customHeight="true" outlineLevel="0" collapsed="false">
      <c r="A181" s="14" t="n">
        <v>655457</v>
      </c>
      <c r="B181" s="14" t="n">
        <v>496597</v>
      </c>
      <c r="C181" s="14" t="s">
        <v>1556</v>
      </c>
      <c r="D181" s="14" t="s">
        <v>1557</v>
      </c>
      <c r="E181" s="14" t="s">
        <v>1558</v>
      </c>
      <c r="F181" s="14" t="s">
        <v>1559</v>
      </c>
      <c r="G181" s="14" t="s">
        <v>1560</v>
      </c>
      <c r="H181" s="14" t="s">
        <v>1561</v>
      </c>
      <c r="I181" s="14"/>
      <c r="J181" s="14" t="s">
        <v>306</v>
      </c>
      <c r="K181" s="14" t="s">
        <v>307</v>
      </c>
      <c r="L181" s="14" t="s">
        <v>1562</v>
      </c>
      <c r="M181" s="14" t="s">
        <v>1563</v>
      </c>
      <c r="N181" s="14" t="s">
        <v>70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2" t="n">
        <f aca="false">AB181*(1+$L$3)</f>
        <v>0</v>
      </c>
      <c r="AD181" s="20"/>
      <c r="AE181" s="23" t="n">
        <f aca="false">AC181-AD181</f>
        <v>0</v>
      </c>
      <c r="AF181" s="21" t="str">
        <f aca="false">IFERROR(AD181/AC181,"")</f>
        <v/>
      </c>
    </row>
    <row r="182" customFormat="false" ht="15" hidden="false" customHeight="true" outlineLevel="0" collapsed="false">
      <c r="A182" s="14" t="n">
        <v>652661</v>
      </c>
      <c r="B182" s="14" t="n">
        <v>493814</v>
      </c>
      <c r="C182" s="14" t="s">
        <v>1564</v>
      </c>
      <c r="D182" s="14" t="s">
        <v>1565</v>
      </c>
      <c r="E182" s="14" t="s">
        <v>1058</v>
      </c>
      <c r="F182" s="14" t="s">
        <v>1566</v>
      </c>
      <c r="G182" s="14" t="s">
        <v>1567</v>
      </c>
      <c r="H182" s="14" t="s">
        <v>1568</v>
      </c>
      <c r="I182" s="14" t="s">
        <v>1569</v>
      </c>
      <c r="J182" s="14" t="s">
        <v>1570</v>
      </c>
      <c r="K182" s="14" t="s">
        <v>307</v>
      </c>
      <c r="L182" s="14" t="s">
        <v>1571</v>
      </c>
      <c r="M182" s="14" t="s">
        <v>1572</v>
      </c>
      <c r="N182" s="14" t="s">
        <v>70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/>
      <c r="Z182" s="15" t="n">
        <f aca="false">IF(X182=0,"",X182-Y182)</f>
        <v>3</v>
      </c>
      <c r="AA182" s="21" t="n">
        <f aca="false">IFERROR(Y182/X182,"")</f>
        <v>0</v>
      </c>
      <c r="AB182" s="15" t="n">
        <v>0</v>
      </c>
      <c r="AC182" s="22" t="n">
        <f aca="false">AB182*(1+$L$3)</f>
        <v>0</v>
      </c>
      <c r="AD182" s="20"/>
      <c r="AE182" s="23" t="n">
        <f aca="false">AC182-AD182</f>
        <v>0</v>
      </c>
      <c r="AF182" s="21" t="str">
        <f aca="false">IFERROR(AD182/AC182,"")</f>
        <v/>
      </c>
    </row>
    <row r="183" customFormat="false" ht="15" hidden="false" customHeight="true" outlineLevel="0" collapsed="false">
      <c r="A183" s="14" t="n">
        <v>647435</v>
      </c>
      <c r="B183" s="14" t="n">
        <v>488755</v>
      </c>
      <c r="C183" s="14" t="s">
        <v>1573</v>
      </c>
      <c r="D183" s="14" t="s">
        <v>1574</v>
      </c>
      <c r="E183" s="14" t="s">
        <v>1575</v>
      </c>
      <c r="F183" s="14" t="s">
        <v>1576</v>
      </c>
      <c r="G183" s="14" t="s">
        <v>1577</v>
      </c>
      <c r="H183" s="14" t="s">
        <v>1578</v>
      </c>
      <c r="I183" s="14"/>
      <c r="J183" s="14" t="s">
        <v>1579</v>
      </c>
      <c r="K183" s="14" t="s">
        <v>506</v>
      </c>
      <c r="L183" s="14" t="s">
        <v>1580</v>
      </c>
      <c r="M183" s="14" t="s">
        <v>1581</v>
      </c>
      <c r="N183" s="14" t="s">
        <v>70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2" t="n">
        <f aca="false">AB183*(1+$L$3)</f>
        <v>0</v>
      </c>
      <c r="AD183" s="20"/>
      <c r="AE183" s="23" t="n">
        <f aca="false">AC183-AD183</f>
        <v>0</v>
      </c>
      <c r="AF183" s="21" t="str">
        <f aca="false">IFERROR(AD183/AC183,"")</f>
        <v/>
      </c>
    </row>
    <row r="184" customFormat="false" ht="15" hidden="false" customHeight="true" outlineLevel="0" collapsed="false">
      <c r="A184" s="14" t="n">
        <v>644962</v>
      </c>
      <c r="B184" s="14" t="n">
        <v>486363</v>
      </c>
      <c r="C184" s="14" t="s">
        <v>1582</v>
      </c>
      <c r="D184" s="14" t="s">
        <v>1583</v>
      </c>
      <c r="E184" s="14" t="s">
        <v>1584</v>
      </c>
      <c r="F184" s="14" t="s">
        <v>1585</v>
      </c>
      <c r="G184" s="14" t="s">
        <v>1586</v>
      </c>
      <c r="H184" s="14" t="s">
        <v>1587</v>
      </c>
      <c r="I184" s="14"/>
      <c r="J184" s="14" t="s">
        <v>1588</v>
      </c>
      <c r="K184" s="14" t="s">
        <v>67</v>
      </c>
      <c r="L184" s="14" t="s">
        <v>1589</v>
      </c>
      <c r="M184" s="14" t="s">
        <v>1590</v>
      </c>
      <c r="N184" s="14" t="s">
        <v>70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1</v>
      </c>
      <c r="Z184" s="15" t="n">
        <f aca="false">IF(X184=0,"",X184-Y184)</f>
        <v>2</v>
      </c>
      <c r="AA184" s="21" t="n">
        <f aca="false">IFERROR(Y184/X184,"")</f>
        <v>0.333333333333333</v>
      </c>
      <c r="AB184" s="15" t="n">
        <v>0</v>
      </c>
      <c r="AC184" s="22" t="n">
        <f aca="false">AB184*(1+$L$3)</f>
        <v>0</v>
      </c>
      <c r="AD184" s="20"/>
      <c r="AE184" s="23" t="n">
        <f aca="false">AC184-AD184</f>
        <v>0</v>
      </c>
      <c r="AF184" s="21" t="str">
        <f aca="false">IFERROR(AD184/AC184,"")</f>
        <v/>
      </c>
    </row>
    <row r="185" customFormat="false" ht="15" hidden="false" customHeight="true" outlineLevel="0" collapsed="false">
      <c r="A185" s="14" t="n">
        <v>628243</v>
      </c>
      <c r="B185" s="14" t="n">
        <v>476561</v>
      </c>
      <c r="C185" s="14" t="s">
        <v>1591</v>
      </c>
      <c r="D185" s="14" t="s">
        <v>1592</v>
      </c>
      <c r="E185" s="14" t="s">
        <v>1593</v>
      </c>
      <c r="F185" s="14" t="s">
        <v>1594</v>
      </c>
      <c r="G185" s="14" t="s">
        <v>1595</v>
      </c>
      <c r="H185" s="14" t="s">
        <v>1596</v>
      </c>
      <c r="I185" s="14" t="s">
        <v>159</v>
      </c>
      <c r="J185" s="14" t="s">
        <v>1597</v>
      </c>
      <c r="K185" s="14" t="s">
        <v>1160</v>
      </c>
      <c r="L185" s="14" t="s">
        <v>1598</v>
      </c>
      <c r="M185" s="14" t="s">
        <v>1599</v>
      </c>
      <c r="N185" s="14" t="s">
        <v>70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2" t="n">
        <f aca="false">AB185*(1+$L$3)</f>
        <v>0</v>
      </c>
      <c r="AD185" s="20"/>
      <c r="AE185" s="23" t="n">
        <f aca="false">AC185-AD185</f>
        <v>0</v>
      </c>
      <c r="AF185" s="21" t="str">
        <f aca="false">IFERROR(AD185/AC185,"")</f>
        <v/>
      </c>
    </row>
    <row r="186" customFormat="false" ht="15" hidden="false" customHeight="true" outlineLevel="0" collapsed="false">
      <c r="A186" s="14" t="n">
        <v>628017</v>
      </c>
      <c r="B186" s="14" t="n">
        <v>476335</v>
      </c>
      <c r="C186" s="14" t="s">
        <v>1600</v>
      </c>
      <c r="D186" s="14" t="s">
        <v>1601</v>
      </c>
      <c r="E186" s="14" t="s">
        <v>1602</v>
      </c>
      <c r="F186" s="14" t="s">
        <v>1603</v>
      </c>
      <c r="G186" s="14" t="s">
        <v>1604</v>
      </c>
      <c r="H186" s="14" t="s">
        <v>1605</v>
      </c>
      <c r="I186" s="14"/>
      <c r="J186" s="14" t="s">
        <v>1606</v>
      </c>
      <c r="K186" s="14" t="s">
        <v>307</v>
      </c>
      <c r="L186" s="14" t="s">
        <v>1607</v>
      </c>
      <c r="M186" s="14" t="s">
        <v>1608</v>
      </c>
      <c r="N186" s="14" t="s">
        <v>70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2" t="n">
        <f aca="false">AB186*(1+$L$3)</f>
        <v>0</v>
      </c>
      <c r="AD186" s="20"/>
      <c r="AE186" s="23" t="n">
        <f aca="false">AC186-AD186</f>
        <v>0</v>
      </c>
      <c r="AF186" s="21" t="str">
        <f aca="false">IFERROR(AD186/AC186,"")</f>
        <v/>
      </c>
    </row>
    <row r="187" customFormat="false" ht="15" hidden="false" customHeight="true" outlineLevel="0" collapsed="false">
      <c r="A187" s="14" t="n">
        <v>626035</v>
      </c>
      <c r="B187" s="14" t="n">
        <v>474952</v>
      </c>
      <c r="C187" s="14" t="s">
        <v>1609</v>
      </c>
      <c r="D187" s="14" t="s">
        <v>1610</v>
      </c>
      <c r="E187" s="14" t="s">
        <v>1611</v>
      </c>
      <c r="F187" s="14" t="s">
        <v>1612</v>
      </c>
      <c r="G187" s="14" t="s">
        <v>1613</v>
      </c>
      <c r="H187" s="14" t="s">
        <v>1614</v>
      </c>
      <c r="I187" s="14"/>
      <c r="J187" s="14" t="s">
        <v>1615</v>
      </c>
      <c r="K187" s="14" t="s">
        <v>1616</v>
      </c>
      <c r="L187" s="14" t="s">
        <v>1617</v>
      </c>
      <c r="M187" s="14" t="s">
        <v>1618</v>
      </c>
      <c r="N187" s="14" t="s">
        <v>70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/>
      <c r="Z187" s="15" t="n">
        <f aca="false">IF(X187=0,"",X187-Y187)</f>
        <v>3</v>
      </c>
      <c r="AA187" s="21" t="n">
        <f aca="false">IFERROR(Y187/X187,"")</f>
        <v>0</v>
      </c>
      <c r="AB187" s="15" t="n">
        <v>0</v>
      </c>
      <c r="AC187" s="22" t="n">
        <f aca="false">AB187*(1+$L$3)</f>
        <v>0</v>
      </c>
      <c r="AD187" s="20"/>
      <c r="AE187" s="23" t="n">
        <f aca="false">AC187-AD187</f>
        <v>0</v>
      </c>
      <c r="AF187" s="21" t="str">
        <f aca="false">IFERROR(AD187/AC187,"")</f>
        <v/>
      </c>
    </row>
    <row r="188" customFormat="false" ht="15" hidden="false" customHeight="true" outlineLevel="0" collapsed="false">
      <c r="A188" s="14" t="n">
        <v>604891</v>
      </c>
      <c r="B188" s="14" t="n">
        <v>454706</v>
      </c>
      <c r="C188" s="14" t="s">
        <v>1619</v>
      </c>
      <c r="D188" s="14" t="s">
        <v>1620</v>
      </c>
      <c r="E188" s="14" t="s">
        <v>1621</v>
      </c>
      <c r="F188" s="14" t="s">
        <v>1622</v>
      </c>
      <c r="G188" s="14" t="s">
        <v>1623</v>
      </c>
      <c r="H188" s="14" t="s">
        <v>1624</v>
      </c>
      <c r="I188" s="14"/>
      <c r="J188" s="14" t="s">
        <v>638</v>
      </c>
      <c r="K188" s="14" t="s">
        <v>67</v>
      </c>
      <c r="L188" s="14" t="s">
        <v>1440</v>
      </c>
      <c r="M188" s="14" t="s">
        <v>1625</v>
      </c>
      <c r="N188" s="14" t="s">
        <v>70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/>
      <c r="Z188" s="15" t="n">
        <f aca="false">IF(X188=0,"",X188-Y188)</f>
        <v>3</v>
      </c>
      <c r="AA188" s="21" t="n">
        <f aca="false">IFERROR(Y188/X188,"")</f>
        <v>0</v>
      </c>
      <c r="AB188" s="15" t="n">
        <v>0</v>
      </c>
      <c r="AC188" s="22" t="n">
        <f aca="false">AB188*(1+$L$3)</f>
        <v>0</v>
      </c>
      <c r="AD188" s="20"/>
      <c r="AE188" s="23" t="n">
        <f aca="false">AC188-AD188</f>
        <v>0</v>
      </c>
      <c r="AF188" s="21" t="str">
        <f aca="false">IFERROR(AD188/AC188,"")</f>
        <v/>
      </c>
    </row>
    <row r="189" customFormat="false" ht="15" hidden="false" customHeight="true" outlineLevel="0" collapsed="false">
      <c r="A189" s="14" t="n">
        <v>608070</v>
      </c>
      <c r="B189" s="14" t="n">
        <v>457643</v>
      </c>
      <c r="C189" s="14" t="s">
        <v>1626</v>
      </c>
      <c r="D189" s="14" t="s">
        <v>1627</v>
      </c>
      <c r="E189" s="14" t="s">
        <v>1628</v>
      </c>
      <c r="F189" s="14" t="s">
        <v>1629</v>
      </c>
      <c r="G189" s="14" t="s">
        <v>1630</v>
      </c>
      <c r="H189" s="14" t="s">
        <v>1631</v>
      </c>
      <c r="I189" s="14" t="s">
        <v>1632</v>
      </c>
      <c r="J189" s="14" t="s">
        <v>1633</v>
      </c>
      <c r="K189" s="14" t="s">
        <v>67</v>
      </c>
      <c r="L189" s="14" t="s">
        <v>1634</v>
      </c>
      <c r="M189" s="14" t="s">
        <v>1635</v>
      </c>
      <c r="N189" s="14" t="s">
        <v>70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2" t="n">
        <f aca="false">AB189*(1+$L$3)</f>
        <v>0</v>
      </c>
      <c r="AD189" s="20"/>
      <c r="AE189" s="23" t="n">
        <f aca="false">AC189-AD189</f>
        <v>0</v>
      </c>
      <c r="AF189" s="21" t="str">
        <f aca="false">IFERROR(AD189/AC189,"")</f>
        <v/>
      </c>
    </row>
    <row r="190" customFormat="false" ht="15" hidden="false" customHeight="true" outlineLevel="0" collapsed="false">
      <c r="A190" s="14" t="n">
        <v>151634</v>
      </c>
      <c r="B190" s="14" t="n">
        <v>162872</v>
      </c>
      <c r="C190" s="14" t="s">
        <v>1636</v>
      </c>
      <c r="D190" s="14" t="s">
        <v>1637</v>
      </c>
      <c r="E190" s="14" t="s">
        <v>1638</v>
      </c>
      <c r="F190" s="14" t="s">
        <v>1639</v>
      </c>
      <c r="G190" s="14" t="s">
        <v>1640</v>
      </c>
      <c r="H190" s="14" t="s">
        <v>1641</v>
      </c>
      <c r="I190" s="14"/>
      <c r="J190" s="14" t="s">
        <v>1642</v>
      </c>
      <c r="K190" s="14" t="s">
        <v>464</v>
      </c>
      <c r="L190" s="14" t="s">
        <v>1643</v>
      </c>
      <c r="M190" s="14" t="s">
        <v>1644</v>
      </c>
      <c r="N190" s="14" t="s">
        <v>70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2" t="n">
        <f aca="false">AB190*(1+$L$3)</f>
        <v>0</v>
      </c>
      <c r="AD190" s="20"/>
      <c r="AE190" s="23" t="n">
        <f aca="false">AC190-AD190</f>
        <v>0</v>
      </c>
      <c r="AF190" s="21" t="str">
        <f aca="false">IFERROR(AD190/AC190,"")</f>
        <v/>
      </c>
    </row>
    <row r="191" customFormat="false" ht="15" hidden="false" customHeight="true" outlineLevel="0" collapsed="false">
      <c r="A191" s="14" t="n">
        <v>610652</v>
      </c>
      <c r="B191" s="14" t="n">
        <v>460154</v>
      </c>
      <c r="C191" s="14" t="s">
        <v>1645</v>
      </c>
      <c r="D191" s="14" t="s">
        <v>1646</v>
      </c>
      <c r="E191" s="14" t="s">
        <v>292</v>
      </c>
      <c r="F191" s="14" t="s">
        <v>1647</v>
      </c>
      <c r="G191" s="14" t="s">
        <v>294</v>
      </c>
      <c r="H191" s="14" t="s">
        <v>1648</v>
      </c>
      <c r="I191" s="14"/>
      <c r="J191" s="14" t="s">
        <v>1649</v>
      </c>
      <c r="K191" s="14" t="s">
        <v>67</v>
      </c>
      <c r="L191" s="14" t="s">
        <v>1650</v>
      </c>
      <c r="M191" s="14" t="s">
        <v>298</v>
      </c>
      <c r="N191" s="14" t="s">
        <v>70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2" t="n">
        <f aca="false">AB191*(1+$L$3)</f>
        <v>0</v>
      </c>
      <c r="AD191" s="20"/>
      <c r="AE191" s="23" t="n">
        <f aca="false">AC191-AD191</f>
        <v>0</v>
      </c>
      <c r="AF191" s="21" t="str">
        <f aca="false">IFERROR(AD191/AC191,"")</f>
        <v/>
      </c>
    </row>
    <row r="192" customFormat="false" ht="15" hidden="false" customHeight="true" outlineLevel="0" collapsed="false">
      <c r="A192" s="14" t="n">
        <v>657242</v>
      </c>
      <c r="B192" s="14" t="n">
        <v>498275</v>
      </c>
      <c r="C192" s="14" t="s">
        <v>1651</v>
      </c>
      <c r="D192" s="14" t="s">
        <v>1652</v>
      </c>
      <c r="E192" s="14" t="s">
        <v>1653</v>
      </c>
      <c r="F192" s="14" t="s">
        <v>1654</v>
      </c>
      <c r="G192" s="14" t="s">
        <v>1655</v>
      </c>
      <c r="H192" s="14" t="s">
        <v>1656</v>
      </c>
      <c r="I192" s="14"/>
      <c r="J192" s="14" t="s">
        <v>1657</v>
      </c>
      <c r="K192" s="14" t="s">
        <v>67</v>
      </c>
      <c r="L192" s="14" t="s">
        <v>1658</v>
      </c>
      <c r="M192" s="14" t="s">
        <v>1659</v>
      </c>
      <c r="N192" s="14" t="s">
        <v>70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2" t="n">
        <f aca="false">AB192*(1+$L$3)</f>
        <v>0</v>
      </c>
      <c r="AD192" s="20"/>
      <c r="AE192" s="23" t="n">
        <f aca="false">AC192-AD192</f>
        <v>0</v>
      </c>
      <c r="AF192" s="21" t="str">
        <f aca="false">IFERROR(AD192/AC192,"")</f>
        <v/>
      </c>
    </row>
    <row r="193" customFormat="false" ht="15" hidden="false" customHeight="true" outlineLevel="0" collapsed="false">
      <c r="A193" s="14" t="n">
        <v>652865</v>
      </c>
      <c r="B193" s="14" t="n">
        <v>494014</v>
      </c>
      <c r="C193" s="14" t="s">
        <v>1660</v>
      </c>
      <c r="D193" s="14" t="s">
        <v>1661</v>
      </c>
      <c r="E193" s="14" t="s">
        <v>1662</v>
      </c>
      <c r="F193" s="14" t="s">
        <v>1663</v>
      </c>
      <c r="G193" s="14" t="s">
        <v>1664</v>
      </c>
      <c r="H193" s="14" t="s">
        <v>1665</v>
      </c>
      <c r="I193" s="14"/>
      <c r="J193" s="14" t="s">
        <v>664</v>
      </c>
      <c r="K193" s="14" t="s">
        <v>604</v>
      </c>
      <c r="L193" s="14" t="s">
        <v>1666</v>
      </c>
      <c r="M193" s="14" t="s">
        <v>1667</v>
      </c>
      <c r="N193" s="14" t="s">
        <v>70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 t="n">
        <v>1</v>
      </c>
      <c r="Z193" s="15" t="n">
        <f aca="false">IF(X193=0,"",X193-Y193)</f>
        <v>1</v>
      </c>
      <c r="AA193" s="21" t="n">
        <f aca="false">IFERROR(Y193/X193,"")</f>
        <v>0.5</v>
      </c>
      <c r="AB193" s="15" t="n">
        <v>0</v>
      </c>
      <c r="AC193" s="22" t="n">
        <f aca="false">AB193*(1+$L$3)</f>
        <v>0</v>
      </c>
      <c r="AD193" s="20"/>
      <c r="AE193" s="23" t="n">
        <f aca="false">AC193-AD193</f>
        <v>0</v>
      </c>
      <c r="AF193" s="21" t="str">
        <f aca="false">IFERROR(AD193/AC193,"")</f>
        <v/>
      </c>
    </row>
    <row r="194" customFormat="false" ht="15" hidden="false" customHeight="true" outlineLevel="0" collapsed="false">
      <c r="A194" s="14" t="n">
        <v>651483</v>
      </c>
      <c r="B194" s="14" t="n">
        <v>492742</v>
      </c>
      <c r="C194" s="14" t="s">
        <v>1668</v>
      </c>
      <c r="D194" s="14" t="s">
        <v>1669</v>
      </c>
      <c r="E194" s="14" t="s">
        <v>1670</v>
      </c>
      <c r="F194" s="14" t="s">
        <v>1671</v>
      </c>
      <c r="G194" s="14" t="s">
        <v>1672</v>
      </c>
      <c r="H194" s="14" t="s">
        <v>1673</v>
      </c>
      <c r="I194" s="14" t="s">
        <v>1674</v>
      </c>
      <c r="J194" s="14" t="s">
        <v>1675</v>
      </c>
      <c r="K194" s="14" t="s">
        <v>67</v>
      </c>
      <c r="L194" s="14" t="s">
        <v>1676</v>
      </c>
      <c r="M194" s="14" t="s">
        <v>1677</v>
      </c>
      <c r="N194" s="14" t="s">
        <v>70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2" t="n">
        <f aca="false">AB194*(1+$L$3)</f>
        <v>0</v>
      </c>
      <c r="AD194" s="20"/>
      <c r="AE194" s="23" t="n">
        <f aca="false">AC194-AD194</f>
        <v>0</v>
      </c>
      <c r="AF194" s="21" t="str">
        <f aca="false">IFERROR(AD194/AC194,"")</f>
        <v/>
      </c>
    </row>
    <row r="195" customFormat="false" ht="15" hidden="false" customHeight="true" outlineLevel="0" collapsed="false">
      <c r="A195" s="14" t="n">
        <v>634252</v>
      </c>
      <c r="B195" s="14" t="n">
        <v>480744</v>
      </c>
      <c r="C195" s="14" t="s">
        <v>1678</v>
      </c>
      <c r="D195" s="14" t="s">
        <v>1679</v>
      </c>
      <c r="E195" s="14" t="s">
        <v>1680</v>
      </c>
      <c r="F195" s="14" t="s">
        <v>1681</v>
      </c>
      <c r="G195" s="14" t="s">
        <v>1682</v>
      </c>
      <c r="H195" s="14" t="s">
        <v>1683</v>
      </c>
      <c r="I195" s="14" t="s">
        <v>1684</v>
      </c>
      <c r="J195" s="14" t="s">
        <v>1685</v>
      </c>
      <c r="K195" s="14" t="s">
        <v>67</v>
      </c>
      <c r="L195" s="14" t="s">
        <v>1686</v>
      </c>
      <c r="M195" s="14" t="s">
        <v>1687</v>
      </c>
      <c r="N195" s="14" t="s">
        <v>70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2" t="n">
        <f aca="false">AB195*(1+$L$3)</f>
        <v>0</v>
      </c>
      <c r="AD195" s="20"/>
      <c r="AE195" s="23" t="n">
        <f aca="false">AC195-AD195</f>
        <v>0</v>
      </c>
      <c r="AF195" s="21" t="str">
        <f aca="false">IFERROR(AD195/AC195,"")</f>
        <v/>
      </c>
    </row>
    <row r="196" customFormat="false" ht="15" hidden="false" customHeight="true" outlineLevel="0" collapsed="false">
      <c r="A196" s="14" t="n">
        <v>608341</v>
      </c>
      <c r="B196" s="14" t="n">
        <v>457918</v>
      </c>
      <c r="C196" s="14" t="s">
        <v>1688</v>
      </c>
      <c r="D196" s="14" t="s">
        <v>1689</v>
      </c>
      <c r="E196" s="14" t="s">
        <v>1690</v>
      </c>
      <c r="F196" s="14" t="s">
        <v>1691</v>
      </c>
      <c r="G196" s="14" t="s">
        <v>1692</v>
      </c>
      <c r="H196" s="14" t="s">
        <v>1693</v>
      </c>
      <c r="I196" s="14"/>
      <c r="J196" s="14" t="s">
        <v>1694</v>
      </c>
      <c r="K196" s="14" t="s">
        <v>604</v>
      </c>
      <c r="L196" s="14" t="s">
        <v>1695</v>
      </c>
      <c r="M196" s="14" t="s">
        <v>1696</v>
      </c>
      <c r="N196" s="14" t="s">
        <v>70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 t="n">
        <v>2</v>
      </c>
      <c r="Z196" s="15" t="n">
        <f aca="false">IF(X196=0,"",X196-Y196)</f>
        <v>0</v>
      </c>
      <c r="AA196" s="21" t="n">
        <f aca="false">IFERROR(Y196/X196,"")</f>
        <v>1</v>
      </c>
      <c r="AB196" s="15" t="n">
        <v>0</v>
      </c>
      <c r="AC196" s="22" t="n">
        <f aca="false">AB196*(1+$L$3)</f>
        <v>0</v>
      </c>
      <c r="AD196" s="20"/>
      <c r="AE196" s="23" t="n">
        <f aca="false">AC196-AD196</f>
        <v>0</v>
      </c>
      <c r="AF196" s="21" t="str">
        <f aca="false">IFERROR(AD196/AC196,"")</f>
        <v/>
      </c>
    </row>
    <row r="197" customFormat="false" ht="15" hidden="false" customHeight="true" outlineLevel="0" collapsed="false">
      <c r="A197" s="14" t="n">
        <v>659367</v>
      </c>
      <c r="B197" s="14" t="n">
        <v>500362</v>
      </c>
      <c r="C197" s="14" t="s">
        <v>1697</v>
      </c>
      <c r="D197" s="14" t="s">
        <v>1698</v>
      </c>
      <c r="E197" s="14" t="s">
        <v>1699</v>
      </c>
      <c r="F197" s="14" t="s">
        <v>1700</v>
      </c>
      <c r="G197" s="14" t="s">
        <v>1701</v>
      </c>
      <c r="H197" s="14" t="s">
        <v>1702</v>
      </c>
      <c r="I197" s="14" t="s">
        <v>1703</v>
      </c>
      <c r="J197" s="14" t="s">
        <v>1704</v>
      </c>
      <c r="K197" s="14" t="s">
        <v>48</v>
      </c>
      <c r="L197" s="14" t="s">
        <v>1705</v>
      </c>
      <c r="M197" s="14" t="s">
        <v>1706</v>
      </c>
      <c r="N197" s="14" t="s">
        <v>70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2" t="n">
        <f aca="false">AB197*(1+$L$3)</f>
        <v>0</v>
      </c>
      <c r="AD197" s="20"/>
      <c r="AE197" s="23" t="n">
        <f aca="false">AC197-AD197</f>
        <v>0</v>
      </c>
      <c r="AF197" s="21" t="str">
        <f aca="false">IFERROR(AD197/AC197,"")</f>
        <v/>
      </c>
    </row>
    <row r="198" customFormat="false" ht="15" hidden="false" customHeight="true" outlineLevel="0" collapsed="false">
      <c r="A198" s="14" t="n">
        <v>658574</v>
      </c>
      <c r="B198" s="14" t="n">
        <v>499582</v>
      </c>
      <c r="C198" s="14" t="s">
        <v>1707</v>
      </c>
      <c r="D198" s="14" t="s">
        <v>1708</v>
      </c>
      <c r="E198" s="14" t="s">
        <v>1709</v>
      </c>
      <c r="F198" s="14" t="s">
        <v>1710</v>
      </c>
      <c r="G198" s="14" t="s">
        <v>1711</v>
      </c>
      <c r="H198" s="14" t="s">
        <v>1712</v>
      </c>
      <c r="I198" s="14" t="s">
        <v>1713</v>
      </c>
      <c r="J198" s="14" t="s">
        <v>1714</v>
      </c>
      <c r="K198" s="14" t="s">
        <v>1715</v>
      </c>
      <c r="L198" s="14" t="s">
        <v>1716</v>
      </c>
      <c r="M198" s="14" t="s">
        <v>1717</v>
      </c>
      <c r="N198" s="14" t="s">
        <v>70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 t="n">
        <v>1</v>
      </c>
      <c r="Z198" s="15" t="n">
        <f aca="false">IF(X198=0,"",X198-Y198)</f>
        <v>1</v>
      </c>
      <c r="AA198" s="21" t="n">
        <f aca="false">IFERROR(Y198/X198,"")</f>
        <v>0.5</v>
      </c>
      <c r="AB198" s="15" t="n">
        <v>0</v>
      </c>
      <c r="AC198" s="22" t="n">
        <f aca="false">AB198*(1+$L$3)</f>
        <v>0</v>
      </c>
      <c r="AD198" s="20"/>
      <c r="AE198" s="23" t="n">
        <f aca="false">AC198-AD198</f>
        <v>0</v>
      </c>
      <c r="AF198" s="21" t="str">
        <f aca="false">IFERROR(AD198/AC198,"")</f>
        <v/>
      </c>
    </row>
    <row r="199" customFormat="false" ht="15" hidden="false" customHeight="true" outlineLevel="0" collapsed="false">
      <c r="A199" s="14" t="n">
        <v>658268</v>
      </c>
      <c r="B199" s="14" t="n">
        <v>499282</v>
      </c>
      <c r="C199" s="14" t="s">
        <v>1718</v>
      </c>
      <c r="D199" s="14" t="s">
        <v>1719</v>
      </c>
      <c r="E199" s="14" t="s">
        <v>1720</v>
      </c>
      <c r="F199" s="14" t="s">
        <v>1721</v>
      </c>
      <c r="G199" s="14" t="s">
        <v>1722</v>
      </c>
      <c r="H199" s="14" t="s">
        <v>1723</v>
      </c>
      <c r="I199" s="14"/>
      <c r="J199" s="14" t="s">
        <v>1196</v>
      </c>
      <c r="K199" s="14" t="s">
        <v>67</v>
      </c>
      <c r="L199" s="14" t="s">
        <v>1724</v>
      </c>
      <c r="M199" s="14" t="s">
        <v>1725</v>
      </c>
      <c r="N199" s="14" t="s">
        <v>70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2" t="n">
        <f aca="false">AB199*(1+$L$3)</f>
        <v>0</v>
      </c>
      <c r="AD199" s="20"/>
      <c r="AE199" s="23" t="n">
        <f aca="false">AC199-AD199</f>
        <v>0</v>
      </c>
      <c r="AF199" s="21" t="str">
        <f aca="false">IFERROR(AD199/AC199,"")</f>
        <v/>
      </c>
    </row>
    <row r="200" customFormat="false" ht="15" hidden="false" customHeight="true" outlineLevel="0" collapsed="false">
      <c r="A200" s="14" t="n">
        <v>655152</v>
      </c>
      <c r="B200" s="14" t="n">
        <v>496302</v>
      </c>
      <c r="C200" s="14" t="s">
        <v>1726</v>
      </c>
      <c r="D200" s="14" t="s">
        <v>1727</v>
      </c>
      <c r="E200" s="14" t="s">
        <v>1728</v>
      </c>
      <c r="F200" s="14" t="s">
        <v>1729</v>
      </c>
      <c r="G200" s="14" t="s">
        <v>1730</v>
      </c>
      <c r="H200" s="14" t="s">
        <v>1731</v>
      </c>
      <c r="I200" s="14" t="s">
        <v>276</v>
      </c>
      <c r="J200" s="14" t="s">
        <v>1732</v>
      </c>
      <c r="K200" s="14" t="s">
        <v>506</v>
      </c>
      <c r="L200" s="14" t="s">
        <v>1733</v>
      </c>
      <c r="M200" s="14" t="s">
        <v>1734</v>
      </c>
      <c r="N200" s="14" t="s">
        <v>70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2" t="n">
        <f aca="false">AB200*(1+$L$3)</f>
        <v>0</v>
      </c>
      <c r="AD200" s="20"/>
      <c r="AE200" s="23" t="n">
        <f aca="false">AC200-AD200</f>
        <v>0</v>
      </c>
      <c r="AF200" s="21" t="str">
        <f aca="false">IFERROR(AD200/AC200,"")</f>
        <v/>
      </c>
    </row>
    <row r="201" customFormat="false" ht="15" hidden="false" customHeight="true" outlineLevel="0" collapsed="false">
      <c r="A201" s="14" t="n">
        <v>655345</v>
      </c>
      <c r="B201" s="14" t="n">
        <v>496492</v>
      </c>
      <c r="C201" s="14" t="s">
        <v>1735</v>
      </c>
      <c r="D201" s="14" t="s">
        <v>1736</v>
      </c>
      <c r="E201" s="14" t="s">
        <v>1737</v>
      </c>
      <c r="F201" s="14" t="s">
        <v>1738</v>
      </c>
      <c r="G201" s="14" t="s">
        <v>1739</v>
      </c>
      <c r="H201" s="14" t="s">
        <v>1740</v>
      </c>
      <c r="I201" s="14" t="s">
        <v>1741</v>
      </c>
      <c r="J201" s="14" t="s">
        <v>1742</v>
      </c>
      <c r="K201" s="14" t="s">
        <v>1026</v>
      </c>
      <c r="L201" s="14" t="s">
        <v>1743</v>
      </c>
      <c r="M201" s="14" t="s">
        <v>1744</v>
      </c>
      <c r="N201" s="14" t="s">
        <v>70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 t="n">
        <v>1</v>
      </c>
      <c r="Z201" s="15" t="n">
        <f aca="false">IF(X201=0,"",X201-Y201)</f>
        <v>1</v>
      </c>
      <c r="AA201" s="21" t="n">
        <f aca="false">IFERROR(Y201/X201,"")</f>
        <v>0.5</v>
      </c>
      <c r="AB201" s="15" t="n">
        <v>0</v>
      </c>
      <c r="AC201" s="22" t="n">
        <f aca="false">AB201*(1+$L$3)</f>
        <v>0</v>
      </c>
      <c r="AD201" s="20"/>
      <c r="AE201" s="23" t="n">
        <f aca="false">AC201-AD201</f>
        <v>0</v>
      </c>
      <c r="AF201" s="21" t="str">
        <f aca="false">IFERROR(AD201/AC201,"")</f>
        <v/>
      </c>
    </row>
    <row r="202" customFormat="false" ht="15" hidden="false" customHeight="true" outlineLevel="0" collapsed="false">
      <c r="A202" s="14" t="n">
        <v>654740</v>
      </c>
      <c r="B202" s="14" t="n">
        <v>495892</v>
      </c>
      <c r="C202" s="14" t="s">
        <v>1745</v>
      </c>
      <c r="D202" s="14" t="s">
        <v>1746</v>
      </c>
      <c r="E202" s="14" t="s">
        <v>1747</v>
      </c>
      <c r="F202" s="14" t="s">
        <v>1748</v>
      </c>
      <c r="G202" s="14" t="s">
        <v>1749</v>
      </c>
      <c r="H202" s="14" t="s">
        <v>1750</v>
      </c>
      <c r="I202" s="14"/>
      <c r="J202" s="14" t="s">
        <v>1751</v>
      </c>
      <c r="K202" s="14" t="s">
        <v>1752</v>
      </c>
      <c r="L202" s="14" t="s">
        <v>1753</v>
      </c>
      <c r="M202" s="14" t="s">
        <v>1754</v>
      </c>
      <c r="N202" s="14" t="s">
        <v>70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 t="n">
        <v>1</v>
      </c>
      <c r="Z202" s="15" t="n">
        <f aca="false">IF(X202=0,"",X202-Y202)</f>
        <v>1</v>
      </c>
      <c r="AA202" s="21" t="n">
        <f aca="false">IFERROR(Y202/X202,"")</f>
        <v>0.5</v>
      </c>
      <c r="AB202" s="15" t="n">
        <v>5</v>
      </c>
      <c r="AC202" s="22" t="n">
        <f aca="false">AB202*(1+$L$3)</f>
        <v>5.6</v>
      </c>
      <c r="AD202" s="20"/>
      <c r="AE202" s="23" t="n">
        <f aca="false">AC202-AD202</f>
        <v>5.6</v>
      </c>
      <c r="AF202" s="21" t="n">
        <f aca="false">IFERROR(AD202/AC202,"")</f>
        <v>0</v>
      </c>
    </row>
    <row r="203" customFormat="false" ht="15" hidden="false" customHeight="true" outlineLevel="0" collapsed="false">
      <c r="A203" s="14" t="n">
        <v>652628</v>
      </c>
      <c r="B203" s="14" t="n">
        <v>493787</v>
      </c>
      <c r="C203" s="14" t="s">
        <v>1755</v>
      </c>
      <c r="D203" s="14" t="s">
        <v>1756</v>
      </c>
      <c r="E203" s="14" t="s">
        <v>1757</v>
      </c>
      <c r="F203" s="14" t="s">
        <v>1758</v>
      </c>
      <c r="G203" s="14" t="s">
        <v>1759</v>
      </c>
      <c r="H203" s="14" t="s">
        <v>1760</v>
      </c>
      <c r="I203" s="14"/>
      <c r="J203" s="14" t="s">
        <v>1761</v>
      </c>
      <c r="K203" s="14" t="s">
        <v>604</v>
      </c>
      <c r="L203" s="14" t="s">
        <v>1762</v>
      </c>
      <c r="M203" s="14" t="s">
        <v>1763</v>
      </c>
      <c r="N203" s="14" t="s">
        <v>70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 t="n">
        <v>1</v>
      </c>
      <c r="Z203" s="15" t="n">
        <f aca="false">IF(X203=0,"",X203-Y203)</f>
        <v>1</v>
      </c>
      <c r="AA203" s="21" t="n">
        <f aca="false">IFERROR(Y203/X203,"")</f>
        <v>0.5</v>
      </c>
      <c r="AB203" s="15" t="n">
        <v>0</v>
      </c>
      <c r="AC203" s="22" t="n">
        <f aca="false">AB203*(1+$L$3)</f>
        <v>0</v>
      </c>
      <c r="AD203" s="20"/>
      <c r="AE203" s="23" t="n">
        <f aca="false">AC203-AD203</f>
        <v>0</v>
      </c>
      <c r="AF203" s="21" t="str">
        <f aca="false">IFERROR(AD203/AC203,"")</f>
        <v/>
      </c>
    </row>
    <row r="204" customFormat="false" ht="15" hidden="false" customHeight="true" outlineLevel="0" collapsed="false">
      <c r="A204" s="14" t="n">
        <v>652240</v>
      </c>
      <c r="B204" s="14" t="n">
        <v>493408</v>
      </c>
      <c r="C204" s="14" t="s">
        <v>1764</v>
      </c>
      <c r="D204" s="14" t="s">
        <v>1765</v>
      </c>
      <c r="E204" s="14" t="s">
        <v>1766</v>
      </c>
      <c r="F204" s="14" t="s">
        <v>1767</v>
      </c>
      <c r="G204" s="14" t="s">
        <v>1768</v>
      </c>
      <c r="H204" s="14" t="s">
        <v>1769</v>
      </c>
      <c r="I204" s="14"/>
      <c r="J204" s="14" t="s">
        <v>556</v>
      </c>
      <c r="K204" s="14" t="s">
        <v>557</v>
      </c>
      <c r="L204" s="14" t="s">
        <v>1503</v>
      </c>
      <c r="M204" s="14" t="s">
        <v>1770</v>
      </c>
      <c r="N204" s="14" t="s">
        <v>70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/>
      <c r="Z204" s="15" t="n">
        <f aca="false">IF(X204=0,"",X204-Y204)</f>
        <v>2</v>
      </c>
      <c r="AA204" s="21" t="n">
        <f aca="false">IFERROR(Y204/X204,"")</f>
        <v>0</v>
      </c>
      <c r="AB204" s="15" t="n">
        <v>0</v>
      </c>
      <c r="AC204" s="22" t="n">
        <f aca="false">AB204*(1+$L$3)</f>
        <v>0</v>
      </c>
      <c r="AD204" s="20"/>
      <c r="AE204" s="23" t="n">
        <f aca="false">AC204-AD204</f>
        <v>0</v>
      </c>
      <c r="AF204" s="21" t="str">
        <f aca="false">IFERROR(AD204/AC204,"")</f>
        <v/>
      </c>
    </row>
    <row r="205" customFormat="false" ht="15" hidden="false" customHeight="true" outlineLevel="0" collapsed="false">
      <c r="A205" s="14" t="n">
        <v>650788</v>
      </c>
      <c r="B205" s="14" t="n">
        <v>492038</v>
      </c>
      <c r="C205" s="14" t="s">
        <v>1771</v>
      </c>
      <c r="D205" s="14" t="s">
        <v>1772</v>
      </c>
      <c r="E205" s="14" t="s">
        <v>1773</v>
      </c>
      <c r="F205" s="14" t="s">
        <v>1774</v>
      </c>
      <c r="G205" s="14" t="s">
        <v>1775</v>
      </c>
      <c r="H205" s="14" t="s">
        <v>1776</v>
      </c>
      <c r="I205" s="14" t="s">
        <v>1777</v>
      </c>
      <c r="J205" s="14" t="s">
        <v>638</v>
      </c>
      <c r="K205" s="14" t="s">
        <v>67</v>
      </c>
      <c r="L205" s="14" t="s">
        <v>1778</v>
      </c>
      <c r="M205" s="14" t="s">
        <v>1779</v>
      </c>
      <c r="N205" s="14" t="s">
        <v>70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 t="n">
        <v>1</v>
      </c>
      <c r="Z205" s="15" t="n">
        <f aca="false">IF(X205=0,"",X205-Y205)</f>
        <v>1</v>
      </c>
      <c r="AA205" s="21" t="n">
        <f aca="false">IFERROR(Y205/X205,"")</f>
        <v>0.5</v>
      </c>
      <c r="AB205" s="15" t="n">
        <v>0</v>
      </c>
      <c r="AC205" s="22" t="n">
        <f aca="false">AB205*(1+$L$3)</f>
        <v>0</v>
      </c>
      <c r="AD205" s="20"/>
      <c r="AE205" s="23" t="n">
        <f aca="false">AC205-AD205</f>
        <v>0</v>
      </c>
      <c r="AF205" s="21" t="str">
        <f aca="false">IFERROR(AD205/AC205,"")</f>
        <v/>
      </c>
    </row>
    <row r="206" customFormat="false" ht="15" hidden="false" customHeight="true" outlineLevel="0" collapsed="false">
      <c r="A206" s="14" t="n">
        <v>648080</v>
      </c>
      <c r="B206" s="14" t="n">
        <v>489389</v>
      </c>
      <c r="C206" s="14" t="s">
        <v>1780</v>
      </c>
      <c r="D206" s="14" t="s">
        <v>1781</v>
      </c>
      <c r="E206" s="14" t="s">
        <v>1782</v>
      </c>
      <c r="F206" s="14" t="s">
        <v>1783</v>
      </c>
      <c r="G206" s="14" t="s">
        <v>1784</v>
      </c>
      <c r="H206" s="14" t="s">
        <v>1785</v>
      </c>
      <c r="I206" s="14"/>
      <c r="J206" s="14" t="s">
        <v>316</v>
      </c>
      <c r="K206" s="14" t="s">
        <v>307</v>
      </c>
      <c r="L206" s="14" t="s">
        <v>1786</v>
      </c>
      <c r="M206" s="14" t="s">
        <v>1787</v>
      </c>
      <c r="N206" s="14" t="s">
        <v>70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/>
      <c r="Z206" s="15" t="n">
        <f aca="false">IF(X206=0,"",X206-Y206)</f>
        <v>2</v>
      </c>
      <c r="AA206" s="21" t="n">
        <f aca="false">IFERROR(Y206/X206,"")</f>
        <v>0</v>
      </c>
      <c r="AB206" s="15" t="n">
        <v>0</v>
      </c>
      <c r="AC206" s="22" t="n">
        <f aca="false">AB206*(1+$L$3)</f>
        <v>0</v>
      </c>
      <c r="AD206" s="20"/>
      <c r="AE206" s="23" t="n">
        <f aca="false">AC206-AD206</f>
        <v>0</v>
      </c>
      <c r="AF206" s="21" t="str">
        <f aca="false">IFERROR(AD206/AC206,"")</f>
        <v/>
      </c>
    </row>
    <row r="207" customFormat="false" ht="15" hidden="false" customHeight="true" outlineLevel="0" collapsed="false">
      <c r="A207" s="14" t="n">
        <v>635890</v>
      </c>
      <c r="B207" s="14" t="n">
        <v>482351</v>
      </c>
      <c r="C207" s="14" t="s">
        <v>1788</v>
      </c>
      <c r="D207" s="14" t="s">
        <v>1789</v>
      </c>
      <c r="E207" s="14" t="s">
        <v>1790</v>
      </c>
      <c r="F207" s="14" t="s">
        <v>1791</v>
      </c>
      <c r="G207" s="14" t="s">
        <v>1792</v>
      </c>
      <c r="H207" s="14" t="s">
        <v>1793</v>
      </c>
      <c r="I207" s="14"/>
      <c r="J207" s="14" t="s">
        <v>1794</v>
      </c>
      <c r="K207" s="14" t="s">
        <v>48</v>
      </c>
      <c r="L207" s="14" t="s">
        <v>1795</v>
      </c>
      <c r="M207" s="14" t="s">
        <v>1796</v>
      </c>
      <c r="N207" s="14" t="s">
        <v>70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2" t="n">
        <f aca="false">AB207*(1+$L$3)</f>
        <v>0</v>
      </c>
      <c r="AD207" s="20"/>
      <c r="AE207" s="23" t="n">
        <f aca="false">AC207-AD207</f>
        <v>0</v>
      </c>
      <c r="AF207" s="21" t="str">
        <f aca="false">IFERROR(AD207/AC207,"")</f>
        <v/>
      </c>
    </row>
    <row r="208" customFormat="false" ht="15" hidden="false" customHeight="true" outlineLevel="0" collapsed="false">
      <c r="A208" s="14" t="n">
        <v>625544</v>
      </c>
      <c r="B208" s="14" t="n">
        <v>474508</v>
      </c>
      <c r="C208" s="14" t="s">
        <v>1797</v>
      </c>
      <c r="D208" s="14" t="s">
        <v>1798</v>
      </c>
      <c r="E208" s="14" t="s">
        <v>1799</v>
      </c>
      <c r="F208" s="14" t="s">
        <v>1800</v>
      </c>
      <c r="G208" s="14" t="s">
        <v>1801</v>
      </c>
      <c r="H208" s="14" t="s">
        <v>1802</v>
      </c>
      <c r="I208" s="14" t="s">
        <v>1803</v>
      </c>
      <c r="J208" s="14" t="s">
        <v>1804</v>
      </c>
      <c r="K208" s="14" t="s">
        <v>1805</v>
      </c>
      <c r="L208" s="14" t="s">
        <v>1806</v>
      </c>
      <c r="M208" s="14" t="s">
        <v>1807</v>
      </c>
      <c r="N208" s="14" t="s">
        <v>70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2" t="n">
        <f aca="false">AB208*(1+$L$3)</f>
        <v>0</v>
      </c>
      <c r="AD208" s="20"/>
      <c r="AE208" s="23" t="n">
        <f aca="false">AC208-AD208</f>
        <v>0</v>
      </c>
      <c r="AF208" s="21" t="str">
        <f aca="false">IFERROR(AD208/AC208,"")</f>
        <v/>
      </c>
    </row>
    <row r="209" customFormat="false" ht="15" hidden="false" customHeight="true" outlineLevel="0" collapsed="false">
      <c r="A209" s="14" t="n">
        <v>646725</v>
      </c>
      <c r="B209" s="14" t="n">
        <v>488062</v>
      </c>
      <c r="C209" s="14" t="s">
        <v>1808</v>
      </c>
      <c r="D209" s="14" t="s">
        <v>1809</v>
      </c>
      <c r="E209" s="14" t="s">
        <v>1809</v>
      </c>
      <c r="F209" s="14" t="s">
        <v>1810</v>
      </c>
      <c r="G209" s="14" t="s">
        <v>1811</v>
      </c>
      <c r="H209" s="14" t="s">
        <v>1812</v>
      </c>
      <c r="I209" s="14" t="s">
        <v>741</v>
      </c>
      <c r="J209" s="14" t="s">
        <v>638</v>
      </c>
      <c r="K209" s="14" t="s">
        <v>67</v>
      </c>
      <c r="L209" s="14" t="s">
        <v>750</v>
      </c>
      <c r="M209" s="14" t="s">
        <v>1813</v>
      </c>
      <c r="N209" s="14" t="s">
        <v>70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 t="n">
        <v>1</v>
      </c>
      <c r="Z209" s="15" t="n">
        <f aca="false">IF(X209=0,"",X209-Y209)</f>
        <v>1</v>
      </c>
      <c r="AA209" s="21" t="n">
        <f aca="false">IFERROR(Y209/X209,"")</f>
        <v>0.5</v>
      </c>
      <c r="AB209" s="15" t="n">
        <v>0</v>
      </c>
      <c r="AC209" s="22" t="n">
        <f aca="false">AB209*(1+$L$3)</f>
        <v>0</v>
      </c>
      <c r="AD209" s="20"/>
      <c r="AE209" s="23" t="n">
        <f aca="false">AC209-AD209</f>
        <v>0</v>
      </c>
      <c r="AF209" s="21" t="str">
        <f aca="false">IFERROR(AD209/AC209,"")</f>
        <v/>
      </c>
    </row>
    <row r="210" customFormat="false" ht="15" hidden="false" customHeight="true" outlineLevel="0" collapsed="false">
      <c r="A210" s="14" t="n">
        <v>644100</v>
      </c>
      <c r="B210" s="14" t="n">
        <v>485557</v>
      </c>
      <c r="C210" s="14" t="s">
        <v>1814</v>
      </c>
      <c r="D210" s="14" t="s">
        <v>1815</v>
      </c>
      <c r="E210" s="14" t="s">
        <v>1816</v>
      </c>
      <c r="F210" s="14" t="s">
        <v>1817</v>
      </c>
      <c r="G210" s="14" t="s">
        <v>1818</v>
      </c>
      <c r="H210" s="14" t="s">
        <v>1819</v>
      </c>
      <c r="I210" s="14" t="s">
        <v>1820</v>
      </c>
      <c r="J210" s="14" t="s">
        <v>1328</v>
      </c>
      <c r="K210" s="14" t="s">
        <v>506</v>
      </c>
      <c r="L210" s="14" t="s">
        <v>1821</v>
      </c>
      <c r="M210" s="14" t="s">
        <v>1822</v>
      </c>
      <c r="N210" s="14" t="s">
        <v>70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2" t="n">
        <f aca="false">AB210*(1+$L$3)</f>
        <v>0</v>
      </c>
      <c r="AD210" s="20"/>
      <c r="AE210" s="23" t="n">
        <f aca="false">AC210-AD210</f>
        <v>0</v>
      </c>
      <c r="AF210" s="21" t="str">
        <f aca="false">IFERROR(AD210/AC210,"")</f>
        <v/>
      </c>
    </row>
    <row r="211" customFormat="false" ht="15" hidden="false" customHeight="true" outlineLevel="0" collapsed="false">
      <c r="A211" s="14" t="n">
        <v>634155</v>
      </c>
      <c r="B211" s="14" t="n">
        <v>480646</v>
      </c>
      <c r="C211" s="14" t="s">
        <v>1823</v>
      </c>
      <c r="D211" s="14" t="s">
        <v>1824</v>
      </c>
      <c r="E211" s="14" t="s">
        <v>1825</v>
      </c>
      <c r="F211" s="14" t="s">
        <v>1826</v>
      </c>
      <c r="G211" s="14" t="s">
        <v>1827</v>
      </c>
      <c r="H211" s="14" t="s">
        <v>1828</v>
      </c>
      <c r="I211" s="14" t="s">
        <v>1829</v>
      </c>
      <c r="J211" s="14" t="s">
        <v>1830</v>
      </c>
      <c r="K211" s="14" t="s">
        <v>67</v>
      </c>
      <c r="L211" s="14" t="s">
        <v>1831</v>
      </c>
      <c r="M211" s="14" t="s">
        <v>1832</v>
      </c>
      <c r="N211" s="14" t="s">
        <v>70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2" t="n">
        <f aca="false">AB211*(1+$L$3)</f>
        <v>0</v>
      </c>
      <c r="AD211" s="20"/>
      <c r="AE211" s="23" t="n">
        <f aca="false">AC211-AD211</f>
        <v>0</v>
      </c>
      <c r="AF211" s="21" t="str">
        <f aca="false">IFERROR(AD211/AC211,"")</f>
        <v/>
      </c>
    </row>
    <row r="212" customFormat="false" ht="15" hidden="false" customHeight="true" outlineLevel="0" collapsed="false">
      <c r="A212" s="14" t="n">
        <v>633962</v>
      </c>
      <c r="B212" s="14" t="n">
        <v>480457</v>
      </c>
      <c r="C212" s="14" t="s">
        <v>1833</v>
      </c>
      <c r="D212" s="14" t="s">
        <v>1834</v>
      </c>
      <c r="E212" s="14" t="s">
        <v>1835</v>
      </c>
      <c r="F212" s="14" t="s">
        <v>1836</v>
      </c>
      <c r="G212" s="14" t="s">
        <v>1837</v>
      </c>
      <c r="H212" s="14" t="s">
        <v>1838</v>
      </c>
      <c r="I212" s="14" t="s">
        <v>1839</v>
      </c>
      <c r="J212" s="14" t="s">
        <v>306</v>
      </c>
      <c r="K212" s="14" t="s">
        <v>307</v>
      </c>
      <c r="L212" s="14" t="s">
        <v>1840</v>
      </c>
      <c r="M212" s="14" t="s">
        <v>1841</v>
      </c>
      <c r="N212" s="14" t="s">
        <v>70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 t="n">
        <v>2</v>
      </c>
      <c r="Z212" s="15" t="n">
        <f aca="false">IF(X212=0,"",X212-Y212)</f>
        <v>0</v>
      </c>
      <c r="AA212" s="21" t="n">
        <f aca="false">IFERROR(Y212/X212,"")</f>
        <v>1</v>
      </c>
      <c r="AB212" s="15" t="n">
        <v>0</v>
      </c>
      <c r="AC212" s="22" t="n">
        <f aca="false">AB212*(1+$L$3)</f>
        <v>0</v>
      </c>
      <c r="AD212" s="20"/>
      <c r="AE212" s="23" t="n">
        <f aca="false">AC212-AD212</f>
        <v>0</v>
      </c>
      <c r="AF212" s="21" t="str">
        <f aca="false">IFERROR(AD212/AC212,"")</f>
        <v/>
      </c>
    </row>
    <row r="213" customFormat="false" ht="15" hidden="false" customHeight="true" outlineLevel="0" collapsed="false">
      <c r="A213" s="14" t="n">
        <v>631886</v>
      </c>
      <c r="B213" s="14" t="n">
        <v>478375</v>
      </c>
      <c r="C213" s="14" t="s">
        <v>1842</v>
      </c>
      <c r="D213" s="14" t="s">
        <v>1843</v>
      </c>
      <c r="E213" s="14" t="s">
        <v>1844</v>
      </c>
      <c r="F213" s="14" t="s">
        <v>1845</v>
      </c>
      <c r="G213" s="14" t="s">
        <v>1846</v>
      </c>
      <c r="H213" s="14" t="s">
        <v>1847</v>
      </c>
      <c r="I213" s="14" t="s">
        <v>793</v>
      </c>
      <c r="J213" s="14" t="s">
        <v>1848</v>
      </c>
      <c r="K213" s="14" t="s">
        <v>1160</v>
      </c>
      <c r="L213" s="14" t="s">
        <v>1849</v>
      </c>
      <c r="M213" s="14" t="s">
        <v>1850</v>
      </c>
      <c r="N213" s="14" t="s">
        <v>70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2" t="n">
        <f aca="false">AB213*(1+$L$3)</f>
        <v>0</v>
      </c>
      <c r="AD213" s="20"/>
      <c r="AE213" s="23" t="n">
        <f aca="false">AC213-AD213</f>
        <v>0</v>
      </c>
      <c r="AF213" s="21" t="str">
        <f aca="false">IFERROR(AD213/AC213,"")</f>
        <v/>
      </c>
    </row>
    <row r="214" customFormat="false" ht="15" hidden="false" customHeight="true" outlineLevel="0" collapsed="false">
      <c r="A214" s="14" t="n">
        <v>647253</v>
      </c>
      <c r="B214" s="14" t="n">
        <v>488579</v>
      </c>
      <c r="C214" s="14" t="s">
        <v>1851</v>
      </c>
      <c r="D214" s="14" t="s">
        <v>1852</v>
      </c>
      <c r="E214" s="14" t="s">
        <v>1853</v>
      </c>
      <c r="F214" s="14" t="s">
        <v>1854</v>
      </c>
      <c r="G214" s="14" t="s">
        <v>1855</v>
      </c>
      <c r="H214" s="14" t="s">
        <v>1856</v>
      </c>
      <c r="I214" s="14"/>
      <c r="J214" s="14" t="s">
        <v>1857</v>
      </c>
      <c r="K214" s="14" t="s">
        <v>1160</v>
      </c>
      <c r="L214" s="14" t="s">
        <v>1858</v>
      </c>
      <c r="M214" s="14" t="s">
        <v>1859</v>
      </c>
      <c r="N214" s="14" t="s">
        <v>70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2" t="n">
        <f aca="false">AB214*(1+$L$3)</f>
        <v>0</v>
      </c>
      <c r="AD214" s="20"/>
      <c r="AE214" s="23" t="n">
        <f aca="false">AC214-AD214</f>
        <v>0</v>
      </c>
      <c r="AF214" s="21" t="str">
        <f aca="false">IFERROR(AD214/AC214,"")</f>
        <v/>
      </c>
    </row>
    <row r="215" customFormat="false" ht="15" hidden="false" customHeight="true" outlineLevel="0" collapsed="false">
      <c r="A215" s="14" t="n">
        <v>625788</v>
      </c>
      <c r="B215" s="14" t="n">
        <v>474728</v>
      </c>
      <c r="C215" s="14" t="s">
        <v>1860</v>
      </c>
      <c r="D215" s="14" t="s">
        <v>1861</v>
      </c>
      <c r="E215" s="14" t="s">
        <v>1862</v>
      </c>
      <c r="F215" s="14" t="s">
        <v>1863</v>
      </c>
      <c r="G215" s="14" t="s">
        <v>1864</v>
      </c>
      <c r="H215" s="14" t="s">
        <v>1865</v>
      </c>
      <c r="I215" s="14"/>
      <c r="J215" s="14" t="s">
        <v>638</v>
      </c>
      <c r="K215" s="14" t="s">
        <v>67</v>
      </c>
      <c r="L215" s="14" t="s">
        <v>750</v>
      </c>
      <c r="M215" s="14" t="s">
        <v>1866</v>
      </c>
      <c r="N215" s="14" t="s">
        <v>70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2" t="n">
        <f aca="false">AB215*(1+$L$3)</f>
        <v>0</v>
      </c>
      <c r="AD215" s="20"/>
      <c r="AE215" s="23" t="n">
        <f aca="false">AC215-AD215</f>
        <v>0</v>
      </c>
      <c r="AF215" s="21" t="str">
        <f aca="false">IFERROR(AD215/AC215,"")</f>
        <v/>
      </c>
    </row>
    <row r="216" customFormat="false" ht="15" hidden="false" customHeight="true" outlineLevel="0" collapsed="false">
      <c r="A216" s="14" t="n">
        <v>654596</v>
      </c>
      <c r="B216" s="14" t="n">
        <v>495750</v>
      </c>
      <c r="C216" s="14" t="s">
        <v>1867</v>
      </c>
      <c r="D216" s="14" t="s">
        <v>1868</v>
      </c>
      <c r="E216" s="14" t="s">
        <v>1869</v>
      </c>
      <c r="F216" s="14" t="s">
        <v>1870</v>
      </c>
      <c r="G216" s="14" t="s">
        <v>1871</v>
      </c>
      <c r="H216" s="14" t="s">
        <v>1872</v>
      </c>
      <c r="I216" s="14"/>
      <c r="J216" s="14" t="s">
        <v>776</v>
      </c>
      <c r="K216" s="14" t="s">
        <v>709</v>
      </c>
      <c r="L216" s="14" t="s">
        <v>1873</v>
      </c>
      <c r="M216" s="14" t="s">
        <v>1874</v>
      </c>
      <c r="N216" s="14" t="s">
        <v>70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 t="n">
        <v>1</v>
      </c>
      <c r="Z216" s="15" t="n">
        <f aca="false">IF(X216=0,"",X216-Y216)</f>
        <v>1</v>
      </c>
      <c r="AA216" s="21" t="n">
        <f aca="false">IFERROR(Y216/X216,"")</f>
        <v>0.5</v>
      </c>
      <c r="AB216" s="15" t="n">
        <v>0</v>
      </c>
      <c r="AC216" s="22" t="n">
        <f aca="false">AB216*(1+$L$3)</f>
        <v>0</v>
      </c>
      <c r="AD216" s="20"/>
      <c r="AE216" s="23" t="n">
        <f aca="false">AC216-AD216</f>
        <v>0</v>
      </c>
      <c r="AF216" s="21" t="str">
        <f aca="false">IFERROR(AD216/AC216,"")</f>
        <v/>
      </c>
    </row>
    <row r="217" customFormat="false" ht="15" hidden="false" customHeight="true" outlineLevel="0" collapsed="false">
      <c r="A217" s="14" t="n">
        <v>117513</v>
      </c>
      <c r="B217" s="14" t="n">
        <v>307880</v>
      </c>
      <c r="C217" s="14" t="s">
        <v>1875</v>
      </c>
      <c r="D217" s="14" t="s">
        <v>1876</v>
      </c>
      <c r="E217" s="14" t="s">
        <v>1877</v>
      </c>
      <c r="F217" s="14" t="s">
        <v>1878</v>
      </c>
      <c r="G217" s="14" t="s">
        <v>1879</v>
      </c>
      <c r="H217" s="14" t="s">
        <v>1880</v>
      </c>
      <c r="I217" s="14"/>
      <c r="J217" s="14" t="s">
        <v>1881</v>
      </c>
      <c r="K217" s="14" t="s">
        <v>1187</v>
      </c>
      <c r="L217" s="14" t="s">
        <v>1882</v>
      </c>
      <c r="M217" s="14" t="s">
        <v>1883</v>
      </c>
      <c r="N217" s="14" t="s">
        <v>70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2" t="n">
        <f aca="false">AB217*(1+$L$3)</f>
        <v>0</v>
      </c>
      <c r="AD217" s="20"/>
      <c r="AE217" s="23" t="n">
        <f aca="false">AC217-AD217</f>
        <v>0</v>
      </c>
      <c r="AF217" s="21" t="str">
        <f aca="false">IFERROR(AD217/AC217,"")</f>
        <v/>
      </c>
    </row>
    <row r="218" customFormat="false" ht="15" hidden="false" customHeight="true" outlineLevel="0" collapsed="false">
      <c r="A218" s="14" t="n">
        <v>604959</v>
      </c>
      <c r="B218" s="14" t="n">
        <v>454774</v>
      </c>
      <c r="C218" s="14" t="s">
        <v>1884</v>
      </c>
      <c r="D218" s="14" t="s">
        <v>1885</v>
      </c>
      <c r="E218" s="14" t="s">
        <v>1886</v>
      </c>
      <c r="F218" s="14" t="s">
        <v>1887</v>
      </c>
      <c r="G218" s="14" t="s">
        <v>1888</v>
      </c>
      <c r="H218" s="14" t="s">
        <v>1889</v>
      </c>
      <c r="I218" s="14"/>
      <c r="J218" s="14" t="s">
        <v>1890</v>
      </c>
      <c r="K218" s="14" t="s">
        <v>67</v>
      </c>
      <c r="L218" s="14" t="s">
        <v>1891</v>
      </c>
      <c r="M218" s="14" t="s">
        <v>1892</v>
      </c>
      <c r="N218" s="14" t="s">
        <v>70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2</v>
      </c>
      <c r="Z218" s="15" t="n">
        <f aca="false">IF(X218=0,"",X218-Y218)</f>
        <v>0</v>
      </c>
      <c r="AA218" s="21" t="n">
        <f aca="false">IFERROR(Y218/X218,"")</f>
        <v>1</v>
      </c>
      <c r="AB218" s="15" t="n">
        <v>0</v>
      </c>
      <c r="AC218" s="22" t="n">
        <f aca="false">AB218*(1+$L$3)</f>
        <v>0</v>
      </c>
      <c r="AD218" s="20"/>
      <c r="AE218" s="23" t="n">
        <f aca="false">AC218-AD218</f>
        <v>0</v>
      </c>
      <c r="AF218" s="21" t="str">
        <f aca="false">IFERROR(AD218/AC218,"")</f>
        <v/>
      </c>
    </row>
    <row r="219" customFormat="false" ht="15" hidden="false" customHeight="true" outlineLevel="0" collapsed="false">
      <c r="A219" s="14" t="n">
        <v>659937</v>
      </c>
      <c r="B219" s="14" t="n">
        <v>500942</v>
      </c>
      <c r="C219" s="14" t="s">
        <v>1893</v>
      </c>
      <c r="D219" s="14" t="s">
        <v>1894</v>
      </c>
      <c r="E219" s="14" t="s">
        <v>1895</v>
      </c>
      <c r="F219" s="14" t="s">
        <v>1896</v>
      </c>
      <c r="G219" s="14" t="s">
        <v>1897</v>
      </c>
      <c r="H219" s="14" t="s">
        <v>1898</v>
      </c>
      <c r="I219" s="14"/>
      <c r="J219" s="14" t="s">
        <v>1899</v>
      </c>
      <c r="K219" s="14" t="s">
        <v>1900</v>
      </c>
      <c r="L219" s="14" t="s">
        <v>1901</v>
      </c>
      <c r="M219" s="14" t="s">
        <v>1902</v>
      </c>
      <c r="N219" s="14" t="s">
        <v>70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2" t="n">
        <f aca="false">AB219*(1+$L$3)</f>
        <v>0</v>
      </c>
      <c r="AD219" s="20"/>
      <c r="AE219" s="23" t="n">
        <f aca="false">AC219-AD219</f>
        <v>0</v>
      </c>
      <c r="AF219" s="21" t="str">
        <f aca="false">IFERROR(AD219/AC219,"")</f>
        <v/>
      </c>
    </row>
    <row r="220" customFormat="false" ht="15" hidden="false" customHeight="true" outlineLevel="0" collapsed="false">
      <c r="A220" s="14" t="n">
        <v>652311</v>
      </c>
      <c r="B220" s="14" t="n">
        <v>493475</v>
      </c>
      <c r="C220" s="14" t="s">
        <v>1903</v>
      </c>
      <c r="D220" s="14" t="s">
        <v>1904</v>
      </c>
      <c r="E220" s="14" t="s">
        <v>1905</v>
      </c>
      <c r="F220" s="14" t="s">
        <v>1906</v>
      </c>
      <c r="G220" s="14" t="s">
        <v>1907</v>
      </c>
      <c r="H220" s="14" t="s">
        <v>1908</v>
      </c>
      <c r="I220" s="14" t="s">
        <v>1909</v>
      </c>
      <c r="J220" s="14" t="s">
        <v>1910</v>
      </c>
      <c r="K220" s="14" t="s">
        <v>1160</v>
      </c>
      <c r="L220" s="14" t="s">
        <v>1911</v>
      </c>
      <c r="M220" s="14" t="s">
        <v>1912</v>
      </c>
      <c r="N220" s="14" t="s">
        <v>70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2" t="n">
        <f aca="false">AB220*(1+$L$3)</f>
        <v>0</v>
      </c>
      <c r="AD220" s="20"/>
      <c r="AE220" s="23" t="n">
        <f aca="false">AC220-AD220</f>
        <v>0</v>
      </c>
      <c r="AF220" s="21" t="str">
        <f aca="false">IFERROR(AD220/AC220,"")</f>
        <v/>
      </c>
    </row>
    <row r="221" customFormat="false" ht="15" hidden="false" customHeight="true" outlineLevel="0" collapsed="false">
      <c r="A221" s="14" t="n">
        <v>650784</v>
      </c>
      <c r="B221" s="14" t="n">
        <v>492034</v>
      </c>
      <c r="C221" s="14" t="s">
        <v>1913</v>
      </c>
      <c r="D221" s="14" t="s">
        <v>1914</v>
      </c>
      <c r="E221" s="14" t="s">
        <v>1915</v>
      </c>
      <c r="F221" s="14" t="s">
        <v>1916</v>
      </c>
      <c r="G221" s="14" t="s">
        <v>1917</v>
      </c>
      <c r="H221" s="14" t="s">
        <v>1918</v>
      </c>
      <c r="I221" s="14"/>
      <c r="J221" s="14" t="s">
        <v>47</v>
      </c>
      <c r="K221" s="14" t="s">
        <v>48</v>
      </c>
      <c r="L221" s="14" t="s">
        <v>1919</v>
      </c>
      <c r="M221" s="14" t="s">
        <v>1920</v>
      </c>
      <c r="N221" s="14" t="s">
        <v>70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2" t="n">
        <f aca="false">AB221*(1+$L$3)</f>
        <v>0</v>
      </c>
      <c r="AD221" s="20"/>
      <c r="AE221" s="23" t="n">
        <f aca="false">AC221-AD221</f>
        <v>0</v>
      </c>
      <c r="AF221" s="21" t="str">
        <f aca="false">IFERROR(AD221/AC221,"")</f>
        <v/>
      </c>
    </row>
    <row r="222" customFormat="false" ht="15" hidden="false" customHeight="true" outlineLevel="0" collapsed="false">
      <c r="A222" s="14" t="n">
        <v>647836</v>
      </c>
      <c r="B222" s="14" t="n">
        <v>489145</v>
      </c>
      <c r="C222" s="14" t="s">
        <v>1921</v>
      </c>
      <c r="D222" s="14" t="s">
        <v>1922</v>
      </c>
      <c r="E222" s="14" t="s">
        <v>1923</v>
      </c>
      <c r="F222" s="14" t="s">
        <v>1924</v>
      </c>
      <c r="G222" s="14" t="s">
        <v>1925</v>
      </c>
      <c r="H222" s="14" t="s">
        <v>1926</v>
      </c>
      <c r="I222" s="14"/>
      <c r="J222" s="14" t="s">
        <v>47</v>
      </c>
      <c r="K222" s="14" t="s">
        <v>48</v>
      </c>
      <c r="L222" s="14" t="s">
        <v>393</v>
      </c>
      <c r="M222" s="14" t="s">
        <v>1927</v>
      </c>
      <c r="N222" s="14" t="s">
        <v>70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2" t="n">
        <f aca="false">AB222*(1+$L$3)</f>
        <v>0</v>
      </c>
      <c r="AD222" s="20"/>
      <c r="AE222" s="23" t="n">
        <f aca="false">AC222-AD222</f>
        <v>0</v>
      </c>
      <c r="AF222" s="21" t="str">
        <f aca="false">IFERROR(AD222/AC222,"")</f>
        <v/>
      </c>
    </row>
    <row r="223" customFormat="false" ht="15" hidden="false" customHeight="true" outlineLevel="0" collapsed="false">
      <c r="A223" s="14" t="n">
        <v>646891</v>
      </c>
      <c r="B223" s="14" t="n">
        <v>488219</v>
      </c>
      <c r="C223" s="14" t="s">
        <v>1928</v>
      </c>
      <c r="D223" s="14" t="s">
        <v>1929</v>
      </c>
      <c r="E223" s="14" t="s">
        <v>1930</v>
      </c>
      <c r="F223" s="14" t="s">
        <v>1931</v>
      </c>
      <c r="G223" s="14" t="s">
        <v>1932</v>
      </c>
      <c r="H223" s="14" t="s">
        <v>1933</v>
      </c>
      <c r="I223" s="14"/>
      <c r="J223" s="14" t="s">
        <v>1934</v>
      </c>
      <c r="K223" s="14" t="s">
        <v>307</v>
      </c>
      <c r="L223" s="14" t="s">
        <v>1935</v>
      </c>
      <c r="M223" s="14" t="s">
        <v>1936</v>
      </c>
      <c r="N223" s="14" t="s">
        <v>70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2" t="n">
        <f aca="false">AB223*(1+$L$3)</f>
        <v>0</v>
      </c>
      <c r="AD223" s="20"/>
      <c r="AE223" s="23" t="n">
        <f aca="false">AC223-AD223</f>
        <v>0</v>
      </c>
      <c r="AF223" s="21" t="str">
        <f aca="false">IFERROR(AD223/AC223,"")</f>
        <v/>
      </c>
    </row>
    <row r="224" customFormat="false" ht="15" hidden="false" customHeight="true" outlineLevel="0" collapsed="false">
      <c r="A224" s="14" t="n">
        <v>623797</v>
      </c>
      <c r="B224" s="14" t="n">
        <v>473053</v>
      </c>
      <c r="C224" s="14" t="s">
        <v>1937</v>
      </c>
      <c r="D224" s="14" t="s">
        <v>1938</v>
      </c>
      <c r="E224" s="14" t="s">
        <v>1939</v>
      </c>
      <c r="F224" s="14" t="s">
        <v>1940</v>
      </c>
      <c r="G224" s="14" t="s">
        <v>1941</v>
      </c>
      <c r="H224" s="14" t="s">
        <v>1942</v>
      </c>
      <c r="I224" s="14" t="s">
        <v>1943</v>
      </c>
      <c r="J224" s="14" t="s">
        <v>1944</v>
      </c>
      <c r="K224" s="14" t="s">
        <v>307</v>
      </c>
      <c r="L224" s="14" t="s">
        <v>1945</v>
      </c>
      <c r="M224" s="14" t="s">
        <v>1946</v>
      </c>
      <c r="N224" s="14" t="s">
        <v>70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2</v>
      </c>
      <c r="Z224" s="15" t="n">
        <f aca="false">IF(X224=0,"",X224-Y224)</f>
        <v>0</v>
      </c>
      <c r="AA224" s="21" t="n">
        <f aca="false">IFERROR(Y224/X224,"")</f>
        <v>1</v>
      </c>
      <c r="AB224" s="15" t="n">
        <v>0</v>
      </c>
      <c r="AC224" s="22" t="n">
        <f aca="false">AB224*(1+$L$3)</f>
        <v>0</v>
      </c>
      <c r="AD224" s="20"/>
      <c r="AE224" s="23" t="n">
        <f aca="false">AC224-AD224</f>
        <v>0</v>
      </c>
      <c r="AF224" s="21" t="str">
        <f aca="false">IFERROR(AD224/AC224,"")</f>
        <v/>
      </c>
    </row>
    <row r="225" customFormat="false" ht="15" hidden="false" customHeight="true" outlineLevel="0" collapsed="false">
      <c r="A225" s="14" t="n">
        <v>643508</v>
      </c>
      <c r="B225" s="14" t="n">
        <v>485043</v>
      </c>
      <c r="C225" s="14" t="s">
        <v>1947</v>
      </c>
      <c r="D225" s="14" t="s">
        <v>1948</v>
      </c>
      <c r="E225" s="14" t="s">
        <v>1949</v>
      </c>
      <c r="F225" s="14" t="s">
        <v>1950</v>
      </c>
      <c r="G225" s="14" t="s">
        <v>1951</v>
      </c>
      <c r="H225" s="14" t="s">
        <v>1952</v>
      </c>
      <c r="I225" s="14"/>
      <c r="J225" s="14" t="s">
        <v>638</v>
      </c>
      <c r="K225" s="14" t="s">
        <v>67</v>
      </c>
      <c r="L225" s="14" t="s">
        <v>1953</v>
      </c>
      <c r="M225" s="14" t="s">
        <v>1954</v>
      </c>
      <c r="N225" s="14" t="s">
        <v>70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 t="n">
        <v>1</v>
      </c>
      <c r="Z225" s="15" t="n">
        <f aca="false">IF(X225=0,"",X225-Y225)</f>
        <v>1</v>
      </c>
      <c r="AA225" s="21" t="n">
        <f aca="false">IFERROR(Y225/X225,"")</f>
        <v>0.5</v>
      </c>
      <c r="AB225" s="15" t="n">
        <v>0</v>
      </c>
      <c r="AC225" s="22" t="n">
        <f aca="false">AB225*(1+$L$3)</f>
        <v>0</v>
      </c>
      <c r="AD225" s="20"/>
      <c r="AE225" s="23" t="n">
        <f aca="false">AC225-AD225</f>
        <v>0</v>
      </c>
      <c r="AF225" s="21" t="str">
        <f aca="false">IFERROR(AD225/AC225,"")</f>
        <v/>
      </c>
    </row>
    <row r="226" customFormat="false" ht="15" hidden="false" customHeight="true" outlineLevel="0" collapsed="false">
      <c r="A226" s="14" t="n">
        <v>660311</v>
      </c>
      <c r="B226" s="14" t="n">
        <v>501319</v>
      </c>
      <c r="C226" s="14" t="s">
        <v>1955</v>
      </c>
      <c r="D226" s="14" t="s">
        <v>1956</v>
      </c>
      <c r="E226" s="14" t="s">
        <v>1957</v>
      </c>
      <c r="F226" s="14"/>
      <c r="G226" s="14" t="s">
        <v>1958</v>
      </c>
      <c r="H226" s="14" t="s">
        <v>1959</v>
      </c>
      <c r="I226" s="14"/>
      <c r="J226" s="14" t="s">
        <v>556</v>
      </c>
      <c r="K226" s="14" t="s">
        <v>557</v>
      </c>
      <c r="L226" s="14" t="s">
        <v>1960</v>
      </c>
      <c r="M226" s="14" t="s">
        <v>1961</v>
      </c>
      <c r="N226" s="14" t="s">
        <v>70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2" t="n">
        <f aca="false">AB226*(1+$L$3)</f>
        <v>0</v>
      </c>
      <c r="AD226" s="20"/>
      <c r="AE226" s="23" t="n">
        <f aca="false">AC226-AD226</f>
        <v>0</v>
      </c>
      <c r="AF226" s="21" t="str">
        <f aca="false">IFERROR(AD226/AC226,"")</f>
        <v/>
      </c>
    </row>
    <row r="227" customFormat="false" ht="15" hidden="false" customHeight="true" outlineLevel="0" collapsed="false">
      <c r="A227" s="14" t="n">
        <v>659523</v>
      </c>
      <c r="B227" s="14" t="n">
        <v>500529</v>
      </c>
      <c r="C227" s="14" t="s">
        <v>1962</v>
      </c>
      <c r="D227" s="14" t="s">
        <v>1963</v>
      </c>
      <c r="E227" s="14" t="s">
        <v>1964</v>
      </c>
      <c r="F227" s="14" t="s">
        <v>1965</v>
      </c>
      <c r="G227" s="14" t="s">
        <v>1966</v>
      </c>
      <c r="H227" s="14" t="s">
        <v>1967</v>
      </c>
      <c r="I227" s="14"/>
      <c r="J227" s="14" t="s">
        <v>556</v>
      </c>
      <c r="K227" s="14" t="s">
        <v>557</v>
      </c>
      <c r="L227" s="14" t="s">
        <v>1960</v>
      </c>
      <c r="M227" s="14" t="s">
        <v>1968</v>
      </c>
      <c r="N227" s="14" t="s">
        <v>70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2" t="n">
        <f aca="false">AB227*(1+$L$3)</f>
        <v>0</v>
      </c>
      <c r="AD227" s="20"/>
      <c r="AE227" s="23" t="n">
        <f aca="false">AC227-AD227</f>
        <v>0</v>
      </c>
      <c r="AF227" s="21" t="str">
        <f aca="false">IFERROR(AD227/AC227,"")</f>
        <v/>
      </c>
    </row>
    <row r="228" customFormat="false" ht="15" hidden="false" customHeight="true" outlineLevel="0" collapsed="false">
      <c r="A228" s="14" t="n">
        <v>659320</v>
      </c>
      <c r="B228" s="14" t="n">
        <v>500317</v>
      </c>
      <c r="C228" s="14" t="s">
        <v>1969</v>
      </c>
      <c r="D228" s="14" t="s">
        <v>1970</v>
      </c>
      <c r="E228" s="14" t="s">
        <v>1971</v>
      </c>
      <c r="F228" s="14" t="s">
        <v>1972</v>
      </c>
      <c r="G228" s="14" t="s">
        <v>1973</v>
      </c>
      <c r="H228" s="14" t="s">
        <v>1974</v>
      </c>
      <c r="I228" s="14" t="s">
        <v>1975</v>
      </c>
      <c r="J228" s="14" t="s">
        <v>1976</v>
      </c>
      <c r="K228" s="14" t="s">
        <v>67</v>
      </c>
      <c r="L228" s="14" t="s">
        <v>1977</v>
      </c>
      <c r="M228" s="14" t="s">
        <v>1978</v>
      </c>
      <c r="N228" s="14" t="s">
        <v>70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2" t="n">
        <f aca="false">AB228*(1+$L$3)</f>
        <v>0</v>
      </c>
      <c r="AD228" s="20"/>
      <c r="AE228" s="23" t="n">
        <f aca="false">AC228-AD228</f>
        <v>0</v>
      </c>
      <c r="AF228" s="21" t="str">
        <f aca="false">IFERROR(AD228/AC228,"")</f>
        <v/>
      </c>
    </row>
    <row r="229" customFormat="false" ht="15" hidden="false" customHeight="true" outlineLevel="0" collapsed="false">
      <c r="A229" s="14" t="n">
        <v>658910</v>
      </c>
      <c r="B229" s="14" t="n">
        <v>499902</v>
      </c>
      <c r="C229" s="14" t="s">
        <v>1979</v>
      </c>
      <c r="D229" s="14" t="s">
        <v>1980</v>
      </c>
      <c r="E229" s="14" t="s">
        <v>1981</v>
      </c>
      <c r="F229" s="14" t="s">
        <v>1982</v>
      </c>
      <c r="G229" s="14" t="s">
        <v>1983</v>
      </c>
      <c r="H229" s="14" t="s">
        <v>1984</v>
      </c>
      <c r="I229" s="14"/>
      <c r="J229" s="14" t="s">
        <v>1985</v>
      </c>
      <c r="K229" s="14" t="s">
        <v>557</v>
      </c>
      <c r="L229" s="14" t="s">
        <v>1986</v>
      </c>
      <c r="M229" s="14" t="s">
        <v>1987</v>
      </c>
      <c r="N229" s="14" t="s">
        <v>70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2" t="n">
        <f aca="false">AB229*(1+$L$3)</f>
        <v>0</v>
      </c>
      <c r="AD229" s="20"/>
      <c r="AE229" s="23" t="n">
        <f aca="false">AC229-AD229</f>
        <v>0</v>
      </c>
      <c r="AF229" s="21" t="str">
        <f aca="false">IFERROR(AD229/AC229,"")</f>
        <v/>
      </c>
    </row>
    <row r="230" customFormat="false" ht="15" hidden="false" customHeight="true" outlineLevel="0" collapsed="false">
      <c r="A230" s="14" t="n">
        <v>658243</v>
      </c>
      <c r="B230" s="14" t="n">
        <v>499251</v>
      </c>
      <c r="C230" s="14" t="s">
        <v>1988</v>
      </c>
      <c r="D230" s="14" t="s">
        <v>1989</v>
      </c>
      <c r="E230" s="14" t="s">
        <v>1990</v>
      </c>
      <c r="F230" s="14" t="s">
        <v>1991</v>
      </c>
      <c r="G230" s="14" t="s">
        <v>1992</v>
      </c>
      <c r="H230" s="14" t="s">
        <v>1993</v>
      </c>
      <c r="I230" s="14"/>
      <c r="J230" s="14" t="s">
        <v>1994</v>
      </c>
      <c r="K230" s="14" t="s">
        <v>1026</v>
      </c>
      <c r="L230" s="14" t="s">
        <v>1995</v>
      </c>
      <c r="M230" s="14" t="s">
        <v>1996</v>
      </c>
      <c r="N230" s="14" t="s">
        <v>70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2" t="n">
        <f aca="false">AB230*(1+$L$3)</f>
        <v>0</v>
      </c>
      <c r="AD230" s="20"/>
      <c r="AE230" s="23" t="n">
        <f aca="false">AC230-AD230</f>
        <v>0</v>
      </c>
      <c r="AF230" s="21" t="str">
        <f aca="false">IFERROR(AD230/AC230,"")</f>
        <v/>
      </c>
    </row>
    <row r="231" customFormat="false" ht="15" hidden="false" customHeight="true" outlineLevel="0" collapsed="false">
      <c r="A231" s="14" t="n">
        <v>657948</v>
      </c>
      <c r="B231" s="14" t="n">
        <v>498953</v>
      </c>
      <c r="C231" s="14" t="s">
        <v>1997</v>
      </c>
      <c r="D231" s="14" t="s">
        <v>1998</v>
      </c>
      <c r="E231" s="14" t="s">
        <v>1999</v>
      </c>
      <c r="F231" s="14" t="s">
        <v>2000</v>
      </c>
      <c r="G231" s="14" t="s">
        <v>2001</v>
      </c>
      <c r="H231" s="14" t="s">
        <v>2002</v>
      </c>
      <c r="I231" s="14"/>
      <c r="J231" s="14" t="s">
        <v>556</v>
      </c>
      <c r="K231" s="14" t="s">
        <v>557</v>
      </c>
      <c r="L231" s="14" t="s">
        <v>2003</v>
      </c>
      <c r="M231" s="14" t="s">
        <v>2004</v>
      </c>
      <c r="N231" s="14" t="s">
        <v>70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 t="n">
        <v>1</v>
      </c>
      <c r="Z231" s="15" t="n">
        <f aca="false">IF(X231=0,"",X231-Y231)</f>
        <v>1</v>
      </c>
      <c r="AA231" s="21" t="n">
        <f aca="false">IFERROR(Y231/X231,"")</f>
        <v>0.5</v>
      </c>
      <c r="AB231" s="15" t="n">
        <v>0</v>
      </c>
      <c r="AC231" s="22" t="n">
        <f aca="false">AB231*(1+$L$3)</f>
        <v>0</v>
      </c>
      <c r="AD231" s="20"/>
      <c r="AE231" s="23" t="n">
        <f aca="false">AC231-AD231</f>
        <v>0</v>
      </c>
      <c r="AF231" s="21" t="str">
        <f aca="false">IFERROR(AD231/AC231,"")</f>
        <v/>
      </c>
    </row>
    <row r="232" customFormat="false" ht="15" hidden="false" customHeight="true" outlineLevel="0" collapsed="false">
      <c r="A232" s="14" t="n">
        <v>657904</v>
      </c>
      <c r="B232" s="14" t="n">
        <v>498908</v>
      </c>
      <c r="C232" s="14" t="s">
        <v>2005</v>
      </c>
      <c r="D232" s="14" t="s">
        <v>2006</v>
      </c>
      <c r="E232" s="14" t="s">
        <v>2007</v>
      </c>
      <c r="F232" s="14" t="s">
        <v>2008</v>
      </c>
      <c r="G232" s="14" t="s">
        <v>2009</v>
      </c>
      <c r="H232" s="14" t="s">
        <v>2010</v>
      </c>
      <c r="I232" s="14"/>
      <c r="J232" s="14" t="s">
        <v>556</v>
      </c>
      <c r="K232" s="14" t="s">
        <v>557</v>
      </c>
      <c r="L232" s="14" t="s">
        <v>2011</v>
      </c>
      <c r="M232" s="14" t="s">
        <v>2012</v>
      </c>
      <c r="N232" s="14" t="s">
        <v>70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2" t="n">
        <f aca="false">AB232*(1+$L$3)</f>
        <v>0</v>
      </c>
      <c r="AD232" s="20"/>
      <c r="AE232" s="23" t="n">
        <f aca="false">AC232-AD232</f>
        <v>0</v>
      </c>
      <c r="AF232" s="21" t="str">
        <f aca="false">IFERROR(AD232/AC232,"")</f>
        <v/>
      </c>
    </row>
    <row r="233" customFormat="false" ht="15" hidden="false" customHeight="true" outlineLevel="0" collapsed="false">
      <c r="A233" s="14" t="n">
        <v>655753</v>
      </c>
      <c r="B233" s="14" t="n">
        <v>496881</v>
      </c>
      <c r="C233" s="14" t="s">
        <v>2013</v>
      </c>
      <c r="D233" s="14" t="s">
        <v>2014</v>
      </c>
      <c r="E233" s="14" t="s">
        <v>2015</v>
      </c>
      <c r="F233" s="14" t="s">
        <v>2016</v>
      </c>
      <c r="G233" s="14" t="s">
        <v>2017</v>
      </c>
      <c r="H233" s="14" t="s">
        <v>2018</v>
      </c>
      <c r="I233" s="14"/>
      <c r="J233" s="14" t="s">
        <v>248</v>
      </c>
      <c r="K233" s="14" t="s">
        <v>249</v>
      </c>
      <c r="L233" s="14" t="s">
        <v>250</v>
      </c>
      <c r="M233" s="14" t="s">
        <v>2019</v>
      </c>
      <c r="N233" s="14" t="s">
        <v>70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2" t="n">
        <f aca="false">AB233*(1+$L$3)</f>
        <v>0</v>
      </c>
      <c r="AD233" s="20"/>
      <c r="AE233" s="23" t="n">
        <f aca="false">AC233-AD233</f>
        <v>0</v>
      </c>
      <c r="AF233" s="21" t="str">
        <f aca="false">IFERROR(AD233/AC233,"")</f>
        <v/>
      </c>
    </row>
    <row r="234" customFormat="false" ht="15" hidden="false" customHeight="true" outlineLevel="0" collapsed="false">
      <c r="A234" s="14" t="n">
        <v>655638</v>
      </c>
      <c r="B234" s="14" t="n">
        <v>496768</v>
      </c>
      <c r="C234" s="14" t="s">
        <v>2020</v>
      </c>
      <c r="D234" s="14" t="s">
        <v>2021</v>
      </c>
      <c r="E234" s="14" t="s">
        <v>2022</v>
      </c>
      <c r="F234" s="14" t="s">
        <v>2023</v>
      </c>
      <c r="G234" s="14" t="s">
        <v>2024</v>
      </c>
      <c r="H234" s="14" t="s">
        <v>2025</v>
      </c>
      <c r="I234" s="14"/>
      <c r="J234" s="14" t="s">
        <v>2026</v>
      </c>
      <c r="K234" s="14" t="s">
        <v>197</v>
      </c>
      <c r="L234" s="14" t="s">
        <v>2027</v>
      </c>
      <c r="M234" s="14" t="s">
        <v>2028</v>
      </c>
      <c r="N234" s="14" t="s">
        <v>70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2" t="n">
        <f aca="false">AB234*(1+$L$3)</f>
        <v>0</v>
      </c>
      <c r="AD234" s="20"/>
      <c r="AE234" s="23" t="n">
        <f aca="false">AC234-AD234</f>
        <v>0</v>
      </c>
      <c r="AF234" s="21" t="str">
        <f aca="false">IFERROR(AD234/AC234,"")</f>
        <v/>
      </c>
    </row>
    <row r="235" customFormat="false" ht="15" hidden="false" customHeight="true" outlineLevel="0" collapsed="false">
      <c r="A235" s="14" t="n">
        <v>655137</v>
      </c>
      <c r="B235" s="14" t="n">
        <v>496287</v>
      </c>
      <c r="C235" s="14" t="s">
        <v>2029</v>
      </c>
      <c r="D235" s="14" t="s">
        <v>2030</v>
      </c>
      <c r="E235" s="14" t="s">
        <v>2031</v>
      </c>
      <c r="F235" s="14" t="s">
        <v>2032</v>
      </c>
      <c r="G235" s="14" t="s">
        <v>2033</v>
      </c>
      <c r="H235" s="14" t="s">
        <v>2034</v>
      </c>
      <c r="I235" s="14"/>
      <c r="J235" s="14" t="s">
        <v>2035</v>
      </c>
      <c r="K235" s="14" t="s">
        <v>1160</v>
      </c>
      <c r="L235" s="14" t="s">
        <v>2036</v>
      </c>
      <c r="M235" s="14" t="s">
        <v>2037</v>
      </c>
      <c r="N235" s="14" t="s">
        <v>70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2" t="n">
        <f aca="false">AB235*(1+$L$3)</f>
        <v>0</v>
      </c>
      <c r="AD235" s="20"/>
      <c r="AE235" s="23" t="n">
        <f aca="false">AC235-AD235</f>
        <v>0</v>
      </c>
      <c r="AF235" s="21" t="str">
        <f aca="false">IFERROR(AD235/AC235,"")</f>
        <v/>
      </c>
    </row>
    <row r="236" customFormat="false" ht="15" hidden="false" customHeight="true" outlineLevel="0" collapsed="false">
      <c r="A236" s="14" t="n">
        <v>653056</v>
      </c>
      <c r="B236" s="14" t="n">
        <v>494208</v>
      </c>
      <c r="C236" s="14" t="s">
        <v>2038</v>
      </c>
      <c r="D236" s="14" t="s">
        <v>2039</v>
      </c>
      <c r="E236" s="14" t="s">
        <v>2040</v>
      </c>
      <c r="F236" s="14" t="s">
        <v>2041</v>
      </c>
      <c r="G236" s="14" t="s">
        <v>2042</v>
      </c>
      <c r="H236" s="14" t="s">
        <v>2043</v>
      </c>
      <c r="I236" s="14"/>
      <c r="J236" s="14" t="s">
        <v>638</v>
      </c>
      <c r="K236" s="14" t="s">
        <v>67</v>
      </c>
      <c r="L236" s="14" t="s">
        <v>2044</v>
      </c>
      <c r="M236" s="14" t="s">
        <v>2045</v>
      </c>
      <c r="N236" s="14" t="s">
        <v>70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/>
      <c r="Z236" s="15" t="n">
        <f aca="false">IF(X236=0,"",X236-Y236)</f>
        <v>2</v>
      </c>
      <c r="AA236" s="21" t="n">
        <f aca="false">IFERROR(Y236/X236,"")</f>
        <v>0</v>
      </c>
      <c r="AB236" s="15" t="n">
        <v>0</v>
      </c>
      <c r="AC236" s="22" t="n">
        <f aca="false">AB236*(1+$L$3)</f>
        <v>0</v>
      </c>
      <c r="AD236" s="20"/>
      <c r="AE236" s="23" t="n">
        <f aca="false">AC236-AD236</f>
        <v>0</v>
      </c>
      <c r="AF236" s="21" t="str">
        <f aca="false">IFERROR(AD236/AC236,"")</f>
        <v/>
      </c>
    </row>
    <row r="237" customFormat="false" ht="15" hidden="false" customHeight="true" outlineLevel="0" collapsed="false">
      <c r="A237" s="14" t="n">
        <v>652535</v>
      </c>
      <c r="B237" s="14" t="n">
        <v>493693</v>
      </c>
      <c r="C237" s="14" t="s">
        <v>2046</v>
      </c>
      <c r="D237" s="14" t="s">
        <v>2047</v>
      </c>
      <c r="E237" s="14" t="s">
        <v>2048</v>
      </c>
      <c r="F237" s="14" t="s">
        <v>2049</v>
      </c>
      <c r="G237" s="14" t="s">
        <v>2050</v>
      </c>
      <c r="H237" s="14" t="s">
        <v>2051</v>
      </c>
      <c r="I237" s="14" t="s">
        <v>1422</v>
      </c>
      <c r="J237" s="14" t="s">
        <v>2052</v>
      </c>
      <c r="K237" s="14" t="s">
        <v>1752</v>
      </c>
      <c r="L237" s="14" t="s">
        <v>2053</v>
      </c>
      <c r="M237" s="14" t="s">
        <v>2054</v>
      </c>
      <c r="N237" s="14" t="s">
        <v>70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/>
      <c r="Z237" s="15" t="n">
        <f aca="false">IF(X237=0,"",X237-Y237)</f>
        <v>2</v>
      </c>
      <c r="AA237" s="21" t="n">
        <f aca="false">IFERROR(Y237/X237,"")</f>
        <v>0</v>
      </c>
      <c r="AB237" s="15" t="n">
        <v>0</v>
      </c>
      <c r="AC237" s="22" t="n">
        <f aca="false">AB237*(1+$L$3)</f>
        <v>0</v>
      </c>
      <c r="AD237" s="20"/>
      <c r="AE237" s="23" t="n">
        <f aca="false">AC237-AD237</f>
        <v>0</v>
      </c>
      <c r="AF237" s="21" t="str">
        <f aca="false">IFERROR(AD237/AC237,"")</f>
        <v/>
      </c>
    </row>
    <row r="238" customFormat="false" ht="15" hidden="false" customHeight="true" outlineLevel="0" collapsed="false">
      <c r="A238" s="14" t="n">
        <v>631628</v>
      </c>
      <c r="B238" s="14" t="n">
        <v>478120</v>
      </c>
      <c r="C238" s="14" t="s">
        <v>2055</v>
      </c>
      <c r="D238" s="14" t="s">
        <v>2056</v>
      </c>
      <c r="E238" s="14" t="s">
        <v>2057</v>
      </c>
      <c r="F238" s="14" t="s">
        <v>2058</v>
      </c>
      <c r="G238" s="14" t="s">
        <v>2059</v>
      </c>
      <c r="H238" s="14" t="s">
        <v>2060</v>
      </c>
      <c r="I238" s="14" t="s">
        <v>2061</v>
      </c>
      <c r="J238" s="14" t="s">
        <v>2062</v>
      </c>
      <c r="K238" s="14" t="s">
        <v>48</v>
      </c>
      <c r="L238" s="14" t="s">
        <v>2063</v>
      </c>
      <c r="M238" s="14" t="s">
        <v>2064</v>
      </c>
      <c r="N238" s="14" t="s">
        <v>70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2" t="n">
        <f aca="false">AB238*(1+$L$3)</f>
        <v>0</v>
      </c>
      <c r="AD238" s="20"/>
      <c r="AE238" s="23" t="n">
        <f aca="false">AC238-AD238</f>
        <v>0</v>
      </c>
      <c r="AF238" s="21" t="str">
        <f aca="false">IFERROR(AD238/AC238,"")</f>
        <v/>
      </c>
    </row>
    <row r="239" customFormat="false" ht="15" hidden="false" customHeight="true" outlineLevel="0" collapsed="false">
      <c r="A239" s="14" t="n">
        <v>649991</v>
      </c>
      <c r="B239" s="14" t="n">
        <v>491253</v>
      </c>
      <c r="C239" s="14" t="s">
        <v>2065</v>
      </c>
      <c r="D239" s="14" t="s">
        <v>2066</v>
      </c>
      <c r="E239" s="14" t="s">
        <v>2066</v>
      </c>
      <c r="F239" s="14" t="s">
        <v>2067</v>
      </c>
      <c r="G239" s="14" t="s">
        <v>2068</v>
      </c>
      <c r="H239" s="14" t="s">
        <v>2069</v>
      </c>
      <c r="I239" s="14"/>
      <c r="J239" s="14" t="s">
        <v>2070</v>
      </c>
      <c r="K239" s="14" t="s">
        <v>335</v>
      </c>
      <c r="L239" s="14" t="s">
        <v>2071</v>
      </c>
      <c r="M239" s="14" t="s">
        <v>2072</v>
      </c>
      <c r="N239" s="14" t="s">
        <v>70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1</v>
      </c>
      <c r="Z239" s="15" t="n">
        <f aca="false">IF(X239=0,"",X239-Y239)</f>
        <v>1</v>
      </c>
      <c r="AA239" s="21" t="n">
        <f aca="false">IFERROR(Y239/X239,"")</f>
        <v>0.5</v>
      </c>
      <c r="AB239" s="15" t="n">
        <v>0</v>
      </c>
      <c r="AC239" s="22" t="n">
        <f aca="false">AB239*(1+$L$3)</f>
        <v>0</v>
      </c>
      <c r="AD239" s="20"/>
      <c r="AE239" s="23" t="n">
        <f aca="false">AC239-AD239</f>
        <v>0</v>
      </c>
      <c r="AF239" s="21" t="str">
        <f aca="false">IFERROR(AD239/AC239,"")</f>
        <v/>
      </c>
    </row>
    <row r="240" customFormat="false" ht="15" hidden="false" customHeight="true" outlineLevel="0" collapsed="false">
      <c r="A240" s="14" t="n">
        <v>646751</v>
      </c>
      <c r="B240" s="14" t="n">
        <v>488086</v>
      </c>
      <c r="C240" s="14" t="s">
        <v>2073</v>
      </c>
      <c r="D240" s="14" t="s">
        <v>2074</v>
      </c>
      <c r="E240" s="14" t="s">
        <v>2075</v>
      </c>
      <c r="F240" s="14" t="s">
        <v>2076</v>
      </c>
      <c r="G240" s="14" t="s">
        <v>2077</v>
      </c>
      <c r="H240" s="14" t="s">
        <v>2078</v>
      </c>
      <c r="I240" s="14"/>
      <c r="J240" s="14" t="s">
        <v>1704</v>
      </c>
      <c r="K240" s="14" t="s">
        <v>48</v>
      </c>
      <c r="L240" s="14" t="s">
        <v>2079</v>
      </c>
      <c r="M240" s="14" t="s">
        <v>2080</v>
      </c>
      <c r="N240" s="14" t="s">
        <v>70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/>
      <c r="Z240" s="15" t="n">
        <f aca="false">IF(X240=0,"",X240-Y240)</f>
        <v>2</v>
      </c>
      <c r="AA240" s="21" t="n">
        <f aca="false">IFERROR(Y240/X240,"")</f>
        <v>0</v>
      </c>
      <c r="AB240" s="15" t="n">
        <v>0</v>
      </c>
      <c r="AC240" s="22" t="n">
        <f aca="false">AB240*(1+$L$3)</f>
        <v>0</v>
      </c>
      <c r="AD240" s="20"/>
      <c r="AE240" s="23" t="n">
        <f aca="false">AC240-AD240</f>
        <v>0</v>
      </c>
      <c r="AF240" s="21" t="str">
        <f aca="false">IFERROR(AD240/AC240,"")</f>
        <v/>
      </c>
    </row>
    <row r="241" customFormat="false" ht="15" hidden="false" customHeight="true" outlineLevel="0" collapsed="false">
      <c r="A241" s="14" t="n">
        <v>645077</v>
      </c>
      <c r="B241" s="14" t="n">
        <v>486474</v>
      </c>
      <c r="C241" s="14" t="s">
        <v>2081</v>
      </c>
      <c r="D241" s="14" t="s">
        <v>2082</v>
      </c>
      <c r="E241" s="14" t="s">
        <v>2083</v>
      </c>
      <c r="F241" s="14" t="s">
        <v>2084</v>
      </c>
      <c r="G241" s="14" t="s">
        <v>2085</v>
      </c>
      <c r="H241" s="14" t="s">
        <v>2086</v>
      </c>
      <c r="I241" s="14"/>
      <c r="J241" s="14" t="s">
        <v>2087</v>
      </c>
      <c r="K241" s="14" t="s">
        <v>2088</v>
      </c>
      <c r="L241" s="14" t="s">
        <v>2089</v>
      </c>
      <c r="M241" s="14" t="s">
        <v>2090</v>
      </c>
      <c r="N241" s="14" t="s">
        <v>70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2" t="n">
        <f aca="false">AB241*(1+$L$3)</f>
        <v>0</v>
      </c>
      <c r="AD241" s="20"/>
      <c r="AE241" s="23" t="n">
        <f aca="false">AC241-AD241</f>
        <v>0</v>
      </c>
      <c r="AF241" s="21" t="str">
        <f aca="false">IFERROR(AD241/AC241,"")</f>
        <v/>
      </c>
    </row>
    <row r="242" customFormat="false" ht="15" hidden="false" customHeight="true" outlineLevel="0" collapsed="false">
      <c r="A242" s="14" t="n">
        <v>644246</v>
      </c>
      <c r="B242" s="14" t="n">
        <v>485696</v>
      </c>
      <c r="C242" s="14" t="s">
        <v>2091</v>
      </c>
      <c r="D242" s="14" t="s">
        <v>2092</v>
      </c>
      <c r="E242" s="14" t="s">
        <v>2093</v>
      </c>
      <c r="F242" s="14" t="s">
        <v>2094</v>
      </c>
      <c r="G242" s="14" t="s">
        <v>2095</v>
      </c>
      <c r="H242" s="14" t="s">
        <v>2096</v>
      </c>
      <c r="I242" s="14"/>
      <c r="J242" s="14" t="s">
        <v>1458</v>
      </c>
      <c r="K242" s="14" t="s">
        <v>1026</v>
      </c>
      <c r="L242" s="14" t="s">
        <v>2097</v>
      </c>
      <c r="M242" s="14" t="s">
        <v>2098</v>
      </c>
      <c r="N242" s="14" t="s">
        <v>70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2" t="n">
        <f aca="false">AB242*(1+$L$3)</f>
        <v>0</v>
      </c>
      <c r="AD242" s="20"/>
      <c r="AE242" s="23" t="n">
        <f aca="false">AC242-AD242</f>
        <v>0</v>
      </c>
      <c r="AF242" s="21" t="str">
        <f aca="false">IFERROR(AD242/AC242,"")</f>
        <v/>
      </c>
    </row>
    <row r="243" customFormat="false" ht="15" hidden="false" customHeight="true" outlineLevel="0" collapsed="false">
      <c r="A243" s="14" t="n">
        <v>632606</v>
      </c>
      <c r="B243" s="14" t="n">
        <v>479121</v>
      </c>
      <c r="C243" s="14" t="s">
        <v>2099</v>
      </c>
      <c r="D243" s="14" t="s">
        <v>2100</v>
      </c>
      <c r="E243" s="14" t="s">
        <v>2101</v>
      </c>
      <c r="F243" s="14" t="s">
        <v>2102</v>
      </c>
      <c r="G243" s="14" t="s">
        <v>2103</v>
      </c>
      <c r="H243" s="14" t="s">
        <v>2104</v>
      </c>
      <c r="I243" s="14" t="s">
        <v>129</v>
      </c>
      <c r="J243" s="14" t="s">
        <v>708</v>
      </c>
      <c r="K243" s="14" t="s">
        <v>709</v>
      </c>
      <c r="L243" s="14" t="s">
        <v>2105</v>
      </c>
      <c r="M243" s="14" t="s">
        <v>2106</v>
      </c>
      <c r="N243" s="14" t="s">
        <v>70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2" t="n">
        <f aca="false">AB243*(1+$L$3)</f>
        <v>0</v>
      </c>
      <c r="AD243" s="20"/>
      <c r="AE243" s="23" t="n">
        <f aca="false">AC243-AD243</f>
        <v>0</v>
      </c>
      <c r="AF243" s="21" t="str">
        <f aca="false">IFERROR(AD243/AC243,"")</f>
        <v/>
      </c>
    </row>
    <row r="244" customFormat="false" ht="15" hidden="false" customHeight="true" outlineLevel="0" collapsed="false">
      <c r="A244" s="14" t="n">
        <v>646387</v>
      </c>
      <c r="B244" s="14" t="n">
        <v>487747</v>
      </c>
      <c r="C244" s="14" t="s">
        <v>2107</v>
      </c>
      <c r="D244" s="14" t="s">
        <v>2108</v>
      </c>
      <c r="E244" s="14" t="s">
        <v>2109</v>
      </c>
      <c r="F244" s="14" t="s">
        <v>2110</v>
      </c>
      <c r="G244" s="14" t="s">
        <v>2111</v>
      </c>
      <c r="H244" s="14" t="s">
        <v>2112</v>
      </c>
      <c r="I244" s="14"/>
      <c r="J244" s="14" t="s">
        <v>2113</v>
      </c>
      <c r="K244" s="14" t="s">
        <v>1026</v>
      </c>
      <c r="L244" s="14" t="s">
        <v>2114</v>
      </c>
      <c r="M244" s="14" t="s">
        <v>2115</v>
      </c>
      <c r="N244" s="14" t="s">
        <v>70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1</v>
      </c>
      <c r="Z244" s="15" t="n">
        <f aca="false">IF(X244=0,"",X244-Y244)</f>
        <v>1</v>
      </c>
      <c r="AA244" s="21" t="n">
        <f aca="false">IFERROR(Y244/X244,"")</f>
        <v>0.5</v>
      </c>
      <c r="AB244" s="15" t="n">
        <v>0</v>
      </c>
      <c r="AC244" s="22" t="n">
        <f aca="false">AB244*(1+$L$3)</f>
        <v>0</v>
      </c>
      <c r="AD244" s="20"/>
      <c r="AE244" s="23" t="n">
        <f aca="false">AC244-AD244</f>
        <v>0</v>
      </c>
      <c r="AF244" s="21" t="str">
        <f aca="false">IFERROR(AD244/AC244,"")</f>
        <v/>
      </c>
    </row>
    <row r="245" customFormat="false" ht="15" hidden="false" customHeight="true" outlineLevel="0" collapsed="false">
      <c r="A245" s="14" t="n">
        <v>624935</v>
      </c>
      <c r="B245" s="14" t="n">
        <v>473945</v>
      </c>
      <c r="C245" s="14" t="s">
        <v>2116</v>
      </c>
      <c r="D245" s="14" t="s">
        <v>2117</v>
      </c>
      <c r="E245" s="14" t="s">
        <v>2118</v>
      </c>
      <c r="F245" s="14" t="s">
        <v>2119</v>
      </c>
      <c r="G245" s="14" t="s">
        <v>2120</v>
      </c>
      <c r="H245" s="14" t="s">
        <v>2121</v>
      </c>
      <c r="I245" s="14"/>
      <c r="J245" s="14" t="s">
        <v>758</v>
      </c>
      <c r="K245" s="14" t="s">
        <v>67</v>
      </c>
      <c r="L245" s="14" t="s">
        <v>759</v>
      </c>
      <c r="M245" s="14" t="s">
        <v>2122</v>
      </c>
      <c r="N245" s="14" t="s">
        <v>70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2" t="n">
        <f aca="false">AB245*(1+$L$3)</f>
        <v>0</v>
      </c>
      <c r="AD245" s="20"/>
      <c r="AE245" s="23" t="n">
        <f aca="false">AC245-AD245</f>
        <v>0</v>
      </c>
      <c r="AF245" s="21" t="str">
        <f aca="false">IFERROR(AD245/AC245,"")</f>
        <v/>
      </c>
    </row>
    <row r="246" customFormat="false" ht="15" hidden="false" customHeight="true" outlineLevel="0" collapsed="false">
      <c r="A246" s="14" t="n">
        <v>162636</v>
      </c>
      <c r="B246" s="14" t="n">
        <v>173313</v>
      </c>
      <c r="C246" s="14" t="s">
        <v>2123</v>
      </c>
      <c r="D246" s="14" t="s">
        <v>2124</v>
      </c>
      <c r="E246" s="14" t="s">
        <v>2125</v>
      </c>
      <c r="F246" s="14" t="s">
        <v>2126</v>
      </c>
      <c r="G246" s="14" t="s">
        <v>2127</v>
      </c>
      <c r="H246" s="14" t="s">
        <v>2128</v>
      </c>
      <c r="I246" s="14"/>
      <c r="J246" s="14" t="s">
        <v>2129</v>
      </c>
      <c r="K246" s="14" t="s">
        <v>67</v>
      </c>
      <c r="L246" s="14" t="s">
        <v>2130</v>
      </c>
      <c r="M246" s="14" t="s">
        <v>2131</v>
      </c>
      <c r="N246" s="14" t="s">
        <v>70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2</v>
      </c>
      <c r="Z246" s="15" t="n">
        <f aca="false">IF(X246=0,"",X246-Y246)</f>
        <v>0</v>
      </c>
      <c r="AA246" s="21" t="n">
        <f aca="false">IFERROR(Y246/X246,"")</f>
        <v>1</v>
      </c>
      <c r="AB246" s="15" t="n">
        <v>0</v>
      </c>
      <c r="AC246" s="22" t="n">
        <f aca="false">AB246*(1+$L$3)</f>
        <v>0</v>
      </c>
      <c r="AD246" s="20"/>
      <c r="AE246" s="23" t="n">
        <f aca="false">AC246-AD246</f>
        <v>0</v>
      </c>
      <c r="AF246" s="21" t="str">
        <f aca="false">IFERROR(AD246/AC246,"")</f>
        <v/>
      </c>
    </row>
    <row r="247" customFormat="false" ht="15" hidden="false" customHeight="true" outlineLevel="0" collapsed="false">
      <c r="A247" s="14" t="n">
        <v>153065</v>
      </c>
      <c r="B247" s="14" t="n">
        <v>164375</v>
      </c>
      <c r="C247" s="14" t="s">
        <v>2132</v>
      </c>
      <c r="D247" s="14" t="s">
        <v>2133</v>
      </c>
      <c r="E247" s="14" t="s">
        <v>2134</v>
      </c>
      <c r="F247" s="14" t="s">
        <v>2135</v>
      </c>
      <c r="G247" s="14" t="s">
        <v>2136</v>
      </c>
      <c r="H247" s="14" t="s">
        <v>2137</v>
      </c>
      <c r="I247" s="14"/>
      <c r="J247" s="14" t="s">
        <v>2138</v>
      </c>
      <c r="K247" s="14" t="s">
        <v>604</v>
      </c>
      <c r="L247" s="14" t="s">
        <v>2139</v>
      </c>
      <c r="M247" s="14" t="s">
        <v>2140</v>
      </c>
      <c r="N247" s="14" t="s">
        <v>70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2</v>
      </c>
      <c r="Z247" s="15" t="n">
        <f aca="false">IF(X247=0,"",X247-Y247)</f>
        <v>0</v>
      </c>
      <c r="AA247" s="21" t="n">
        <f aca="false">IFERROR(Y247/X247,"")</f>
        <v>1</v>
      </c>
      <c r="AB247" s="15" t="n">
        <v>0</v>
      </c>
      <c r="AC247" s="22" t="n">
        <f aca="false">AB247*(1+$L$3)</f>
        <v>0</v>
      </c>
      <c r="AD247" s="20"/>
      <c r="AE247" s="23" t="n">
        <f aca="false">AC247-AD247</f>
        <v>0</v>
      </c>
      <c r="AF247" s="21" t="str">
        <f aca="false">IFERROR(AD247/AC247,"")</f>
        <v/>
      </c>
    </row>
    <row r="248" customFormat="false" ht="15" hidden="false" customHeight="true" outlineLevel="0" collapsed="false">
      <c r="A248" s="14" t="n">
        <v>551932</v>
      </c>
      <c r="B248" s="14" t="n">
        <v>405008</v>
      </c>
      <c r="C248" s="14" t="s">
        <v>2141</v>
      </c>
      <c r="D248" s="14" t="s">
        <v>2142</v>
      </c>
      <c r="E248" s="14" t="s">
        <v>2143</v>
      </c>
      <c r="F248" s="14" t="s">
        <v>2144</v>
      </c>
      <c r="G248" s="14" t="s">
        <v>2145</v>
      </c>
      <c r="H248" s="14" t="s">
        <v>2146</v>
      </c>
      <c r="I248" s="14"/>
      <c r="J248" s="14" t="s">
        <v>2147</v>
      </c>
      <c r="K248" s="14" t="s">
        <v>1545</v>
      </c>
      <c r="L248" s="14" t="s">
        <v>2148</v>
      </c>
      <c r="M248" s="14" t="s">
        <v>2149</v>
      </c>
      <c r="N248" s="14" t="s">
        <v>70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2" t="n">
        <f aca="false">AB248*(1+$L$3)</f>
        <v>0</v>
      </c>
      <c r="AD248" s="20"/>
      <c r="AE248" s="23" t="n">
        <f aca="false">AC248-AD248</f>
        <v>0</v>
      </c>
      <c r="AF248" s="21" t="str">
        <f aca="false">IFERROR(AD248/AC248,"")</f>
        <v/>
      </c>
    </row>
    <row r="249" customFormat="false" ht="15" hidden="false" customHeight="true" outlineLevel="0" collapsed="false">
      <c r="A249" s="14" t="n">
        <v>608615</v>
      </c>
      <c r="B249" s="14" t="n">
        <v>458189</v>
      </c>
      <c r="C249" s="14" t="s">
        <v>2150</v>
      </c>
      <c r="D249" s="14" t="s">
        <v>2151</v>
      </c>
      <c r="E249" s="14" t="s">
        <v>2152</v>
      </c>
      <c r="F249" s="14" t="s">
        <v>2153</v>
      </c>
      <c r="G249" s="14" t="s">
        <v>2154</v>
      </c>
      <c r="H249" s="14" t="s">
        <v>2155</v>
      </c>
      <c r="I249" s="14"/>
      <c r="J249" s="14" t="s">
        <v>1633</v>
      </c>
      <c r="K249" s="14" t="s">
        <v>67</v>
      </c>
      <c r="L249" s="14" t="s">
        <v>2156</v>
      </c>
      <c r="M249" s="14" t="s">
        <v>2157</v>
      </c>
      <c r="N249" s="14" t="s">
        <v>70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2</v>
      </c>
      <c r="Z249" s="15" t="n">
        <f aca="false">IF(X249=0,"",X249-Y249)</f>
        <v>0</v>
      </c>
      <c r="AA249" s="21" t="n">
        <f aca="false">IFERROR(Y249/X249,"")</f>
        <v>1</v>
      </c>
      <c r="AB249" s="15" t="n">
        <v>0</v>
      </c>
      <c r="AC249" s="22" t="n">
        <f aca="false">AB249*(1+$L$3)</f>
        <v>0</v>
      </c>
      <c r="AD249" s="20"/>
      <c r="AE249" s="23" t="n">
        <f aca="false">AC249-AD249</f>
        <v>0</v>
      </c>
      <c r="AF249" s="21" t="str">
        <f aca="false">IFERROR(AD249/AC249,"")</f>
        <v/>
      </c>
    </row>
    <row r="250" customFormat="false" ht="15" hidden="false" customHeight="true" outlineLevel="0" collapsed="false">
      <c r="A250" s="14" t="n">
        <v>658110</v>
      </c>
      <c r="B250" s="14" t="n">
        <v>499113</v>
      </c>
      <c r="C250" s="14" t="s">
        <v>2158</v>
      </c>
      <c r="D250" s="14" t="s">
        <v>2159</v>
      </c>
      <c r="E250" s="14" t="s">
        <v>2160</v>
      </c>
      <c r="F250" s="14" t="s">
        <v>2161</v>
      </c>
      <c r="G250" s="14" t="s">
        <v>2162</v>
      </c>
      <c r="H250" s="14" t="s">
        <v>2163</v>
      </c>
      <c r="I250" s="14"/>
      <c r="J250" s="14" t="s">
        <v>1448</v>
      </c>
      <c r="K250" s="14" t="s">
        <v>709</v>
      </c>
      <c r="L250" s="14" t="s">
        <v>1449</v>
      </c>
      <c r="M250" s="14" t="s">
        <v>2164</v>
      </c>
      <c r="N250" s="14" t="s">
        <v>70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2" t="n">
        <f aca="false">AB250*(1+$L$3)</f>
        <v>0</v>
      </c>
      <c r="AD250" s="20"/>
      <c r="AE250" s="23" t="n">
        <f aca="false">AC250-AD250</f>
        <v>0</v>
      </c>
      <c r="AF250" s="21" t="str">
        <f aca="false">IFERROR(AD250/AC250,"")</f>
        <v/>
      </c>
    </row>
    <row r="251" customFormat="false" ht="15" hidden="false" customHeight="true" outlineLevel="0" collapsed="false">
      <c r="A251" s="14" t="n">
        <v>613067</v>
      </c>
      <c r="B251" s="14" t="n">
        <v>462599</v>
      </c>
      <c r="C251" s="14" t="s">
        <v>2165</v>
      </c>
      <c r="D251" s="14" t="s">
        <v>2166</v>
      </c>
      <c r="E251" s="14" t="s">
        <v>2167</v>
      </c>
      <c r="F251" s="14" t="s">
        <v>2168</v>
      </c>
      <c r="G251" s="14" t="s">
        <v>2169</v>
      </c>
      <c r="H251" s="14" t="s">
        <v>2170</v>
      </c>
      <c r="I251" s="14"/>
      <c r="J251" s="14" t="s">
        <v>1345</v>
      </c>
      <c r="K251" s="14" t="s">
        <v>67</v>
      </c>
      <c r="L251" s="14" t="s">
        <v>1346</v>
      </c>
      <c r="M251" s="14" t="s">
        <v>2171</v>
      </c>
      <c r="N251" s="14" t="s">
        <v>70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2" t="n">
        <f aca="false">AB251*(1+$L$3)</f>
        <v>0</v>
      </c>
      <c r="AD251" s="20"/>
      <c r="AE251" s="23" t="n">
        <f aca="false">AC251-AD251</f>
        <v>0</v>
      </c>
      <c r="AF251" s="21" t="str">
        <f aca="false">IFERROR(AD251/AC251,"")</f>
        <v/>
      </c>
    </row>
    <row r="252" customFormat="false" ht="15" hidden="false" customHeight="true" outlineLevel="0" collapsed="false">
      <c r="A252" s="14" t="n">
        <v>660931</v>
      </c>
      <c r="B252" s="14" t="n">
        <v>501945</v>
      </c>
      <c r="C252" s="14" t="s">
        <v>2172</v>
      </c>
      <c r="D252" s="14" t="s">
        <v>2173</v>
      </c>
      <c r="E252" s="14" t="s">
        <v>2174</v>
      </c>
      <c r="F252" s="14" t="s">
        <v>2175</v>
      </c>
      <c r="G252" s="14" t="s">
        <v>2176</v>
      </c>
      <c r="H252" s="14" t="s">
        <v>2177</v>
      </c>
      <c r="I252" s="14" t="s">
        <v>65</v>
      </c>
      <c r="J252" s="14" t="s">
        <v>306</v>
      </c>
      <c r="K252" s="14" t="s">
        <v>307</v>
      </c>
      <c r="L252" s="14" t="s">
        <v>2178</v>
      </c>
      <c r="M252" s="14" t="s">
        <v>2179</v>
      </c>
      <c r="N252" s="14" t="s">
        <v>70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2" t="n">
        <f aca="false">AB252*(1+$L$3)</f>
        <v>0</v>
      </c>
      <c r="AD252" s="20"/>
      <c r="AE252" s="23" t="n">
        <f aca="false">AC252-AD252</f>
        <v>0</v>
      </c>
      <c r="AF252" s="21" t="str">
        <f aca="false">IFERROR(AD252/AC252,"")</f>
        <v/>
      </c>
    </row>
    <row r="253" customFormat="false" ht="15" hidden="false" customHeight="true" outlineLevel="0" collapsed="false">
      <c r="A253" s="14" t="n">
        <v>660804</v>
      </c>
      <c r="B253" s="14" t="n">
        <v>501819</v>
      </c>
      <c r="C253" s="14" t="s">
        <v>2180</v>
      </c>
      <c r="D253" s="14" t="s">
        <v>2181</v>
      </c>
      <c r="E253" s="14" t="s">
        <v>2182</v>
      </c>
      <c r="F253" s="14"/>
      <c r="G253" s="14" t="s">
        <v>2183</v>
      </c>
      <c r="H253" s="14" t="s">
        <v>2184</v>
      </c>
      <c r="I253" s="14" t="s">
        <v>2185</v>
      </c>
      <c r="J253" s="14" t="s">
        <v>407</v>
      </c>
      <c r="K253" s="14" t="s">
        <v>408</v>
      </c>
      <c r="L253" s="14" t="s">
        <v>523</v>
      </c>
      <c r="M253" s="14" t="s">
        <v>2186</v>
      </c>
      <c r="N253" s="14" t="s">
        <v>70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2" t="n">
        <f aca="false">AB253*(1+$L$3)</f>
        <v>0</v>
      </c>
      <c r="AD253" s="20"/>
      <c r="AE253" s="23" t="n">
        <f aca="false">AC253-AD253</f>
        <v>0</v>
      </c>
      <c r="AF253" s="21" t="str">
        <f aca="false">IFERROR(AD253/AC253,"")</f>
        <v/>
      </c>
    </row>
    <row r="254" customFormat="false" ht="15" hidden="false" customHeight="true" outlineLevel="0" collapsed="false">
      <c r="A254" s="14" t="n">
        <v>660753</v>
      </c>
      <c r="B254" s="14" t="n">
        <v>501765</v>
      </c>
      <c r="C254" s="14" t="s">
        <v>2187</v>
      </c>
      <c r="D254" s="14" t="s">
        <v>2188</v>
      </c>
      <c r="E254" s="14" t="s">
        <v>2189</v>
      </c>
      <c r="F254" s="14" t="s">
        <v>2190</v>
      </c>
      <c r="G254" s="14" t="s">
        <v>2191</v>
      </c>
      <c r="H254" s="14" t="s">
        <v>2192</v>
      </c>
      <c r="I254" s="14"/>
      <c r="J254" s="14" t="s">
        <v>2193</v>
      </c>
      <c r="K254" s="14" t="s">
        <v>307</v>
      </c>
      <c r="L254" s="14" t="s">
        <v>2194</v>
      </c>
      <c r="M254" s="14" t="s">
        <v>2195</v>
      </c>
      <c r="N254" s="14" t="s">
        <v>70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2" t="n">
        <f aca="false">AB254*(1+$L$3)</f>
        <v>0</v>
      </c>
      <c r="AD254" s="20"/>
      <c r="AE254" s="23" t="n">
        <f aca="false">AC254-AD254</f>
        <v>0</v>
      </c>
      <c r="AF254" s="21" t="str">
        <f aca="false">IFERROR(AD254/AC254,"")</f>
        <v/>
      </c>
    </row>
    <row r="255" customFormat="false" ht="15" hidden="false" customHeight="true" outlineLevel="0" collapsed="false">
      <c r="A255" s="14" t="n">
        <v>660619</v>
      </c>
      <c r="B255" s="14" t="n">
        <v>501628</v>
      </c>
      <c r="C255" s="14" t="s">
        <v>2196</v>
      </c>
      <c r="D255" s="14" t="s">
        <v>2197</v>
      </c>
      <c r="E255" s="14" t="s">
        <v>2198</v>
      </c>
      <c r="F255" s="14" t="s">
        <v>2199</v>
      </c>
      <c r="G255" s="14" t="s">
        <v>2200</v>
      </c>
      <c r="H255" s="14" t="s">
        <v>2201</v>
      </c>
      <c r="I255" s="14"/>
      <c r="J255" s="14" t="s">
        <v>407</v>
      </c>
      <c r="K255" s="14" t="s">
        <v>408</v>
      </c>
      <c r="L255" s="14" t="s">
        <v>523</v>
      </c>
      <c r="M255" s="14" t="s">
        <v>2202</v>
      </c>
      <c r="N255" s="14" t="s">
        <v>70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2" t="n">
        <f aca="false">AB255*(1+$L$3)</f>
        <v>0</v>
      </c>
      <c r="AD255" s="20"/>
      <c r="AE255" s="23" t="n">
        <f aca="false">AC255-AD255</f>
        <v>0</v>
      </c>
      <c r="AF255" s="21" t="str">
        <f aca="false">IFERROR(AD255/AC255,"")</f>
        <v/>
      </c>
    </row>
    <row r="256" customFormat="false" ht="15" hidden="false" customHeight="true" outlineLevel="0" collapsed="false">
      <c r="A256" s="14" t="n">
        <v>660330</v>
      </c>
      <c r="B256" s="14" t="n">
        <v>501338</v>
      </c>
      <c r="C256" s="14" t="s">
        <v>2203</v>
      </c>
      <c r="D256" s="14" t="s">
        <v>2204</v>
      </c>
      <c r="E256" s="14" t="s">
        <v>2205</v>
      </c>
      <c r="F256" s="14" t="s">
        <v>2206</v>
      </c>
      <c r="G256" s="14" t="s">
        <v>2207</v>
      </c>
      <c r="H256" s="14" t="s">
        <v>2208</v>
      </c>
      <c r="I256" s="14" t="s">
        <v>2209</v>
      </c>
      <c r="J256" s="14" t="s">
        <v>2210</v>
      </c>
      <c r="K256" s="14" t="s">
        <v>307</v>
      </c>
      <c r="L256" s="14" t="s">
        <v>2211</v>
      </c>
      <c r="M256" s="14" t="s">
        <v>2212</v>
      </c>
      <c r="N256" s="14" t="s">
        <v>70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2" t="n">
        <f aca="false">AB256*(1+$L$3)</f>
        <v>0</v>
      </c>
      <c r="AD256" s="20"/>
      <c r="AE256" s="23" t="n">
        <f aca="false">AC256-AD256</f>
        <v>0</v>
      </c>
      <c r="AF256" s="21" t="str">
        <f aca="false">IFERROR(AD256/AC256,"")</f>
        <v/>
      </c>
    </row>
    <row r="257" customFormat="false" ht="15" hidden="false" customHeight="true" outlineLevel="0" collapsed="false">
      <c r="A257" s="14" t="n">
        <v>660020</v>
      </c>
      <c r="B257" s="14" t="n">
        <v>501024</v>
      </c>
      <c r="C257" s="14" t="s">
        <v>2213</v>
      </c>
      <c r="D257" s="14" t="s">
        <v>2214</v>
      </c>
      <c r="E257" s="14" t="s">
        <v>2215</v>
      </c>
      <c r="F257" s="14" t="s">
        <v>2216</v>
      </c>
      <c r="G257" s="14" t="s">
        <v>2217</v>
      </c>
      <c r="H257" s="14" t="s">
        <v>2218</v>
      </c>
      <c r="I257" s="14"/>
      <c r="J257" s="14" t="s">
        <v>837</v>
      </c>
      <c r="K257" s="14" t="s">
        <v>307</v>
      </c>
      <c r="L257" s="14" t="s">
        <v>838</v>
      </c>
      <c r="M257" s="14" t="s">
        <v>2219</v>
      </c>
      <c r="N257" s="14" t="s">
        <v>70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2" t="n">
        <f aca="false">AB257*(1+$L$3)</f>
        <v>0</v>
      </c>
      <c r="AD257" s="20"/>
      <c r="AE257" s="23" t="n">
        <f aca="false">AC257-AD257</f>
        <v>0</v>
      </c>
      <c r="AF257" s="21" t="str">
        <f aca="false">IFERROR(AD257/AC257,"")</f>
        <v/>
      </c>
    </row>
    <row r="258" customFormat="false" ht="15" hidden="false" customHeight="true" outlineLevel="0" collapsed="false">
      <c r="A258" s="14" t="n">
        <v>660017</v>
      </c>
      <c r="B258" s="14" t="n">
        <v>501021</v>
      </c>
      <c r="C258" s="14" t="s">
        <v>2220</v>
      </c>
      <c r="D258" s="14" t="s">
        <v>2221</v>
      </c>
      <c r="E258" s="14" t="s">
        <v>2222</v>
      </c>
      <c r="F258" s="14" t="s">
        <v>2223</v>
      </c>
      <c r="G258" s="14" t="s">
        <v>2224</v>
      </c>
      <c r="H258" s="14" t="s">
        <v>2225</v>
      </c>
      <c r="I258" s="14" t="s">
        <v>2226</v>
      </c>
      <c r="J258" s="14" t="s">
        <v>306</v>
      </c>
      <c r="K258" s="14" t="s">
        <v>307</v>
      </c>
      <c r="L258" s="14" t="s">
        <v>2227</v>
      </c>
      <c r="M258" s="14" t="s">
        <v>2228</v>
      </c>
      <c r="N258" s="14" t="s">
        <v>70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2" t="n">
        <f aca="false">AB258*(1+$L$3)</f>
        <v>0</v>
      </c>
      <c r="AD258" s="20"/>
      <c r="AE258" s="23" t="n">
        <f aca="false">AC258-AD258</f>
        <v>0</v>
      </c>
      <c r="AF258" s="21" t="str">
        <f aca="false">IFERROR(AD258/AC258,"")</f>
        <v/>
      </c>
    </row>
    <row r="259" customFormat="false" ht="15" hidden="false" customHeight="true" outlineLevel="0" collapsed="false">
      <c r="A259" s="14" t="n">
        <v>658434</v>
      </c>
      <c r="B259" s="14" t="n">
        <v>499447</v>
      </c>
      <c r="C259" s="14" t="s">
        <v>2229</v>
      </c>
      <c r="D259" s="14" t="s">
        <v>2230</v>
      </c>
      <c r="E259" s="14" t="s">
        <v>2231</v>
      </c>
      <c r="F259" s="14" t="s">
        <v>2232</v>
      </c>
      <c r="G259" s="14" t="s">
        <v>2233</v>
      </c>
      <c r="H259" s="14" t="s">
        <v>2234</v>
      </c>
      <c r="I259" s="14" t="s">
        <v>2235</v>
      </c>
      <c r="J259" s="14" t="s">
        <v>1714</v>
      </c>
      <c r="K259" s="14" t="s">
        <v>1715</v>
      </c>
      <c r="L259" s="14" t="s">
        <v>2236</v>
      </c>
      <c r="M259" s="14" t="s">
        <v>2237</v>
      </c>
      <c r="N259" s="14" t="s">
        <v>70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2" t="n">
        <f aca="false">AB259*(1+$L$3)</f>
        <v>0</v>
      </c>
      <c r="AD259" s="20"/>
      <c r="AE259" s="23" t="n">
        <f aca="false">AC259-AD259</f>
        <v>0</v>
      </c>
      <c r="AF259" s="21" t="str">
        <f aca="false">IFERROR(AD259/AC259,"")</f>
        <v/>
      </c>
    </row>
    <row r="260" customFormat="false" ht="15" hidden="false" customHeight="true" outlineLevel="0" collapsed="false">
      <c r="A260" s="14" t="n">
        <v>657863</v>
      </c>
      <c r="B260" s="14" t="n">
        <v>498867</v>
      </c>
      <c r="C260" s="14" t="s">
        <v>2238</v>
      </c>
      <c r="D260" s="14" t="s">
        <v>2239</v>
      </c>
      <c r="E260" s="14" t="s">
        <v>2240</v>
      </c>
      <c r="F260" s="14" t="s">
        <v>2241</v>
      </c>
      <c r="G260" s="14" t="s">
        <v>2242</v>
      </c>
      <c r="H260" s="14" t="s">
        <v>2243</v>
      </c>
      <c r="I260" s="14"/>
      <c r="J260" s="14" t="s">
        <v>2244</v>
      </c>
      <c r="K260" s="14" t="s">
        <v>1545</v>
      </c>
      <c r="L260" s="14" t="s">
        <v>2245</v>
      </c>
      <c r="M260" s="14" t="s">
        <v>2246</v>
      </c>
      <c r="N260" s="14" t="s">
        <v>70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2" t="n">
        <f aca="false">AB260*(1+$L$3)</f>
        <v>0</v>
      </c>
      <c r="AD260" s="20"/>
      <c r="AE260" s="23" t="n">
        <f aca="false">AC260-AD260</f>
        <v>0</v>
      </c>
      <c r="AF260" s="21" t="str">
        <f aca="false">IFERROR(AD260/AC260,"")</f>
        <v/>
      </c>
    </row>
    <row r="261" customFormat="false" ht="15" hidden="false" customHeight="true" outlineLevel="0" collapsed="false">
      <c r="A261" s="14" t="n">
        <v>657857</v>
      </c>
      <c r="B261" s="14" t="n">
        <v>498861</v>
      </c>
      <c r="C261" s="14" t="s">
        <v>2247</v>
      </c>
      <c r="D261" s="14" t="s">
        <v>2248</v>
      </c>
      <c r="E261" s="14" t="s">
        <v>2249</v>
      </c>
      <c r="F261" s="14" t="s">
        <v>2250</v>
      </c>
      <c r="G261" s="14" t="s">
        <v>2251</v>
      </c>
      <c r="H261" s="14" t="s">
        <v>2252</v>
      </c>
      <c r="I261" s="14" t="s">
        <v>2253</v>
      </c>
      <c r="J261" s="14" t="s">
        <v>407</v>
      </c>
      <c r="K261" s="14" t="s">
        <v>408</v>
      </c>
      <c r="L261" s="14" t="s">
        <v>2254</v>
      </c>
      <c r="M261" s="14" t="s">
        <v>2255</v>
      </c>
      <c r="N261" s="14" t="s">
        <v>70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2" t="n">
        <f aca="false">AB261*(1+$L$3)</f>
        <v>0</v>
      </c>
      <c r="AD261" s="20"/>
      <c r="AE261" s="23" t="n">
        <f aca="false">AC261-AD261</f>
        <v>0</v>
      </c>
      <c r="AF261" s="21" t="str">
        <f aca="false">IFERROR(AD261/AC261,"")</f>
        <v/>
      </c>
    </row>
    <row r="262" customFormat="false" ht="15" hidden="false" customHeight="true" outlineLevel="0" collapsed="false">
      <c r="A262" s="14" t="n">
        <v>657586</v>
      </c>
      <c r="B262" s="14" t="n">
        <v>498616</v>
      </c>
      <c r="C262" s="14" t="s">
        <v>2256</v>
      </c>
      <c r="D262" s="14" t="s">
        <v>2257</v>
      </c>
      <c r="E262" s="14" t="s">
        <v>2258</v>
      </c>
      <c r="F262" s="14" t="s">
        <v>2259</v>
      </c>
      <c r="G262" s="14" t="s">
        <v>2260</v>
      </c>
      <c r="H262" s="14" t="s">
        <v>2261</v>
      </c>
      <c r="I262" s="14"/>
      <c r="J262" s="14" t="s">
        <v>407</v>
      </c>
      <c r="K262" s="14" t="s">
        <v>408</v>
      </c>
      <c r="L262" s="14" t="s">
        <v>2262</v>
      </c>
      <c r="M262" s="14" t="s">
        <v>2263</v>
      </c>
      <c r="N262" s="14" t="s">
        <v>70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/>
      <c r="Z262" s="15" t="n">
        <f aca="false">IF(X262=0,"",X262-Y262)</f>
        <v>2</v>
      </c>
      <c r="AA262" s="21" t="n">
        <f aca="false">IFERROR(Y262/X262,"")</f>
        <v>0</v>
      </c>
      <c r="AB262" s="15" t="n">
        <v>0</v>
      </c>
      <c r="AC262" s="22" t="n">
        <f aca="false">AB262*(1+$L$3)</f>
        <v>0</v>
      </c>
      <c r="AD262" s="20"/>
      <c r="AE262" s="23" t="n">
        <f aca="false">AC262-AD262</f>
        <v>0</v>
      </c>
      <c r="AF262" s="21" t="str">
        <f aca="false">IFERROR(AD262/AC262,"")</f>
        <v/>
      </c>
    </row>
    <row r="263" customFormat="false" ht="15" hidden="false" customHeight="true" outlineLevel="0" collapsed="false">
      <c r="A263" s="14" t="n">
        <v>656922</v>
      </c>
      <c r="B263" s="14" t="n">
        <v>496522</v>
      </c>
      <c r="C263" s="14" t="s">
        <v>2264</v>
      </c>
      <c r="D263" s="14" t="s">
        <v>2265</v>
      </c>
      <c r="E263" s="14" t="s">
        <v>2266</v>
      </c>
      <c r="F263" s="14" t="s">
        <v>2267</v>
      </c>
      <c r="G263" s="14" t="s">
        <v>2268</v>
      </c>
      <c r="H263" s="14" t="s">
        <v>2269</v>
      </c>
      <c r="I263" s="14"/>
      <c r="J263" s="14" t="s">
        <v>2270</v>
      </c>
      <c r="K263" s="14" t="s">
        <v>67</v>
      </c>
      <c r="L263" s="14" t="s">
        <v>2271</v>
      </c>
      <c r="M263" s="14" t="s">
        <v>2272</v>
      </c>
      <c r="N263" s="14" t="s">
        <v>70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 t="n">
        <v>2</v>
      </c>
      <c r="Z263" s="15" t="n">
        <f aca="false">IF(X263=0,"",X263-Y263)</f>
        <v>0</v>
      </c>
      <c r="AA263" s="21" t="n">
        <f aca="false">IFERROR(Y263/X263,"")</f>
        <v>1</v>
      </c>
      <c r="AB263" s="15" t="n">
        <v>0</v>
      </c>
      <c r="AC263" s="22" t="n">
        <f aca="false">AB263*(1+$L$3)</f>
        <v>0</v>
      </c>
      <c r="AD263" s="20"/>
      <c r="AE263" s="23" t="n">
        <f aca="false">AC263-AD263</f>
        <v>0</v>
      </c>
      <c r="AF263" s="21" t="str">
        <f aca="false">IFERROR(AD263/AC263,"")</f>
        <v/>
      </c>
    </row>
    <row r="264" customFormat="false" ht="15" hidden="false" customHeight="true" outlineLevel="0" collapsed="false">
      <c r="A264" s="14" t="n">
        <v>655792</v>
      </c>
      <c r="B264" s="14" t="n">
        <v>496920</v>
      </c>
      <c r="C264" s="14" t="s">
        <v>2273</v>
      </c>
      <c r="D264" s="14" t="s">
        <v>2274</v>
      </c>
      <c r="E264" s="14" t="s">
        <v>2275</v>
      </c>
      <c r="F264" s="14" t="s">
        <v>2276</v>
      </c>
      <c r="G264" s="14" t="s">
        <v>2277</v>
      </c>
      <c r="H264" s="14" t="s">
        <v>2278</v>
      </c>
      <c r="I264" s="14"/>
      <c r="J264" s="14" t="s">
        <v>1704</v>
      </c>
      <c r="K264" s="14" t="s">
        <v>48</v>
      </c>
      <c r="L264" s="14" t="s">
        <v>2079</v>
      </c>
      <c r="M264" s="14" t="s">
        <v>2279</v>
      </c>
      <c r="N264" s="14" t="s">
        <v>70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 t="n">
        <v>1</v>
      </c>
      <c r="Z264" s="15" t="n">
        <f aca="false">IF(X264=0,"",X264-Y264)</f>
        <v>1</v>
      </c>
      <c r="AA264" s="21" t="n">
        <f aca="false">IFERROR(Y264/X264,"")</f>
        <v>0.5</v>
      </c>
      <c r="AB264" s="15" t="n">
        <v>0</v>
      </c>
      <c r="AC264" s="22" t="n">
        <f aca="false">AB264*(1+$L$3)</f>
        <v>0</v>
      </c>
      <c r="AD264" s="20"/>
      <c r="AE264" s="23" t="n">
        <f aca="false">AC264-AD264</f>
        <v>0</v>
      </c>
      <c r="AF264" s="21" t="str">
        <f aca="false">IFERROR(AD264/AC264,"")</f>
        <v/>
      </c>
    </row>
    <row r="265" customFormat="false" ht="15" hidden="false" customHeight="true" outlineLevel="0" collapsed="false">
      <c r="A265" s="14" t="n">
        <v>655616</v>
      </c>
      <c r="B265" s="14" t="n">
        <v>496746</v>
      </c>
      <c r="C265" s="14" t="s">
        <v>2280</v>
      </c>
      <c r="D265" s="14" t="s">
        <v>2281</v>
      </c>
      <c r="E265" s="14" t="s">
        <v>2282</v>
      </c>
      <c r="F265" s="14" t="s">
        <v>2283</v>
      </c>
      <c r="G265" s="14" t="s">
        <v>2284</v>
      </c>
      <c r="H265" s="14" t="s">
        <v>2285</v>
      </c>
      <c r="I265" s="14"/>
      <c r="J265" s="14" t="s">
        <v>2286</v>
      </c>
      <c r="K265" s="14" t="s">
        <v>2287</v>
      </c>
      <c r="L265" s="14" t="s">
        <v>2288</v>
      </c>
      <c r="M265" s="14" t="s">
        <v>2289</v>
      </c>
      <c r="N265" s="14" t="s">
        <v>70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2" t="n">
        <f aca="false">AB265*(1+$L$3)</f>
        <v>0</v>
      </c>
      <c r="AD265" s="20"/>
      <c r="AE265" s="23" t="n">
        <f aca="false">AC265-AD265</f>
        <v>0</v>
      </c>
      <c r="AF265" s="21" t="str">
        <f aca="false">IFERROR(AD265/AC265,"")</f>
        <v/>
      </c>
    </row>
    <row r="266" customFormat="false" ht="15" hidden="false" customHeight="true" outlineLevel="0" collapsed="false">
      <c r="A266" s="14" t="n">
        <v>655528</v>
      </c>
      <c r="B266" s="14" t="n">
        <v>496666</v>
      </c>
      <c r="C266" s="14" t="s">
        <v>2290</v>
      </c>
      <c r="D266" s="14" t="s">
        <v>2291</v>
      </c>
      <c r="E266" s="14" t="s">
        <v>2292</v>
      </c>
      <c r="F266" s="14" t="s">
        <v>2293</v>
      </c>
      <c r="G266" s="14" t="s">
        <v>2294</v>
      </c>
      <c r="H266" s="14" t="s">
        <v>2295</v>
      </c>
      <c r="I266" s="14"/>
      <c r="J266" s="14" t="s">
        <v>2296</v>
      </c>
      <c r="K266" s="14" t="s">
        <v>2297</v>
      </c>
      <c r="L266" s="14" t="s">
        <v>2298</v>
      </c>
      <c r="M266" s="14" t="s">
        <v>2299</v>
      </c>
      <c r="N266" s="14" t="s">
        <v>70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2" t="n">
        <f aca="false">AB266*(1+$L$3)</f>
        <v>0</v>
      </c>
      <c r="AD266" s="20"/>
      <c r="AE266" s="23" t="n">
        <f aca="false">AC266-AD266</f>
        <v>0</v>
      </c>
      <c r="AF266" s="21" t="str">
        <f aca="false">IFERROR(AD266/AC266,"")</f>
        <v/>
      </c>
    </row>
    <row r="267" customFormat="false" ht="15" hidden="false" customHeight="true" outlineLevel="0" collapsed="false">
      <c r="A267" s="14" t="n">
        <v>655354</v>
      </c>
      <c r="B267" s="14" t="n">
        <v>496501</v>
      </c>
      <c r="C267" s="14" t="s">
        <v>2300</v>
      </c>
      <c r="D267" s="14" t="s">
        <v>2301</v>
      </c>
      <c r="E267" s="14" t="s">
        <v>2302</v>
      </c>
      <c r="F267" s="14" t="s">
        <v>2303</v>
      </c>
      <c r="G267" s="14" t="s">
        <v>2304</v>
      </c>
      <c r="H267" s="14" t="s">
        <v>2305</v>
      </c>
      <c r="I267" s="14"/>
      <c r="J267" s="14" t="s">
        <v>2306</v>
      </c>
      <c r="K267" s="14" t="s">
        <v>67</v>
      </c>
      <c r="L267" s="14" t="s">
        <v>2307</v>
      </c>
      <c r="M267" s="14" t="s">
        <v>2308</v>
      </c>
      <c r="N267" s="14" t="s">
        <v>70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/>
      <c r="Z267" s="15" t="n">
        <f aca="false">IF(X267=0,"",X267-Y267)</f>
        <v>2</v>
      </c>
      <c r="AA267" s="21" t="n">
        <f aca="false">IFERROR(Y267/X267,"")</f>
        <v>0</v>
      </c>
      <c r="AB267" s="15" t="n">
        <v>0</v>
      </c>
      <c r="AC267" s="22" t="n">
        <f aca="false">AB267*(1+$L$3)</f>
        <v>0</v>
      </c>
      <c r="AD267" s="20"/>
      <c r="AE267" s="23" t="n">
        <f aca="false">AC267-AD267</f>
        <v>0</v>
      </c>
      <c r="AF267" s="21" t="str">
        <f aca="false">IFERROR(AD267/AC267,"")</f>
        <v/>
      </c>
    </row>
    <row r="268" customFormat="false" ht="15" hidden="false" customHeight="true" outlineLevel="0" collapsed="false">
      <c r="A268" s="14" t="n">
        <v>655321</v>
      </c>
      <c r="B268" s="14" t="n">
        <v>496469</v>
      </c>
      <c r="C268" s="14" t="s">
        <v>2309</v>
      </c>
      <c r="D268" s="14" t="s">
        <v>2310</v>
      </c>
      <c r="E268" s="14" t="s">
        <v>2311</v>
      </c>
      <c r="F268" s="14" t="s">
        <v>2312</v>
      </c>
      <c r="G268" s="14" t="s">
        <v>2313</v>
      </c>
      <c r="H268" s="14" t="s">
        <v>2314</v>
      </c>
      <c r="I268" s="14"/>
      <c r="J268" s="14" t="s">
        <v>2315</v>
      </c>
      <c r="K268" s="14" t="s">
        <v>2316</v>
      </c>
      <c r="L268" s="14" t="s">
        <v>2317</v>
      </c>
      <c r="M268" s="14" t="s">
        <v>2318</v>
      </c>
      <c r="N268" s="14" t="s">
        <v>70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2" t="n">
        <f aca="false">AB268*(1+$L$3)</f>
        <v>0</v>
      </c>
      <c r="AD268" s="20"/>
      <c r="AE268" s="23" t="n">
        <f aca="false">AC268-AD268</f>
        <v>0</v>
      </c>
      <c r="AF268" s="21" t="str">
        <f aca="false">IFERROR(AD268/AC268,"")</f>
        <v/>
      </c>
    </row>
    <row r="269" customFormat="false" ht="15" hidden="false" customHeight="true" outlineLevel="0" collapsed="false">
      <c r="A269" s="14" t="n">
        <v>655220</v>
      </c>
      <c r="B269" s="14" t="n">
        <v>496368</v>
      </c>
      <c r="C269" s="14" t="s">
        <v>2319</v>
      </c>
      <c r="D269" s="14" t="s">
        <v>2320</v>
      </c>
      <c r="E269" s="14" t="s">
        <v>2321</v>
      </c>
      <c r="F269" s="14" t="s">
        <v>2322</v>
      </c>
      <c r="G269" s="14" t="s">
        <v>2323</v>
      </c>
      <c r="H269" s="14" t="s">
        <v>2324</v>
      </c>
      <c r="I269" s="14"/>
      <c r="J269" s="14" t="s">
        <v>2325</v>
      </c>
      <c r="K269" s="14" t="s">
        <v>2297</v>
      </c>
      <c r="L269" s="14" t="s">
        <v>2326</v>
      </c>
      <c r="M269" s="14" t="s">
        <v>2327</v>
      </c>
      <c r="N269" s="14" t="s">
        <v>70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2" t="n">
        <f aca="false">AB269*(1+$L$3)</f>
        <v>0</v>
      </c>
      <c r="AD269" s="20"/>
      <c r="AE269" s="23" t="n">
        <f aca="false">AC269-AD269</f>
        <v>0</v>
      </c>
      <c r="AF269" s="21" t="str">
        <f aca="false">IFERROR(AD269/AC269,"")</f>
        <v/>
      </c>
    </row>
    <row r="270" customFormat="false" ht="15" hidden="false" customHeight="true" outlineLevel="0" collapsed="false">
      <c r="A270" s="14" t="n">
        <v>655136</v>
      </c>
      <c r="B270" s="14" t="n">
        <v>496286</v>
      </c>
      <c r="C270" s="14" t="s">
        <v>2328</v>
      </c>
      <c r="D270" s="14" t="s">
        <v>2329</v>
      </c>
      <c r="E270" s="14" t="s">
        <v>2330</v>
      </c>
      <c r="F270" s="14" t="s">
        <v>2331</v>
      </c>
      <c r="G270" s="14" t="s">
        <v>2332</v>
      </c>
      <c r="H270" s="14" t="s">
        <v>2333</v>
      </c>
      <c r="I270" s="14"/>
      <c r="J270" s="14" t="s">
        <v>2334</v>
      </c>
      <c r="K270" s="14" t="s">
        <v>307</v>
      </c>
      <c r="L270" s="14" t="s">
        <v>2335</v>
      </c>
      <c r="M270" s="14" t="s">
        <v>2336</v>
      </c>
      <c r="N270" s="14" t="s">
        <v>70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2" t="n">
        <f aca="false">AB270*(1+$L$3)</f>
        <v>0</v>
      </c>
      <c r="AD270" s="20"/>
      <c r="AE270" s="23" t="n">
        <f aca="false">AC270-AD270</f>
        <v>0</v>
      </c>
      <c r="AF270" s="21" t="str">
        <f aca="false">IFERROR(AD270/AC270,"")</f>
        <v/>
      </c>
    </row>
    <row r="271" customFormat="false" ht="15" hidden="false" customHeight="true" outlineLevel="0" collapsed="false">
      <c r="A271" s="14" t="n">
        <v>654765</v>
      </c>
      <c r="B271" s="14" t="n">
        <v>495917</v>
      </c>
      <c r="C271" s="14" t="s">
        <v>2337</v>
      </c>
      <c r="D271" s="14" t="s">
        <v>2320</v>
      </c>
      <c r="E271" s="14" t="s">
        <v>2321</v>
      </c>
      <c r="F271" s="14" t="s">
        <v>2322</v>
      </c>
      <c r="G271" s="14" t="s">
        <v>2323</v>
      </c>
      <c r="H271" s="14" t="s">
        <v>2338</v>
      </c>
      <c r="I271" s="14"/>
      <c r="J271" s="14" t="s">
        <v>2339</v>
      </c>
      <c r="K271" s="14" t="s">
        <v>2297</v>
      </c>
      <c r="L271" s="14" t="s">
        <v>2340</v>
      </c>
      <c r="M271" s="14" t="s">
        <v>2327</v>
      </c>
      <c r="N271" s="14" t="s">
        <v>70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2" t="n">
        <f aca="false">AB271*(1+$L$3)</f>
        <v>0</v>
      </c>
      <c r="AD271" s="20"/>
      <c r="AE271" s="23" t="n">
        <f aca="false">AC271-AD271</f>
        <v>0</v>
      </c>
      <c r="AF271" s="21" t="str">
        <f aca="false">IFERROR(AD271/AC271,"")</f>
        <v/>
      </c>
    </row>
    <row r="272" customFormat="false" ht="15" hidden="false" customHeight="true" outlineLevel="0" collapsed="false">
      <c r="A272" s="14" t="n">
        <v>651742</v>
      </c>
      <c r="B272" s="14" t="n">
        <v>492988</v>
      </c>
      <c r="C272" s="14" t="s">
        <v>2341</v>
      </c>
      <c r="D272" s="14" t="s">
        <v>2342</v>
      </c>
      <c r="E272" s="14" t="s">
        <v>2343</v>
      </c>
      <c r="F272" s="14" t="s">
        <v>2344</v>
      </c>
      <c r="G272" s="14" t="s">
        <v>2345</v>
      </c>
      <c r="H272" s="14" t="s">
        <v>2346</v>
      </c>
      <c r="I272" s="14"/>
      <c r="J272" s="14" t="s">
        <v>2347</v>
      </c>
      <c r="K272" s="14" t="s">
        <v>464</v>
      </c>
      <c r="L272" s="14" t="s">
        <v>2348</v>
      </c>
      <c r="M272" s="14" t="s">
        <v>2349</v>
      </c>
      <c r="N272" s="14" t="s">
        <v>70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2" t="n">
        <f aca="false">AB272*(1+$L$3)</f>
        <v>0</v>
      </c>
      <c r="AD272" s="20"/>
      <c r="AE272" s="23" t="n">
        <f aca="false">AC272-AD272</f>
        <v>0</v>
      </c>
      <c r="AF272" s="21" t="str">
        <f aca="false">IFERROR(AD272/AC272,"")</f>
        <v/>
      </c>
    </row>
    <row r="273" customFormat="false" ht="15" hidden="false" customHeight="true" outlineLevel="0" collapsed="false">
      <c r="A273" s="14" t="n">
        <v>651219</v>
      </c>
      <c r="B273" s="14" t="n">
        <v>492474</v>
      </c>
      <c r="C273" s="14" t="s">
        <v>2350</v>
      </c>
      <c r="D273" s="14" t="s">
        <v>2351</v>
      </c>
      <c r="E273" s="14" t="s">
        <v>2352</v>
      </c>
      <c r="F273" s="14" t="s">
        <v>2353</v>
      </c>
      <c r="G273" s="14" t="s">
        <v>2354</v>
      </c>
      <c r="H273" s="14" t="s">
        <v>2355</v>
      </c>
      <c r="I273" s="14"/>
      <c r="J273" s="14" t="s">
        <v>862</v>
      </c>
      <c r="K273" s="14" t="s">
        <v>48</v>
      </c>
      <c r="L273" s="14" t="s">
        <v>2356</v>
      </c>
      <c r="M273" s="14" t="s">
        <v>2357</v>
      </c>
      <c r="N273" s="14" t="s">
        <v>70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2" t="n">
        <f aca="false">AB273*(1+$L$3)</f>
        <v>0</v>
      </c>
      <c r="AD273" s="20"/>
      <c r="AE273" s="23" t="n">
        <f aca="false">AC273-AD273</f>
        <v>0</v>
      </c>
      <c r="AF273" s="21" t="str">
        <f aca="false">IFERROR(AD273/AC273,"")</f>
        <v/>
      </c>
    </row>
    <row r="274" customFormat="false" ht="15" hidden="false" customHeight="true" outlineLevel="0" collapsed="false">
      <c r="A274" s="14" t="n">
        <v>650787</v>
      </c>
      <c r="B274" s="14" t="n">
        <v>492037</v>
      </c>
      <c r="C274" s="14" t="s">
        <v>2358</v>
      </c>
      <c r="D274" s="14" t="s">
        <v>2359</v>
      </c>
      <c r="E274" s="14" t="s">
        <v>2360</v>
      </c>
      <c r="F274" s="14" t="s">
        <v>2361</v>
      </c>
      <c r="G274" s="14" t="s">
        <v>2362</v>
      </c>
      <c r="H274" s="14" t="s">
        <v>2363</v>
      </c>
      <c r="I274" s="14" t="s">
        <v>2364</v>
      </c>
      <c r="J274" s="14" t="s">
        <v>2365</v>
      </c>
      <c r="K274" s="14" t="s">
        <v>1026</v>
      </c>
      <c r="L274" s="14" t="s">
        <v>1027</v>
      </c>
      <c r="M274" s="14" t="s">
        <v>2366</v>
      </c>
      <c r="N274" s="14" t="s">
        <v>70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2" t="n">
        <f aca="false">AB274*(1+$L$3)</f>
        <v>0</v>
      </c>
      <c r="AD274" s="20" t="n">
        <v>5</v>
      </c>
      <c r="AE274" s="23" t="n">
        <f aca="false">AC274-AD274</f>
        <v>-5</v>
      </c>
      <c r="AF274" s="21" t="str">
        <f aca="false">IFERROR(AD274/AC274,"")</f>
        <v/>
      </c>
    </row>
    <row r="275" customFormat="false" ht="15" hidden="false" customHeight="true" outlineLevel="0" collapsed="false">
      <c r="A275" s="14" t="n">
        <v>651034</v>
      </c>
      <c r="B275" s="14" t="n">
        <v>492288</v>
      </c>
      <c r="C275" s="14" t="s">
        <v>2367</v>
      </c>
      <c r="D275" s="14" t="s">
        <v>2368</v>
      </c>
      <c r="E275" s="14" t="s">
        <v>2369</v>
      </c>
      <c r="F275" s="14" t="s">
        <v>2370</v>
      </c>
      <c r="G275" s="14" t="s">
        <v>2371</v>
      </c>
      <c r="H275" s="14" t="s">
        <v>2372</v>
      </c>
      <c r="I275" s="14" t="s">
        <v>793</v>
      </c>
      <c r="J275" s="14" t="s">
        <v>2373</v>
      </c>
      <c r="K275" s="14" t="s">
        <v>67</v>
      </c>
      <c r="L275" s="14" t="s">
        <v>2374</v>
      </c>
      <c r="M275" s="14" t="s">
        <v>2375</v>
      </c>
      <c r="N275" s="14" t="s">
        <v>70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2" t="n">
        <f aca="false">AB275*(1+$L$3)</f>
        <v>0</v>
      </c>
      <c r="AD275" s="20"/>
      <c r="AE275" s="23" t="n">
        <f aca="false">AC275-AD275</f>
        <v>0</v>
      </c>
      <c r="AF275" s="21" t="str">
        <f aca="false">IFERROR(AD275/AC275,"")</f>
        <v/>
      </c>
    </row>
    <row r="276" customFormat="false" ht="15" hidden="false" customHeight="true" outlineLevel="0" collapsed="false">
      <c r="A276" s="14" t="n">
        <v>650725</v>
      </c>
      <c r="B276" s="14" t="n">
        <v>491973</v>
      </c>
      <c r="C276" s="14" t="s">
        <v>2376</v>
      </c>
      <c r="D276" s="14" t="s">
        <v>2377</v>
      </c>
      <c r="E276" s="14" t="s">
        <v>2378</v>
      </c>
      <c r="F276" s="14" t="s">
        <v>2379</v>
      </c>
      <c r="G276" s="14" t="s">
        <v>2380</v>
      </c>
      <c r="H276" s="14" t="s">
        <v>2381</v>
      </c>
      <c r="I276" s="14" t="s">
        <v>2382</v>
      </c>
      <c r="J276" s="14" t="s">
        <v>2383</v>
      </c>
      <c r="K276" s="14" t="s">
        <v>932</v>
      </c>
      <c r="L276" s="14" t="s">
        <v>2384</v>
      </c>
      <c r="M276" s="14" t="s">
        <v>2385</v>
      </c>
      <c r="N276" s="14" t="s">
        <v>70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/>
      <c r="Z276" s="15" t="n">
        <f aca="false">IF(X276=0,"",X276-Y276)</f>
        <v>2</v>
      </c>
      <c r="AA276" s="21" t="n">
        <f aca="false">IFERROR(Y276/X276,"")</f>
        <v>0</v>
      </c>
      <c r="AB276" s="15" t="n">
        <v>0</v>
      </c>
      <c r="AC276" s="22" t="n">
        <f aca="false">AB276*(1+$L$3)</f>
        <v>0</v>
      </c>
      <c r="AD276" s="20"/>
      <c r="AE276" s="23" t="n">
        <f aca="false">AC276-AD276</f>
        <v>0</v>
      </c>
      <c r="AF276" s="21" t="str">
        <f aca="false">IFERROR(AD276/AC276,"")</f>
        <v/>
      </c>
    </row>
    <row r="277" customFormat="false" ht="15" hidden="false" customHeight="true" outlineLevel="0" collapsed="false">
      <c r="A277" s="14" t="n">
        <v>648603</v>
      </c>
      <c r="B277" s="14" t="n">
        <v>489922</v>
      </c>
      <c r="C277" s="14" t="s">
        <v>2386</v>
      </c>
      <c r="D277" s="14" t="s">
        <v>2387</v>
      </c>
      <c r="E277" s="14" t="s">
        <v>2388</v>
      </c>
      <c r="F277" s="14" t="s">
        <v>2389</v>
      </c>
      <c r="G277" s="14" t="s">
        <v>2390</v>
      </c>
      <c r="H277" s="14" t="s">
        <v>2391</v>
      </c>
      <c r="I277" s="14"/>
      <c r="J277" s="14" t="s">
        <v>638</v>
      </c>
      <c r="K277" s="14" t="s">
        <v>67</v>
      </c>
      <c r="L277" s="14" t="s">
        <v>639</v>
      </c>
      <c r="M277" s="14" t="s">
        <v>2392</v>
      </c>
      <c r="N277" s="14" t="s">
        <v>70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/>
      <c r="Z277" s="15" t="n">
        <f aca="false">IF(X277=0,"",X277-Y277)</f>
        <v>2</v>
      </c>
      <c r="AA277" s="21" t="n">
        <f aca="false">IFERROR(Y277/X277,"")</f>
        <v>0</v>
      </c>
      <c r="AB277" s="15" t="n">
        <v>0</v>
      </c>
      <c r="AC277" s="22" t="n">
        <f aca="false">AB277*(1+$L$3)</f>
        <v>0</v>
      </c>
      <c r="AD277" s="20"/>
      <c r="AE277" s="23" t="n">
        <f aca="false">AC277-AD277</f>
        <v>0</v>
      </c>
      <c r="AF277" s="21" t="str">
        <f aca="false">IFERROR(AD277/AC277,"")</f>
        <v/>
      </c>
    </row>
    <row r="278" customFormat="false" ht="15" hidden="false" customHeight="true" outlineLevel="0" collapsed="false">
      <c r="A278" s="14" t="n">
        <v>646975</v>
      </c>
      <c r="B278" s="14" t="n">
        <v>488304</v>
      </c>
      <c r="C278" s="14" t="s">
        <v>2393</v>
      </c>
      <c r="D278" s="14" t="s">
        <v>2394</v>
      </c>
      <c r="E278" s="14" t="s">
        <v>2395</v>
      </c>
      <c r="F278" s="14" t="s">
        <v>2396</v>
      </c>
      <c r="G278" s="14" t="s">
        <v>2397</v>
      </c>
      <c r="H278" s="14" t="s">
        <v>2398</v>
      </c>
      <c r="I278" s="14"/>
      <c r="J278" s="14" t="s">
        <v>862</v>
      </c>
      <c r="K278" s="14" t="s">
        <v>48</v>
      </c>
      <c r="L278" s="14" t="s">
        <v>2399</v>
      </c>
      <c r="M278" s="14" t="s">
        <v>2400</v>
      </c>
      <c r="N278" s="14" t="s">
        <v>70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2" t="n">
        <f aca="false">AB278*(1+$L$3)</f>
        <v>0</v>
      </c>
      <c r="AD278" s="20"/>
      <c r="AE278" s="23" t="n">
        <f aca="false">AC278-AD278</f>
        <v>0</v>
      </c>
      <c r="AF278" s="21" t="str">
        <f aca="false">IFERROR(AD278/AC278,"")</f>
        <v/>
      </c>
    </row>
    <row r="279" customFormat="false" ht="15" hidden="false" customHeight="true" outlineLevel="0" collapsed="false">
      <c r="A279" s="14" t="n">
        <v>636254</v>
      </c>
      <c r="B279" s="14" t="n">
        <v>482712</v>
      </c>
      <c r="C279" s="14" t="s">
        <v>2401</v>
      </c>
      <c r="D279" s="14" t="s">
        <v>2402</v>
      </c>
      <c r="E279" s="14" t="s">
        <v>2403</v>
      </c>
      <c r="F279" s="14" t="s">
        <v>2404</v>
      </c>
      <c r="G279" s="14" t="s">
        <v>2405</v>
      </c>
      <c r="H279" s="14" t="s">
        <v>2406</v>
      </c>
      <c r="I279" s="14" t="s">
        <v>2407</v>
      </c>
      <c r="J279" s="14" t="s">
        <v>316</v>
      </c>
      <c r="K279" s="14" t="s">
        <v>307</v>
      </c>
      <c r="L279" s="14" t="s">
        <v>2408</v>
      </c>
      <c r="M279" s="14" t="s">
        <v>2409</v>
      </c>
      <c r="N279" s="14" t="s">
        <v>70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2" t="n">
        <f aca="false">AB279*(1+$L$3)</f>
        <v>0</v>
      </c>
      <c r="AD279" s="20"/>
      <c r="AE279" s="23" t="n">
        <f aca="false">AC279-AD279</f>
        <v>0</v>
      </c>
      <c r="AF279" s="21" t="str">
        <f aca="false">IFERROR(AD279/AC279,"")</f>
        <v/>
      </c>
    </row>
    <row r="280" customFormat="false" ht="15" hidden="false" customHeight="true" outlineLevel="0" collapsed="false">
      <c r="A280" s="14" t="n">
        <v>635908</v>
      </c>
      <c r="B280" s="14" t="n">
        <v>482367</v>
      </c>
      <c r="C280" s="14" t="s">
        <v>2410</v>
      </c>
      <c r="D280" s="14" t="s">
        <v>2411</v>
      </c>
      <c r="E280" s="14" t="s">
        <v>2412</v>
      </c>
      <c r="F280" s="14" t="s">
        <v>2413</v>
      </c>
      <c r="G280" s="14" t="s">
        <v>2414</v>
      </c>
      <c r="H280" s="14" t="s">
        <v>2415</v>
      </c>
      <c r="I280" s="14"/>
      <c r="J280" s="14" t="s">
        <v>306</v>
      </c>
      <c r="K280" s="14" t="s">
        <v>307</v>
      </c>
      <c r="L280" s="14" t="s">
        <v>2416</v>
      </c>
      <c r="M280" s="14" t="s">
        <v>2417</v>
      </c>
      <c r="N280" s="14" t="s">
        <v>70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/>
      <c r="Z280" s="15" t="n">
        <f aca="false">IF(X280=0,"",X280-Y280)</f>
        <v>2</v>
      </c>
      <c r="AA280" s="21" t="n">
        <f aca="false">IFERROR(Y280/X280,"")</f>
        <v>0</v>
      </c>
      <c r="AB280" s="15" t="n">
        <v>0</v>
      </c>
      <c r="AC280" s="22" t="n">
        <f aca="false">AB280*(1+$L$3)</f>
        <v>0</v>
      </c>
      <c r="AD280" s="20"/>
      <c r="AE280" s="23" t="n">
        <f aca="false">AC280-AD280</f>
        <v>0</v>
      </c>
      <c r="AF280" s="21" t="str">
        <f aca="false">IFERROR(AD280/AC280,"")</f>
        <v/>
      </c>
    </row>
    <row r="281" customFormat="false" ht="15" hidden="false" customHeight="true" outlineLevel="0" collapsed="false">
      <c r="A281" s="14" t="n">
        <v>650191</v>
      </c>
      <c r="B281" s="14" t="n">
        <v>491432</v>
      </c>
      <c r="C281" s="14" t="s">
        <v>2418</v>
      </c>
      <c r="D281" s="14" t="s">
        <v>2419</v>
      </c>
      <c r="E281" s="14" t="s">
        <v>2420</v>
      </c>
      <c r="F281" s="14" t="s">
        <v>2421</v>
      </c>
      <c r="G281" s="14" t="s">
        <v>2422</v>
      </c>
      <c r="H281" s="14" t="s">
        <v>2423</v>
      </c>
      <c r="I281" s="14"/>
      <c r="J281" s="14" t="s">
        <v>2424</v>
      </c>
      <c r="K281" s="14" t="s">
        <v>932</v>
      </c>
      <c r="L281" s="14" t="s">
        <v>2425</v>
      </c>
      <c r="M281" s="14" t="s">
        <v>2426</v>
      </c>
      <c r="N281" s="14" t="s">
        <v>70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 t="n">
        <v>1</v>
      </c>
      <c r="Z281" s="15" t="n">
        <f aca="false">IF(X281=0,"",X281-Y281)</f>
        <v>1</v>
      </c>
      <c r="AA281" s="21" t="n">
        <f aca="false">IFERROR(Y281/X281,"")</f>
        <v>0.5</v>
      </c>
      <c r="AB281" s="15" t="n">
        <v>0</v>
      </c>
      <c r="AC281" s="22" t="n">
        <f aca="false">AB281*(1+$L$3)</f>
        <v>0</v>
      </c>
      <c r="AD281" s="20"/>
      <c r="AE281" s="23" t="n">
        <f aca="false">AC281-AD281</f>
        <v>0</v>
      </c>
      <c r="AF281" s="21" t="str">
        <f aca="false">IFERROR(AD281/AC281,"")</f>
        <v/>
      </c>
    </row>
    <row r="282" customFormat="false" ht="15" hidden="false" customHeight="true" outlineLevel="0" collapsed="false">
      <c r="A282" s="14" t="n">
        <v>634301</v>
      </c>
      <c r="B282" s="14" t="n">
        <v>480795</v>
      </c>
      <c r="C282" s="14" t="s">
        <v>2427</v>
      </c>
      <c r="D282" s="14" t="s">
        <v>2428</v>
      </c>
      <c r="E282" s="14" t="s">
        <v>2429</v>
      </c>
      <c r="F282" s="14" t="s">
        <v>2430</v>
      </c>
      <c r="G282" s="14" t="s">
        <v>2431</v>
      </c>
      <c r="H282" s="14" t="s">
        <v>2432</v>
      </c>
      <c r="I282" s="14"/>
      <c r="J282" s="14" t="s">
        <v>385</v>
      </c>
      <c r="K282" s="14" t="s">
        <v>48</v>
      </c>
      <c r="L282" s="14" t="s">
        <v>2433</v>
      </c>
      <c r="M282" s="14" t="s">
        <v>2434</v>
      </c>
      <c r="N282" s="14" t="s">
        <v>70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2" t="n">
        <f aca="false">AB282*(1+$L$3)</f>
        <v>0</v>
      </c>
      <c r="AD282" s="20"/>
      <c r="AE282" s="23" t="n">
        <f aca="false">AC282-AD282</f>
        <v>0</v>
      </c>
      <c r="AF282" s="21" t="str">
        <f aca="false">IFERROR(AD282/AC282,"")</f>
        <v/>
      </c>
    </row>
    <row r="283" customFormat="false" ht="15" hidden="false" customHeight="true" outlineLevel="0" collapsed="false">
      <c r="A283" s="14" t="n">
        <v>633225</v>
      </c>
      <c r="B283" s="14" t="n">
        <v>479733</v>
      </c>
      <c r="C283" s="14" t="s">
        <v>2435</v>
      </c>
      <c r="D283" s="14" t="s">
        <v>2436</v>
      </c>
      <c r="E283" s="14" t="s">
        <v>2437</v>
      </c>
      <c r="F283" s="14" t="s">
        <v>2438</v>
      </c>
      <c r="G283" s="14" t="s">
        <v>2439</v>
      </c>
      <c r="H283" s="14" t="s">
        <v>2440</v>
      </c>
      <c r="I283" s="14"/>
      <c r="J283" s="14" t="s">
        <v>2441</v>
      </c>
      <c r="K283" s="14" t="s">
        <v>464</v>
      </c>
      <c r="L283" s="14" t="s">
        <v>2442</v>
      </c>
      <c r="M283" s="14" t="s">
        <v>2443</v>
      </c>
      <c r="N283" s="14" t="s">
        <v>70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/>
      <c r="Z283" s="15" t="n">
        <f aca="false">IF(X283=0,"",X283-Y283)</f>
        <v>2</v>
      </c>
      <c r="AA283" s="21" t="n">
        <f aca="false">IFERROR(Y283/X283,"")</f>
        <v>0</v>
      </c>
      <c r="AB283" s="15" t="n">
        <v>0</v>
      </c>
      <c r="AC283" s="22" t="n">
        <f aca="false">AB283*(1+$L$3)</f>
        <v>0</v>
      </c>
      <c r="AD283" s="20"/>
      <c r="AE283" s="23" t="n">
        <f aca="false">AC283-AD283</f>
        <v>0</v>
      </c>
      <c r="AF283" s="21" t="str">
        <f aca="false">IFERROR(AD283/AC283,"")</f>
        <v/>
      </c>
    </row>
    <row r="284" customFormat="false" ht="15" hidden="false" customHeight="true" outlineLevel="0" collapsed="false">
      <c r="A284" s="14" t="n">
        <v>631368</v>
      </c>
      <c r="B284" s="14" t="n">
        <v>477867</v>
      </c>
      <c r="C284" s="14" t="s">
        <v>2444</v>
      </c>
      <c r="D284" s="14" t="s">
        <v>2445</v>
      </c>
      <c r="E284" s="14" t="s">
        <v>2446</v>
      </c>
      <c r="F284" s="14" t="s">
        <v>2447</v>
      </c>
      <c r="G284" s="14" t="s">
        <v>2448</v>
      </c>
      <c r="H284" s="14" t="s">
        <v>2449</v>
      </c>
      <c r="I284" s="14"/>
      <c r="J284" s="14" t="s">
        <v>566</v>
      </c>
      <c r="K284" s="14" t="s">
        <v>48</v>
      </c>
      <c r="L284" s="14" t="s">
        <v>2450</v>
      </c>
      <c r="M284" s="14" t="s">
        <v>2451</v>
      </c>
      <c r="N284" s="14" t="s">
        <v>70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2" t="n">
        <f aca="false">AB284*(1+$L$3)</f>
        <v>0</v>
      </c>
      <c r="AD284" s="20"/>
      <c r="AE284" s="23" t="n">
        <f aca="false">AC284-AD284</f>
        <v>0</v>
      </c>
      <c r="AF284" s="21" t="str">
        <f aca="false">IFERROR(AD284/AC284,"")</f>
        <v/>
      </c>
    </row>
    <row r="285" customFormat="false" ht="15" hidden="false" customHeight="true" outlineLevel="0" collapsed="false">
      <c r="A285" s="14" t="n">
        <v>626867</v>
      </c>
      <c r="B285" s="14" t="n">
        <v>475328</v>
      </c>
      <c r="C285" s="14" t="s">
        <v>2452</v>
      </c>
      <c r="D285" s="14" t="s">
        <v>2453</v>
      </c>
      <c r="E285" s="14" t="s">
        <v>2454</v>
      </c>
      <c r="F285" s="14" t="s">
        <v>2455</v>
      </c>
      <c r="G285" s="14" t="s">
        <v>2456</v>
      </c>
      <c r="H285" s="14" t="s">
        <v>2457</v>
      </c>
      <c r="I285" s="14"/>
      <c r="J285" s="14" t="s">
        <v>2458</v>
      </c>
      <c r="K285" s="14" t="s">
        <v>307</v>
      </c>
      <c r="L285" s="14" t="s">
        <v>2459</v>
      </c>
      <c r="M285" s="14" t="s">
        <v>2460</v>
      </c>
      <c r="N285" s="14" t="s">
        <v>70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2" t="n">
        <f aca="false">AB285*(1+$L$3)</f>
        <v>0</v>
      </c>
      <c r="AD285" s="20"/>
      <c r="AE285" s="23" t="n">
        <f aca="false">AC285-AD285</f>
        <v>0</v>
      </c>
      <c r="AF285" s="21" t="str">
        <f aca="false">IFERROR(AD285/AC285,"")</f>
        <v/>
      </c>
    </row>
    <row r="286" customFormat="false" ht="15" hidden="false" customHeight="true" outlineLevel="0" collapsed="false">
      <c r="A286" s="14" t="n">
        <v>625566</v>
      </c>
      <c r="B286" s="14" t="n">
        <v>474519</v>
      </c>
      <c r="C286" s="14" t="s">
        <v>2461</v>
      </c>
      <c r="D286" s="14" t="s">
        <v>2462</v>
      </c>
      <c r="E286" s="14" t="s">
        <v>2463</v>
      </c>
      <c r="F286" s="14" t="s">
        <v>2464</v>
      </c>
      <c r="G286" s="14" t="s">
        <v>2465</v>
      </c>
      <c r="H286" s="14" t="s">
        <v>2466</v>
      </c>
      <c r="I286" s="14"/>
      <c r="J286" s="14" t="s">
        <v>316</v>
      </c>
      <c r="K286" s="14" t="s">
        <v>307</v>
      </c>
      <c r="L286" s="14" t="s">
        <v>742</v>
      </c>
      <c r="M286" s="14" t="s">
        <v>2467</v>
      </c>
      <c r="N286" s="14" t="s">
        <v>70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2" t="n">
        <f aca="false">AB286*(1+$L$3)</f>
        <v>0</v>
      </c>
      <c r="AD286" s="20"/>
      <c r="AE286" s="23" t="n">
        <f aca="false">AC286-AD286</f>
        <v>0</v>
      </c>
      <c r="AF286" s="21" t="str">
        <f aca="false">IFERROR(AD286/AC286,"")</f>
        <v/>
      </c>
    </row>
    <row r="287" customFormat="false" ht="15" hidden="false" customHeight="true" outlineLevel="0" collapsed="false">
      <c r="A287" s="14" t="n">
        <v>147816</v>
      </c>
      <c r="B287" s="14" t="n">
        <v>157316</v>
      </c>
      <c r="C287" s="14" t="s">
        <v>2468</v>
      </c>
      <c r="D287" s="14" t="s">
        <v>2469</v>
      </c>
      <c r="E287" s="14" t="s">
        <v>2470</v>
      </c>
      <c r="F287" s="14" t="s">
        <v>2471</v>
      </c>
      <c r="G287" s="14" t="s">
        <v>2472</v>
      </c>
      <c r="H287" s="14" t="s">
        <v>2473</v>
      </c>
      <c r="I287" s="14" t="s">
        <v>2474</v>
      </c>
      <c r="J287" s="14" t="s">
        <v>2475</v>
      </c>
      <c r="K287" s="14" t="s">
        <v>464</v>
      </c>
      <c r="L287" s="14" t="s">
        <v>2476</v>
      </c>
      <c r="M287" s="14" t="s">
        <v>2477</v>
      </c>
      <c r="N287" s="14" t="s">
        <v>70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2" t="n">
        <f aca="false">AB287*(1+$L$3)</f>
        <v>0</v>
      </c>
      <c r="AD287" s="20"/>
      <c r="AE287" s="23" t="n">
        <f aca="false">AC287-AD287</f>
        <v>0</v>
      </c>
      <c r="AF287" s="21" t="str">
        <f aca="false">IFERROR(AD287/AC287,"")</f>
        <v/>
      </c>
    </row>
    <row r="288" customFormat="false" ht="15" hidden="false" customHeight="true" outlineLevel="0" collapsed="false">
      <c r="A288" s="14" t="n">
        <v>611636</v>
      </c>
      <c r="B288" s="14" t="n">
        <v>461157</v>
      </c>
      <c r="C288" s="14" t="s">
        <v>2478</v>
      </c>
      <c r="D288" s="14" t="s">
        <v>2479</v>
      </c>
      <c r="E288" s="14" t="s">
        <v>2480</v>
      </c>
      <c r="F288" s="14" t="s">
        <v>2481</v>
      </c>
      <c r="G288" s="14" t="s">
        <v>2482</v>
      </c>
      <c r="H288" s="14" t="s">
        <v>2483</v>
      </c>
      <c r="I288" s="14"/>
      <c r="J288" s="14" t="s">
        <v>2484</v>
      </c>
      <c r="K288" s="14" t="s">
        <v>67</v>
      </c>
      <c r="L288" s="14" t="s">
        <v>2485</v>
      </c>
      <c r="M288" s="14" t="s">
        <v>2486</v>
      </c>
      <c r="N288" s="14" t="s">
        <v>70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2" t="n">
        <f aca="false">AB288*(1+$L$3)</f>
        <v>7.84</v>
      </c>
      <c r="AD288" s="20"/>
      <c r="AE288" s="23" t="n">
        <f aca="false">AC288-AD288</f>
        <v>7.84</v>
      </c>
      <c r="AF288" s="21" t="n">
        <f aca="false">IFERROR(AD288/AC288,"")</f>
        <v>0</v>
      </c>
    </row>
    <row r="289" customFormat="false" ht="15" hidden="false" customHeight="true" outlineLevel="0" collapsed="false">
      <c r="A289" s="14" t="n">
        <v>531408</v>
      </c>
      <c r="B289" s="14" t="n">
        <v>386035</v>
      </c>
      <c r="C289" s="14" t="s">
        <v>2487</v>
      </c>
      <c r="D289" s="14" t="s">
        <v>2488</v>
      </c>
      <c r="E289" s="14" t="s">
        <v>2489</v>
      </c>
      <c r="F289" s="14" t="s">
        <v>2490</v>
      </c>
      <c r="G289" s="14" t="s">
        <v>2491</v>
      </c>
      <c r="H289" s="14" t="s">
        <v>2492</v>
      </c>
      <c r="I289" s="14"/>
      <c r="J289" s="14" t="s">
        <v>306</v>
      </c>
      <c r="K289" s="14" t="s">
        <v>307</v>
      </c>
      <c r="L289" s="14" t="s">
        <v>308</v>
      </c>
      <c r="M289" s="14" t="s">
        <v>2493</v>
      </c>
      <c r="N289" s="14" t="s">
        <v>70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2" t="n">
        <f aca="false">AB289*(1+$L$3)</f>
        <v>0</v>
      </c>
      <c r="AD289" s="20"/>
      <c r="AE289" s="23" t="n">
        <f aca="false">AC289-AD289</f>
        <v>0</v>
      </c>
      <c r="AF289" s="21" t="str">
        <f aca="false">IFERROR(AD289/AC289,"")</f>
        <v/>
      </c>
    </row>
    <row r="290" customFormat="false" ht="15" hidden="false" customHeight="true" outlineLevel="0" collapsed="false">
      <c r="A290" s="14" t="n">
        <v>111183</v>
      </c>
      <c r="B290" s="14" t="n">
        <v>378212</v>
      </c>
      <c r="C290" s="14" t="s">
        <v>2494</v>
      </c>
      <c r="D290" s="14" t="s">
        <v>2495</v>
      </c>
      <c r="E290" s="14" t="s">
        <v>2496</v>
      </c>
      <c r="F290" s="14" t="s">
        <v>2497</v>
      </c>
      <c r="G290" s="14" t="s">
        <v>2498</v>
      </c>
      <c r="H290" s="14" t="s">
        <v>2499</v>
      </c>
      <c r="I290" s="14"/>
      <c r="J290" s="14" t="s">
        <v>2500</v>
      </c>
      <c r="K290" s="14" t="s">
        <v>67</v>
      </c>
      <c r="L290" s="14" t="s">
        <v>2501</v>
      </c>
      <c r="M290" s="14" t="s">
        <v>2502</v>
      </c>
      <c r="N290" s="14" t="s">
        <v>70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 t="n">
        <v>1</v>
      </c>
      <c r="Z290" s="15" t="n">
        <f aca="false">IF(X290=0,"",X290-Y290)</f>
        <v>1</v>
      </c>
      <c r="AA290" s="21" t="n">
        <f aca="false">IFERROR(Y290/X290,"")</f>
        <v>0.5</v>
      </c>
      <c r="AB290" s="15" t="n">
        <v>0</v>
      </c>
      <c r="AC290" s="22" t="n">
        <f aca="false">AB290*(1+$L$3)</f>
        <v>0</v>
      </c>
      <c r="AD290" s="20"/>
      <c r="AE290" s="23" t="n">
        <f aca="false">AC290-AD290</f>
        <v>0</v>
      </c>
      <c r="AF290" s="21" t="str">
        <f aca="false">IFERROR(AD290/AC290,"")</f>
        <v/>
      </c>
    </row>
    <row r="291" customFormat="false" ht="15" hidden="false" customHeight="true" outlineLevel="0" collapsed="false">
      <c r="A291" s="14" t="n">
        <v>610712</v>
      </c>
      <c r="B291" s="14" t="n">
        <v>460214</v>
      </c>
      <c r="C291" s="14" t="s">
        <v>2503</v>
      </c>
      <c r="D291" s="14" t="s">
        <v>2504</v>
      </c>
      <c r="E291" s="14" t="s">
        <v>2505</v>
      </c>
      <c r="F291" s="14" t="s">
        <v>2506</v>
      </c>
      <c r="G291" s="14" t="s">
        <v>2507</v>
      </c>
      <c r="H291" s="14" t="s">
        <v>2508</v>
      </c>
      <c r="I291" s="14"/>
      <c r="J291" s="14" t="s">
        <v>638</v>
      </c>
      <c r="K291" s="14" t="s">
        <v>67</v>
      </c>
      <c r="L291" s="14" t="s">
        <v>639</v>
      </c>
      <c r="M291" s="14" t="s">
        <v>2509</v>
      </c>
      <c r="N291" s="14" t="s">
        <v>70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 t="n">
        <v>2</v>
      </c>
      <c r="Z291" s="15" t="n">
        <f aca="false">IF(X291=0,"",X291-Y291)</f>
        <v>0</v>
      </c>
      <c r="AA291" s="21" t="n">
        <f aca="false">IFERROR(Y291/X291,"")</f>
        <v>1</v>
      </c>
      <c r="AB291" s="15" t="n">
        <v>0</v>
      </c>
      <c r="AC291" s="22" t="n">
        <f aca="false">AB291*(1+$L$3)</f>
        <v>0</v>
      </c>
      <c r="AD291" s="20"/>
      <c r="AE291" s="23" t="n">
        <f aca="false">AC291-AD291</f>
        <v>0</v>
      </c>
      <c r="AF291" s="21" t="str">
        <f aca="false">IFERROR(AD291/AC291,"")</f>
        <v/>
      </c>
    </row>
    <row r="292" customFormat="false" ht="15" hidden="false" customHeight="true" outlineLevel="0" collapsed="false">
      <c r="A292" s="14" t="n">
        <v>168350</v>
      </c>
      <c r="B292" s="14" t="n">
        <v>181596</v>
      </c>
      <c r="C292" s="14" t="s">
        <v>2510</v>
      </c>
      <c r="D292" s="14" t="s">
        <v>2511</v>
      </c>
      <c r="E292" s="14" t="s">
        <v>2512</v>
      </c>
      <c r="F292" s="14" t="s">
        <v>2513</v>
      </c>
      <c r="G292" s="14" t="s">
        <v>2514</v>
      </c>
      <c r="H292" s="14" t="s">
        <v>2515</v>
      </c>
      <c r="I292" s="14"/>
      <c r="J292" s="14" t="s">
        <v>2516</v>
      </c>
      <c r="K292" s="14" t="s">
        <v>981</v>
      </c>
      <c r="L292" s="14" t="s">
        <v>2517</v>
      </c>
      <c r="M292" s="14" t="s">
        <v>2518</v>
      </c>
      <c r="N292" s="14" t="s">
        <v>70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 t="n">
        <v>1</v>
      </c>
      <c r="Z292" s="15" t="n">
        <f aca="false">IF(X292=0,"",X292-Y292)</f>
        <v>0</v>
      </c>
      <c r="AA292" s="21" t="n">
        <f aca="false">IFERROR(Y292/X292,"")</f>
        <v>1</v>
      </c>
      <c r="AB292" s="15" t="n">
        <v>0</v>
      </c>
      <c r="AC292" s="22" t="n">
        <f aca="false">AB292*(1+$L$3)</f>
        <v>0</v>
      </c>
      <c r="AD292" s="20"/>
      <c r="AE292" s="23" t="n">
        <f aca="false">AC292-AD292</f>
        <v>0</v>
      </c>
      <c r="AF292" s="21" t="str">
        <f aca="false">IFERROR(AD292/AC292,"")</f>
        <v/>
      </c>
    </row>
    <row r="293" customFormat="false" ht="15" hidden="false" customHeight="true" outlineLevel="0" collapsed="false">
      <c r="A293" s="14" t="n">
        <v>661628</v>
      </c>
      <c r="B293" s="14" t="n">
        <v>502657</v>
      </c>
      <c r="C293" s="14" t="s">
        <v>2519</v>
      </c>
      <c r="D293" s="14" t="s">
        <v>2520</v>
      </c>
      <c r="E293" s="14" t="s">
        <v>2521</v>
      </c>
      <c r="F293" s="14" t="s">
        <v>2522</v>
      </c>
      <c r="G293" s="14" t="s">
        <v>2523</v>
      </c>
      <c r="H293" s="14" t="s">
        <v>2524</v>
      </c>
      <c r="I293" s="14"/>
      <c r="J293" s="14" t="s">
        <v>47</v>
      </c>
      <c r="K293" s="14" t="s">
        <v>48</v>
      </c>
      <c r="L293" s="14" t="s">
        <v>49</v>
      </c>
      <c r="M293" s="14" t="s">
        <v>2525</v>
      </c>
      <c r="N293" s="14" t="s">
        <v>70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2" t="n">
        <f aca="false">AB293*(1+$L$3)</f>
        <v>0</v>
      </c>
      <c r="AD293" s="20"/>
      <c r="AE293" s="23" t="n">
        <f aca="false">AC293-AD293</f>
        <v>0</v>
      </c>
      <c r="AF293" s="21" t="str">
        <f aca="false">IFERROR(AD293/AC293,"")</f>
        <v/>
      </c>
    </row>
    <row r="294" customFormat="false" ht="15" hidden="false" customHeight="true" outlineLevel="0" collapsed="false">
      <c r="A294" s="14" t="n">
        <v>660747</v>
      </c>
      <c r="B294" s="14" t="n">
        <v>501760</v>
      </c>
      <c r="C294" s="14" t="s">
        <v>2526</v>
      </c>
      <c r="D294" s="14" t="s">
        <v>2527</v>
      </c>
      <c r="E294" s="14" t="s">
        <v>2528</v>
      </c>
      <c r="F294" s="14" t="s">
        <v>2529</v>
      </c>
      <c r="G294" s="14" t="s">
        <v>2530</v>
      </c>
      <c r="H294" s="14" t="s">
        <v>2531</v>
      </c>
      <c r="I294" s="14" t="s">
        <v>2532</v>
      </c>
      <c r="J294" s="14" t="s">
        <v>2533</v>
      </c>
      <c r="K294" s="14" t="s">
        <v>1752</v>
      </c>
      <c r="L294" s="14" t="s">
        <v>2534</v>
      </c>
      <c r="M294" s="14" t="s">
        <v>2535</v>
      </c>
      <c r="N294" s="14" t="s">
        <v>70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2" t="n">
        <f aca="false">AB294*(1+$L$3)</f>
        <v>0</v>
      </c>
      <c r="AD294" s="20"/>
      <c r="AE294" s="23" t="n">
        <f aca="false">AC294-AD294</f>
        <v>0</v>
      </c>
      <c r="AF294" s="21" t="str">
        <f aca="false">IFERROR(AD294/AC294,"")</f>
        <v/>
      </c>
    </row>
    <row r="295" customFormat="false" ht="15" hidden="false" customHeight="true" outlineLevel="0" collapsed="false">
      <c r="A295" s="14" t="n">
        <v>660635</v>
      </c>
      <c r="B295" s="14" t="n">
        <v>501645</v>
      </c>
      <c r="C295" s="14" t="s">
        <v>2536</v>
      </c>
      <c r="D295" s="14" t="s">
        <v>2537</v>
      </c>
      <c r="E295" s="14" t="s">
        <v>2538</v>
      </c>
      <c r="F295" s="14" t="s">
        <v>2539</v>
      </c>
      <c r="G295" s="14" t="s">
        <v>2540</v>
      </c>
      <c r="H295" s="14" t="s">
        <v>2541</v>
      </c>
      <c r="I295" s="14"/>
      <c r="J295" s="14" t="s">
        <v>1528</v>
      </c>
      <c r="K295" s="14" t="s">
        <v>1160</v>
      </c>
      <c r="L295" s="14" t="s">
        <v>2542</v>
      </c>
      <c r="M295" s="14" t="s">
        <v>2543</v>
      </c>
      <c r="N295" s="14" t="s">
        <v>70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3</v>
      </c>
      <c r="Z295" s="15" t="n">
        <f aca="false">IF(X295=0,"",X295-Y295)</f>
        <v>-2</v>
      </c>
      <c r="AA295" s="21" t="n">
        <f aca="false">IFERROR(Y295/X295,"")</f>
        <v>3</v>
      </c>
      <c r="AB295" s="15" t="n">
        <v>0</v>
      </c>
      <c r="AC295" s="22" t="n">
        <f aca="false">AB295*(1+$L$3)</f>
        <v>0</v>
      </c>
      <c r="AD295" s="20"/>
      <c r="AE295" s="23" t="n">
        <f aca="false">AC295-AD295</f>
        <v>0</v>
      </c>
      <c r="AF295" s="21" t="str">
        <f aca="false">IFERROR(AD295/AC295,"")</f>
        <v/>
      </c>
    </row>
    <row r="296" customFormat="false" ht="15" hidden="false" customHeight="true" outlineLevel="0" collapsed="false">
      <c r="A296" s="14" t="n">
        <v>660550</v>
      </c>
      <c r="B296" s="14" t="n">
        <v>501559</v>
      </c>
      <c r="C296" s="14" t="s">
        <v>2544</v>
      </c>
      <c r="D296" s="14" t="s">
        <v>2545</v>
      </c>
      <c r="E296" s="14" t="s">
        <v>2546</v>
      </c>
      <c r="F296" s="14" t="s">
        <v>2547</v>
      </c>
      <c r="G296" s="14" t="s">
        <v>2548</v>
      </c>
      <c r="H296" s="14" t="s">
        <v>2549</v>
      </c>
      <c r="I296" s="14"/>
      <c r="J296" s="14" t="s">
        <v>962</v>
      </c>
      <c r="K296" s="14" t="s">
        <v>48</v>
      </c>
      <c r="L296" s="14" t="s">
        <v>963</v>
      </c>
      <c r="M296" s="14" t="s">
        <v>2550</v>
      </c>
      <c r="N296" s="14" t="s">
        <v>70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2" t="n">
        <f aca="false">AB296*(1+$L$3)</f>
        <v>0</v>
      </c>
      <c r="AD296" s="20"/>
      <c r="AE296" s="23" t="n">
        <f aca="false">AC296-AD296</f>
        <v>0</v>
      </c>
      <c r="AF296" s="21" t="str">
        <f aca="false">IFERROR(AD296/AC296,"")</f>
        <v/>
      </c>
    </row>
    <row r="297" customFormat="false" ht="15" hidden="false" customHeight="true" outlineLevel="0" collapsed="false">
      <c r="A297" s="14" t="n">
        <v>660162</v>
      </c>
      <c r="B297" s="14" t="n">
        <v>501170</v>
      </c>
      <c r="C297" s="14" t="s">
        <v>2551</v>
      </c>
      <c r="D297" s="14" t="s">
        <v>2552</v>
      </c>
      <c r="E297" s="14" t="s">
        <v>2553</v>
      </c>
      <c r="F297" s="14" t="s">
        <v>2554</v>
      </c>
      <c r="G297" s="14" t="s">
        <v>2555</v>
      </c>
      <c r="H297" s="14" t="s">
        <v>2556</v>
      </c>
      <c r="I297" s="14"/>
      <c r="J297" s="14" t="s">
        <v>1714</v>
      </c>
      <c r="K297" s="14" t="s">
        <v>1715</v>
      </c>
      <c r="L297" s="14" t="s">
        <v>2557</v>
      </c>
      <c r="M297" s="14" t="s">
        <v>2558</v>
      </c>
      <c r="N297" s="14" t="s">
        <v>70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2" t="n">
        <f aca="false">AB297*(1+$L$3)</f>
        <v>0</v>
      </c>
      <c r="AD297" s="20"/>
      <c r="AE297" s="23" t="n">
        <f aca="false">AC297-AD297</f>
        <v>0</v>
      </c>
      <c r="AF297" s="21" t="str">
        <f aca="false">IFERROR(AD297/AC297,"")</f>
        <v/>
      </c>
    </row>
    <row r="298" customFormat="false" ht="15" hidden="false" customHeight="true" outlineLevel="0" collapsed="false">
      <c r="A298" s="14" t="n">
        <v>660102</v>
      </c>
      <c r="B298" s="14" t="n">
        <v>501110</v>
      </c>
      <c r="C298" s="14" t="s">
        <v>2559</v>
      </c>
      <c r="D298" s="14" t="s">
        <v>2560</v>
      </c>
      <c r="E298" s="14" t="s">
        <v>2561</v>
      </c>
      <c r="F298" s="14" t="s">
        <v>2562</v>
      </c>
      <c r="G298" s="14" t="s">
        <v>2563</v>
      </c>
      <c r="H298" s="14" t="s">
        <v>2564</v>
      </c>
      <c r="I298" s="14"/>
      <c r="J298" s="14" t="s">
        <v>2565</v>
      </c>
      <c r="K298" s="14" t="s">
        <v>1160</v>
      </c>
      <c r="L298" s="14" t="s">
        <v>2566</v>
      </c>
      <c r="M298" s="14" t="s">
        <v>2567</v>
      </c>
      <c r="N298" s="14" t="s">
        <v>70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2" t="n">
        <f aca="false">AB298*(1+$L$3)</f>
        <v>0</v>
      </c>
      <c r="AD298" s="20"/>
      <c r="AE298" s="23" t="n">
        <f aca="false">AC298-AD298</f>
        <v>0</v>
      </c>
      <c r="AF298" s="21" t="str">
        <f aca="false">IFERROR(AD298/AC298,"")</f>
        <v/>
      </c>
    </row>
    <row r="299" customFormat="false" ht="15" hidden="false" customHeight="true" outlineLevel="0" collapsed="false">
      <c r="A299" s="14" t="n">
        <v>660042</v>
      </c>
      <c r="B299" s="14" t="n">
        <v>501046</v>
      </c>
      <c r="C299" s="14" t="s">
        <v>2568</v>
      </c>
      <c r="D299" s="14" t="s">
        <v>2569</v>
      </c>
      <c r="E299" s="14" t="s">
        <v>2570</v>
      </c>
      <c r="F299" s="14" t="s">
        <v>2571</v>
      </c>
      <c r="G299" s="14" t="s">
        <v>2572</v>
      </c>
      <c r="H299" s="14" t="s">
        <v>2573</v>
      </c>
      <c r="I299" s="14" t="s">
        <v>2574</v>
      </c>
      <c r="J299" s="14" t="s">
        <v>77</v>
      </c>
      <c r="K299" s="14" t="s">
        <v>48</v>
      </c>
      <c r="L299" s="14" t="s">
        <v>78</v>
      </c>
      <c r="M299" s="14" t="s">
        <v>2575</v>
      </c>
      <c r="N299" s="14" t="s">
        <v>70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2" t="n">
        <f aca="false">AB299*(1+$L$3)</f>
        <v>0</v>
      </c>
      <c r="AD299" s="20"/>
      <c r="AE299" s="23" t="n">
        <f aca="false">AC299-AD299</f>
        <v>0</v>
      </c>
      <c r="AF299" s="21" t="str">
        <f aca="false">IFERROR(AD299/AC299,"")</f>
        <v/>
      </c>
    </row>
    <row r="300" customFormat="false" ht="15" hidden="false" customHeight="true" outlineLevel="0" collapsed="false">
      <c r="A300" s="14" t="n">
        <v>660011</v>
      </c>
      <c r="B300" s="14" t="n">
        <v>501015</v>
      </c>
      <c r="C300" s="14" t="s">
        <v>2576</v>
      </c>
      <c r="D300" s="14" t="s">
        <v>2577</v>
      </c>
      <c r="E300" s="14" t="s">
        <v>2578</v>
      </c>
      <c r="F300" s="14" t="s">
        <v>2579</v>
      </c>
      <c r="G300" s="14" t="s">
        <v>2580</v>
      </c>
      <c r="H300" s="14" t="s">
        <v>2581</v>
      </c>
      <c r="I300" s="14" t="s">
        <v>2582</v>
      </c>
      <c r="J300" s="14" t="s">
        <v>2583</v>
      </c>
      <c r="K300" s="14" t="s">
        <v>2584</v>
      </c>
      <c r="L300" s="14" t="s">
        <v>2585</v>
      </c>
      <c r="M300" s="14" t="s">
        <v>2586</v>
      </c>
      <c r="N300" s="14" t="s">
        <v>70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/>
      <c r="Z300" s="15" t="n">
        <f aca="false">IF(X300=0,"",X300-Y300)</f>
        <v>1</v>
      </c>
      <c r="AA300" s="21" t="n">
        <f aca="false">IFERROR(Y300/X300,"")</f>
        <v>0</v>
      </c>
      <c r="AB300" s="15" t="n">
        <v>0</v>
      </c>
      <c r="AC300" s="22" t="n">
        <f aca="false">AB300*(1+$L$3)</f>
        <v>0</v>
      </c>
      <c r="AD300" s="20"/>
      <c r="AE300" s="23" t="n">
        <f aca="false">AC300-AD300</f>
        <v>0</v>
      </c>
      <c r="AF300" s="21" t="str">
        <f aca="false">IFERROR(AD300/AC300,"")</f>
        <v/>
      </c>
    </row>
    <row r="301" customFormat="false" ht="15" hidden="false" customHeight="true" outlineLevel="0" collapsed="false">
      <c r="A301" s="14" t="n">
        <v>660004</v>
      </c>
      <c r="B301" s="14" t="n">
        <v>501008</v>
      </c>
      <c r="C301" s="14" t="s">
        <v>2587</v>
      </c>
      <c r="D301" s="14" t="s">
        <v>2588</v>
      </c>
      <c r="E301" s="14" t="s">
        <v>2589</v>
      </c>
      <c r="F301" s="14" t="s">
        <v>2590</v>
      </c>
      <c r="G301" s="14" t="s">
        <v>2591</v>
      </c>
      <c r="H301" s="14" t="s">
        <v>2592</v>
      </c>
      <c r="I301" s="14"/>
      <c r="J301" s="14" t="s">
        <v>1649</v>
      </c>
      <c r="K301" s="14" t="s">
        <v>67</v>
      </c>
      <c r="L301" s="14" t="s">
        <v>2593</v>
      </c>
      <c r="M301" s="14" t="s">
        <v>2594</v>
      </c>
      <c r="N301" s="14" t="s">
        <v>70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2" t="n">
        <f aca="false">AB301*(1+$L$3)</f>
        <v>0</v>
      </c>
      <c r="AD301" s="20"/>
      <c r="AE301" s="23" t="n">
        <f aca="false">AC301-AD301</f>
        <v>0</v>
      </c>
      <c r="AF301" s="21" t="str">
        <f aca="false">IFERROR(AD301/AC301,"")</f>
        <v/>
      </c>
    </row>
    <row r="302" customFormat="false" ht="15" hidden="false" customHeight="true" outlineLevel="0" collapsed="false">
      <c r="A302" s="14" t="n">
        <v>659567</v>
      </c>
      <c r="B302" s="14" t="n">
        <v>500573</v>
      </c>
      <c r="C302" s="14" t="s">
        <v>2595</v>
      </c>
      <c r="D302" s="14" t="s">
        <v>2596</v>
      </c>
      <c r="E302" s="14" t="s">
        <v>2597</v>
      </c>
      <c r="F302" s="14" t="s">
        <v>2598</v>
      </c>
      <c r="G302" s="14" t="s">
        <v>2599</v>
      </c>
      <c r="H302" s="14" t="s">
        <v>2600</v>
      </c>
      <c r="I302" s="14"/>
      <c r="J302" s="14" t="s">
        <v>1186</v>
      </c>
      <c r="K302" s="14" t="s">
        <v>1187</v>
      </c>
      <c r="L302" s="14" t="s">
        <v>2601</v>
      </c>
      <c r="M302" s="14" t="s">
        <v>2602</v>
      </c>
      <c r="N302" s="14" t="s">
        <v>70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/>
      <c r="Z302" s="15" t="n">
        <f aca="false">IF(X302=0,"",X302-Y302)</f>
        <v>1</v>
      </c>
      <c r="AA302" s="21" t="n">
        <f aca="false">IFERROR(Y302/X302,"")</f>
        <v>0</v>
      </c>
      <c r="AB302" s="15" t="n">
        <v>0</v>
      </c>
      <c r="AC302" s="22" t="n">
        <f aca="false">AB302*(1+$L$3)</f>
        <v>0</v>
      </c>
      <c r="AD302" s="20" t="n">
        <v>5</v>
      </c>
      <c r="AE302" s="23" t="n">
        <f aca="false">AC302-AD302</f>
        <v>-5</v>
      </c>
      <c r="AF302" s="21" t="str">
        <f aca="false">IFERROR(AD302/AC302,"")</f>
        <v/>
      </c>
    </row>
    <row r="303" customFormat="false" ht="15" hidden="false" customHeight="true" outlineLevel="0" collapsed="false">
      <c r="A303" s="14" t="n">
        <v>659532</v>
      </c>
      <c r="B303" s="14" t="n">
        <v>500538</v>
      </c>
      <c r="C303" s="14" t="s">
        <v>2603</v>
      </c>
      <c r="D303" s="14" t="s">
        <v>2604</v>
      </c>
      <c r="E303" s="14" t="s">
        <v>2605</v>
      </c>
      <c r="F303" s="14" t="s">
        <v>2606</v>
      </c>
      <c r="G303" s="14" t="s">
        <v>2607</v>
      </c>
      <c r="H303" s="14" t="s">
        <v>2608</v>
      </c>
      <c r="I303" s="14" t="s">
        <v>129</v>
      </c>
      <c r="J303" s="14" t="s">
        <v>2609</v>
      </c>
      <c r="K303" s="14" t="s">
        <v>2610</v>
      </c>
      <c r="L303" s="14" t="s">
        <v>2611</v>
      </c>
      <c r="M303" s="14" t="s">
        <v>2612</v>
      </c>
      <c r="N303" s="14" t="s">
        <v>70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2" t="n">
        <f aca="false">AB303*(1+$L$3)</f>
        <v>0</v>
      </c>
      <c r="AD303" s="20"/>
      <c r="AE303" s="23" t="n">
        <f aca="false">AC303-AD303</f>
        <v>0</v>
      </c>
      <c r="AF303" s="21" t="str">
        <f aca="false">IFERROR(AD303/AC303,"")</f>
        <v/>
      </c>
    </row>
    <row r="304" customFormat="false" ht="15" hidden="false" customHeight="true" outlineLevel="0" collapsed="false">
      <c r="A304" s="14" t="n">
        <v>659477</v>
      </c>
      <c r="B304" s="14" t="n">
        <v>500480</v>
      </c>
      <c r="C304" s="14" t="s">
        <v>2613</v>
      </c>
      <c r="D304" s="14" t="s">
        <v>2614</v>
      </c>
      <c r="E304" s="14" t="s">
        <v>2615</v>
      </c>
      <c r="F304" s="14" t="s">
        <v>2616</v>
      </c>
      <c r="G304" s="14" t="s">
        <v>2617</v>
      </c>
      <c r="H304" s="14" t="s">
        <v>2618</v>
      </c>
      <c r="I304" s="14" t="s">
        <v>2582</v>
      </c>
      <c r="J304" s="14" t="s">
        <v>1606</v>
      </c>
      <c r="K304" s="14" t="s">
        <v>307</v>
      </c>
      <c r="L304" s="14" t="s">
        <v>1607</v>
      </c>
      <c r="M304" s="14" t="s">
        <v>2619</v>
      </c>
      <c r="N304" s="14" t="s">
        <v>70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2" t="n">
        <f aca="false">AB304*(1+$L$3)</f>
        <v>0</v>
      </c>
      <c r="AD304" s="20"/>
      <c r="AE304" s="23" t="n">
        <f aca="false">AC304-AD304</f>
        <v>0</v>
      </c>
      <c r="AF304" s="21" t="str">
        <f aca="false">IFERROR(AD304/AC304,"")</f>
        <v/>
      </c>
    </row>
    <row r="305" customFormat="false" ht="15" hidden="false" customHeight="true" outlineLevel="0" collapsed="false">
      <c r="A305" s="14" t="n">
        <v>659319</v>
      </c>
      <c r="B305" s="14" t="n">
        <v>500316</v>
      </c>
      <c r="C305" s="14" t="s">
        <v>2620</v>
      </c>
      <c r="D305" s="14" t="s">
        <v>2621</v>
      </c>
      <c r="E305" s="14" t="s">
        <v>2622</v>
      </c>
      <c r="F305" s="14" t="s">
        <v>2623</v>
      </c>
      <c r="G305" s="14" t="s">
        <v>2624</v>
      </c>
      <c r="H305" s="14" t="s">
        <v>2625</v>
      </c>
      <c r="I305" s="14"/>
      <c r="J305" s="14" t="s">
        <v>2626</v>
      </c>
      <c r="K305" s="14" t="s">
        <v>48</v>
      </c>
      <c r="L305" s="14" t="s">
        <v>2627</v>
      </c>
      <c r="M305" s="14" t="s">
        <v>2628</v>
      </c>
      <c r="N305" s="14" t="s">
        <v>70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2" t="n">
        <f aca="false">AB305*(1+$L$3)</f>
        <v>0</v>
      </c>
      <c r="AD305" s="20"/>
      <c r="AE305" s="23" t="n">
        <f aca="false">AC305-AD305</f>
        <v>0</v>
      </c>
      <c r="AF305" s="21" t="str">
        <f aca="false">IFERROR(AD305/AC305,"")</f>
        <v/>
      </c>
    </row>
    <row r="306" customFormat="false" ht="15" hidden="false" customHeight="true" outlineLevel="0" collapsed="false">
      <c r="A306" s="14" t="n">
        <v>659183</v>
      </c>
      <c r="B306" s="14" t="n">
        <v>500178</v>
      </c>
      <c r="C306" s="14" t="s">
        <v>2629</v>
      </c>
      <c r="D306" s="14" t="s">
        <v>2630</v>
      </c>
      <c r="E306" s="14" t="s">
        <v>2631</v>
      </c>
      <c r="F306" s="14" t="s">
        <v>2632</v>
      </c>
      <c r="G306" s="14" t="s">
        <v>2633</v>
      </c>
      <c r="H306" s="14" t="s">
        <v>2634</v>
      </c>
      <c r="I306" s="14"/>
      <c r="J306" s="14" t="s">
        <v>638</v>
      </c>
      <c r="K306" s="14" t="s">
        <v>67</v>
      </c>
      <c r="L306" s="14" t="s">
        <v>2044</v>
      </c>
      <c r="M306" s="14" t="s">
        <v>2635</v>
      </c>
      <c r="N306" s="14" t="s">
        <v>70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2" t="n">
        <f aca="false">AB306*(1+$L$3)</f>
        <v>0</v>
      </c>
      <c r="AD306" s="20"/>
      <c r="AE306" s="23" t="n">
        <f aca="false">AC306-AD306</f>
        <v>0</v>
      </c>
      <c r="AF306" s="21" t="str">
        <f aca="false">IFERROR(AD306/AC306,"")</f>
        <v/>
      </c>
    </row>
    <row r="307" customFormat="false" ht="15" hidden="false" customHeight="true" outlineLevel="0" collapsed="false">
      <c r="A307" s="14" t="n">
        <v>658878</v>
      </c>
      <c r="B307" s="14" t="n">
        <v>499869</v>
      </c>
      <c r="C307" s="14" t="s">
        <v>2636</v>
      </c>
      <c r="D307" s="14" t="s">
        <v>2637</v>
      </c>
      <c r="E307" s="14" t="s">
        <v>2638</v>
      </c>
      <c r="F307" s="14" t="s">
        <v>2639</v>
      </c>
      <c r="G307" s="14" t="s">
        <v>2640</v>
      </c>
      <c r="H307" s="14" t="s">
        <v>2641</v>
      </c>
      <c r="I307" s="14"/>
      <c r="J307" s="14" t="s">
        <v>1528</v>
      </c>
      <c r="K307" s="14" t="s">
        <v>1160</v>
      </c>
      <c r="L307" s="14" t="s">
        <v>1529</v>
      </c>
      <c r="M307" s="14" t="s">
        <v>2642</v>
      </c>
      <c r="N307" s="14" t="s">
        <v>70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2" t="n">
        <f aca="false">AB307*(1+$L$3)</f>
        <v>0</v>
      </c>
      <c r="AD307" s="20"/>
      <c r="AE307" s="23" t="n">
        <f aca="false">AC307-AD307</f>
        <v>0</v>
      </c>
      <c r="AF307" s="21" t="str">
        <f aca="false">IFERROR(AD307/AC307,"")</f>
        <v/>
      </c>
    </row>
    <row r="308" customFormat="false" ht="15" hidden="false" customHeight="true" outlineLevel="0" collapsed="false">
      <c r="A308" s="14" t="n">
        <v>658020</v>
      </c>
      <c r="B308" s="14" t="n">
        <v>499024</v>
      </c>
      <c r="C308" s="14" t="s">
        <v>2643</v>
      </c>
      <c r="D308" s="14" t="s">
        <v>2644</v>
      </c>
      <c r="E308" s="14" t="s">
        <v>244</v>
      </c>
      <c r="F308" s="14" t="s">
        <v>2645</v>
      </c>
      <c r="G308" s="14" t="s">
        <v>2646</v>
      </c>
      <c r="H308" s="14" t="s">
        <v>2647</v>
      </c>
      <c r="I308" s="14" t="s">
        <v>1713</v>
      </c>
      <c r="J308" s="14" t="s">
        <v>417</v>
      </c>
      <c r="K308" s="14" t="s">
        <v>67</v>
      </c>
      <c r="L308" s="14" t="s">
        <v>418</v>
      </c>
      <c r="M308" s="14" t="s">
        <v>2648</v>
      </c>
      <c r="N308" s="14" t="s">
        <v>70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 t="n">
        <v>14</v>
      </c>
      <c r="Z308" s="15" t="n">
        <f aca="false">IF(X308=0,"",X308-Y308)</f>
        <v>-13</v>
      </c>
      <c r="AA308" s="21" t="n">
        <f aca="false">IFERROR(Y308/X308,"")</f>
        <v>14</v>
      </c>
      <c r="AB308" s="15" t="n">
        <v>0</v>
      </c>
      <c r="AC308" s="22" t="n">
        <f aca="false">AB308*(1+$L$3)</f>
        <v>0</v>
      </c>
      <c r="AD308" s="20"/>
      <c r="AE308" s="23" t="n">
        <f aca="false">AC308-AD308</f>
        <v>0</v>
      </c>
      <c r="AF308" s="21" t="str">
        <f aca="false">IFERROR(AD308/AC308,"")</f>
        <v/>
      </c>
    </row>
    <row r="309" customFormat="false" ht="15" hidden="false" customHeight="true" outlineLevel="0" collapsed="false">
      <c r="A309" s="14" t="n">
        <v>658382</v>
      </c>
      <c r="B309" s="14" t="n">
        <v>499395</v>
      </c>
      <c r="C309" s="14" t="s">
        <v>2649</v>
      </c>
      <c r="D309" s="14" t="s">
        <v>2650</v>
      </c>
      <c r="E309" s="14" t="s">
        <v>2651</v>
      </c>
      <c r="F309" s="14" t="s">
        <v>2652</v>
      </c>
      <c r="G309" s="14" t="s">
        <v>2653</v>
      </c>
      <c r="H309" s="14" t="s">
        <v>2654</v>
      </c>
      <c r="I309" s="14"/>
      <c r="J309" s="14" t="s">
        <v>2655</v>
      </c>
      <c r="K309" s="14" t="s">
        <v>1160</v>
      </c>
      <c r="L309" s="14" t="s">
        <v>2656</v>
      </c>
      <c r="M309" s="14" t="s">
        <v>2657</v>
      </c>
      <c r="N309" s="14" t="s">
        <v>70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2" t="n">
        <f aca="false">AB309*(1+$L$3)</f>
        <v>0</v>
      </c>
      <c r="AD309" s="20"/>
      <c r="AE309" s="23" t="n">
        <f aca="false">AC309-AD309</f>
        <v>0</v>
      </c>
      <c r="AF309" s="21" t="str">
        <f aca="false">IFERROR(AD309/AC309,"")</f>
        <v/>
      </c>
    </row>
    <row r="310" customFormat="false" ht="15" hidden="false" customHeight="true" outlineLevel="0" collapsed="false">
      <c r="A310" s="14" t="n">
        <v>658274</v>
      </c>
      <c r="B310" s="14" t="n">
        <v>499288</v>
      </c>
      <c r="C310" s="14" t="s">
        <v>2658</v>
      </c>
      <c r="D310" s="14" t="s">
        <v>2659</v>
      </c>
      <c r="E310" s="14" t="s">
        <v>2660</v>
      </c>
      <c r="F310" s="14" t="s">
        <v>2661</v>
      </c>
      <c r="G310" s="14" t="s">
        <v>2662</v>
      </c>
      <c r="H310" s="14" t="s">
        <v>2663</v>
      </c>
      <c r="I310" s="14"/>
      <c r="J310" s="14" t="s">
        <v>2664</v>
      </c>
      <c r="K310" s="14" t="s">
        <v>67</v>
      </c>
      <c r="L310" s="14" t="s">
        <v>2665</v>
      </c>
      <c r="M310" s="14" t="s">
        <v>2666</v>
      </c>
      <c r="N310" s="14" t="s">
        <v>70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2" t="n">
        <f aca="false">AB310*(1+$L$3)</f>
        <v>0</v>
      </c>
      <c r="AD310" s="20"/>
      <c r="AE310" s="23" t="n">
        <f aca="false">AC310-AD310</f>
        <v>0</v>
      </c>
      <c r="AF310" s="21" t="str">
        <f aca="false">IFERROR(AD310/AC310,"")</f>
        <v/>
      </c>
    </row>
    <row r="311" customFormat="false" ht="15" hidden="false" customHeight="true" outlineLevel="0" collapsed="false">
      <c r="A311" s="14" t="n">
        <v>658005</v>
      </c>
      <c r="B311" s="14" t="n">
        <v>499010</v>
      </c>
      <c r="C311" s="14" t="s">
        <v>2667</v>
      </c>
      <c r="D311" s="14" t="s">
        <v>2668</v>
      </c>
      <c r="E311" s="14" t="s">
        <v>2669</v>
      </c>
      <c r="F311" s="14" t="s">
        <v>2670</v>
      </c>
      <c r="G311" s="14" t="s">
        <v>2671</v>
      </c>
      <c r="H311" s="14" t="s">
        <v>2672</v>
      </c>
      <c r="I311" s="14"/>
      <c r="J311" s="14" t="s">
        <v>2673</v>
      </c>
      <c r="K311" s="14" t="s">
        <v>335</v>
      </c>
      <c r="L311" s="14" t="s">
        <v>2674</v>
      </c>
      <c r="M311" s="14" t="s">
        <v>2675</v>
      </c>
      <c r="N311" s="14" t="s">
        <v>70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2" t="n">
        <f aca="false">AB311*(1+$L$3)</f>
        <v>0</v>
      </c>
      <c r="AD311" s="20"/>
      <c r="AE311" s="23" t="n">
        <f aca="false">AC311-AD311</f>
        <v>0</v>
      </c>
      <c r="AF311" s="21" t="str">
        <f aca="false">IFERROR(AD311/AC311,"")</f>
        <v/>
      </c>
    </row>
    <row r="312" customFormat="false" ht="15" hidden="false" customHeight="true" outlineLevel="0" collapsed="false">
      <c r="A312" s="14" t="n">
        <v>657944</v>
      </c>
      <c r="B312" s="14" t="n">
        <v>498949</v>
      </c>
      <c r="C312" s="14" t="s">
        <v>2676</v>
      </c>
      <c r="D312" s="14" t="s">
        <v>2677</v>
      </c>
      <c r="E312" s="14" t="s">
        <v>2678</v>
      </c>
      <c r="F312" s="14" t="s">
        <v>2679</v>
      </c>
      <c r="G312" s="14" t="s">
        <v>2680</v>
      </c>
      <c r="H312" s="14" t="s">
        <v>2681</v>
      </c>
      <c r="I312" s="14"/>
      <c r="J312" s="14" t="s">
        <v>248</v>
      </c>
      <c r="K312" s="14" t="s">
        <v>249</v>
      </c>
      <c r="L312" s="14" t="s">
        <v>2682</v>
      </c>
      <c r="M312" s="14" t="s">
        <v>2683</v>
      </c>
      <c r="N312" s="14" t="s">
        <v>70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2" t="n">
        <f aca="false">AB312*(1+$L$3)</f>
        <v>0</v>
      </c>
      <c r="AD312" s="20"/>
      <c r="AE312" s="23" t="n">
        <f aca="false">AC312-AD312</f>
        <v>0</v>
      </c>
      <c r="AF312" s="21" t="str">
        <f aca="false">IFERROR(AD312/AC312,"")</f>
        <v/>
      </c>
    </row>
    <row r="313" customFormat="false" ht="15" hidden="false" customHeight="true" outlineLevel="0" collapsed="false">
      <c r="A313" s="14" t="n">
        <v>657650</v>
      </c>
      <c r="B313" s="14" t="n">
        <v>498684</v>
      </c>
      <c r="C313" s="14" t="s">
        <v>2684</v>
      </c>
      <c r="D313" s="14" t="s">
        <v>2685</v>
      </c>
      <c r="E313" s="14" t="s">
        <v>2686</v>
      </c>
      <c r="F313" s="14" t="s">
        <v>2687</v>
      </c>
      <c r="G313" s="14" t="s">
        <v>2688</v>
      </c>
      <c r="H313" s="14" t="s">
        <v>2689</v>
      </c>
      <c r="I313" s="14"/>
      <c r="J313" s="14" t="s">
        <v>2690</v>
      </c>
      <c r="K313" s="14" t="s">
        <v>307</v>
      </c>
      <c r="L313" s="14" t="s">
        <v>2691</v>
      </c>
      <c r="M313" s="14" t="s">
        <v>2692</v>
      </c>
      <c r="N313" s="14" t="s">
        <v>70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2" t="n">
        <f aca="false">AB313*(1+$L$3)</f>
        <v>0</v>
      </c>
      <c r="AD313" s="20"/>
      <c r="AE313" s="23" t="n">
        <f aca="false">AC313-AD313</f>
        <v>0</v>
      </c>
      <c r="AF313" s="21" t="str">
        <f aca="false">IFERROR(AD313/AC313,"")</f>
        <v/>
      </c>
    </row>
    <row r="314" customFormat="false" ht="15" hidden="false" customHeight="true" outlineLevel="0" collapsed="false">
      <c r="A314" s="14" t="n">
        <v>657257</v>
      </c>
      <c r="B314" s="14" t="n">
        <v>498290</v>
      </c>
      <c r="C314" s="14" t="s">
        <v>2693</v>
      </c>
      <c r="D314" s="14" t="s">
        <v>2694</v>
      </c>
      <c r="E314" s="14" t="s">
        <v>2695</v>
      </c>
      <c r="F314" s="14" t="s">
        <v>2696</v>
      </c>
      <c r="G314" s="14" t="s">
        <v>2697</v>
      </c>
      <c r="H314" s="14" t="s">
        <v>2698</v>
      </c>
      <c r="I314" s="14" t="s">
        <v>2699</v>
      </c>
      <c r="J314" s="14" t="s">
        <v>2700</v>
      </c>
      <c r="K314" s="14" t="s">
        <v>2316</v>
      </c>
      <c r="L314" s="14" t="s">
        <v>2701</v>
      </c>
      <c r="M314" s="14" t="s">
        <v>2702</v>
      </c>
      <c r="N314" s="14" t="s">
        <v>70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 t="n">
        <v>1</v>
      </c>
      <c r="Z314" s="15" t="n">
        <f aca="false">IF(X314=0,"",X314-Y314)</f>
        <v>0</v>
      </c>
      <c r="AA314" s="21" t="n">
        <f aca="false">IFERROR(Y314/X314,"")</f>
        <v>1</v>
      </c>
      <c r="AB314" s="15" t="n">
        <v>0</v>
      </c>
      <c r="AC314" s="22" t="n">
        <f aca="false">AB314*(1+$L$3)</f>
        <v>0</v>
      </c>
      <c r="AD314" s="20"/>
      <c r="AE314" s="23" t="n">
        <f aca="false">AC314-AD314</f>
        <v>0</v>
      </c>
      <c r="AF314" s="21" t="str">
        <f aca="false">IFERROR(AD314/AC314,"")</f>
        <v/>
      </c>
    </row>
    <row r="315" customFormat="false" ht="15" hidden="false" customHeight="true" outlineLevel="0" collapsed="false">
      <c r="A315" s="14" t="n">
        <v>657103</v>
      </c>
      <c r="B315" s="14" t="n">
        <v>498138</v>
      </c>
      <c r="C315" s="14" t="s">
        <v>2703</v>
      </c>
      <c r="D315" s="14" t="s">
        <v>2704</v>
      </c>
      <c r="E315" s="14" t="s">
        <v>2705</v>
      </c>
      <c r="F315" s="14" t="s">
        <v>2706</v>
      </c>
      <c r="G315" s="14" t="s">
        <v>2707</v>
      </c>
      <c r="H315" s="14" t="s">
        <v>2708</v>
      </c>
      <c r="I315" s="14"/>
      <c r="J315" s="14" t="s">
        <v>2709</v>
      </c>
      <c r="K315" s="14" t="s">
        <v>67</v>
      </c>
      <c r="L315" s="14" t="s">
        <v>2710</v>
      </c>
      <c r="M315" s="14" t="s">
        <v>2711</v>
      </c>
      <c r="N315" s="14" t="s">
        <v>70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2" t="n">
        <f aca="false">AB315*(1+$L$3)</f>
        <v>0</v>
      </c>
      <c r="AD315" s="20"/>
      <c r="AE315" s="23" t="n">
        <f aca="false">AC315-AD315</f>
        <v>0</v>
      </c>
      <c r="AF315" s="21" t="str">
        <f aca="false">IFERROR(AD315/AC315,"")</f>
        <v/>
      </c>
    </row>
    <row r="316" customFormat="false" ht="15" hidden="false" customHeight="true" outlineLevel="0" collapsed="false">
      <c r="A316" s="14" t="n">
        <v>655600</v>
      </c>
      <c r="B316" s="14" t="n">
        <v>496730</v>
      </c>
      <c r="C316" s="14" t="s">
        <v>2712</v>
      </c>
      <c r="D316" s="14" t="s">
        <v>2713</v>
      </c>
      <c r="E316" s="14" t="s">
        <v>2714</v>
      </c>
      <c r="F316" s="14" t="s">
        <v>2715</v>
      </c>
      <c r="G316" s="14" t="s">
        <v>2716</v>
      </c>
      <c r="H316" s="14" t="s">
        <v>2717</v>
      </c>
      <c r="I316" s="14"/>
      <c r="J316" s="14" t="s">
        <v>1063</v>
      </c>
      <c r="K316" s="14" t="s">
        <v>307</v>
      </c>
      <c r="L316" s="14" t="s">
        <v>2718</v>
      </c>
      <c r="M316" s="14" t="s">
        <v>2719</v>
      </c>
      <c r="N316" s="14" t="s">
        <v>70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/>
      <c r="Z316" s="15" t="n">
        <f aca="false">IF(X316=0,"",X316-Y316)</f>
        <v>1</v>
      </c>
      <c r="AA316" s="21" t="n">
        <f aca="false">IFERROR(Y316/X316,"")</f>
        <v>0</v>
      </c>
      <c r="AB316" s="15" t="n">
        <v>0</v>
      </c>
      <c r="AC316" s="22" t="n">
        <f aca="false">AB316*(1+$L$3)</f>
        <v>0</v>
      </c>
      <c r="AD316" s="20"/>
      <c r="AE316" s="23" t="n">
        <f aca="false">AC316-AD316</f>
        <v>0</v>
      </c>
      <c r="AF316" s="21" t="str">
        <f aca="false">IFERROR(AD316/AC316,"")</f>
        <v/>
      </c>
    </row>
    <row r="317" customFormat="false" ht="15" hidden="false" customHeight="true" outlineLevel="0" collapsed="false">
      <c r="A317" s="14" t="n">
        <v>654742</v>
      </c>
      <c r="B317" s="14" t="n">
        <v>495894</v>
      </c>
      <c r="C317" s="14" t="s">
        <v>2720</v>
      </c>
      <c r="D317" s="14" t="s">
        <v>2721</v>
      </c>
      <c r="E317" s="14" t="s">
        <v>2722</v>
      </c>
      <c r="F317" s="14" t="s">
        <v>2723</v>
      </c>
      <c r="G317" s="14" t="s">
        <v>2724</v>
      </c>
      <c r="H317" s="14" t="s">
        <v>2725</v>
      </c>
      <c r="I317" s="14"/>
      <c r="J317" s="14" t="s">
        <v>664</v>
      </c>
      <c r="K317" s="14" t="s">
        <v>604</v>
      </c>
      <c r="L317" s="14" t="s">
        <v>2726</v>
      </c>
      <c r="M317" s="14" t="s">
        <v>2727</v>
      </c>
      <c r="N317" s="14" t="s">
        <v>70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2" t="n">
        <f aca="false">AB317*(1+$L$3)</f>
        <v>0</v>
      </c>
      <c r="AD317" s="20"/>
      <c r="AE317" s="23" t="n">
        <f aca="false">AC317-AD317</f>
        <v>0</v>
      </c>
      <c r="AF317" s="21" t="str">
        <f aca="false">IFERROR(AD317/AC317,"")</f>
        <v/>
      </c>
    </row>
    <row r="318" customFormat="false" ht="15" hidden="false" customHeight="true" outlineLevel="0" collapsed="false">
      <c r="A318" s="14" t="n">
        <v>652943</v>
      </c>
      <c r="B318" s="14" t="n">
        <v>494092</v>
      </c>
      <c r="C318" s="14" t="s">
        <v>2728</v>
      </c>
      <c r="D318" s="14" t="s">
        <v>2729</v>
      </c>
      <c r="E318" s="14" t="s">
        <v>2730</v>
      </c>
      <c r="F318" s="14" t="s">
        <v>2731</v>
      </c>
      <c r="G318" s="14" t="s">
        <v>2732</v>
      </c>
      <c r="H318" s="14" t="s">
        <v>2733</v>
      </c>
      <c r="I318" s="14" t="s">
        <v>2734</v>
      </c>
      <c r="J318" s="14" t="s">
        <v>812</v>
      </c>
      <c r="K318" s="14" t="s">
        <v>307</v>
      </c>
      <c r="L318" s="14" t="s">
        <v>2735</v>
      </c>
      <c r="M318" s="14" t="s">
        <v>2736</v>
      </c>
      <c r="N318" s="14" t="s">
        <v>70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 t="n">
        <v>1</v>
      </c>
      <c r="Z318" s="15" t="n">
        <f aca="false">IF(X318=0,"",X318-Y318)</f>
        <v>0</v>
      </c>
      <c r="AA318" s="21" t="n">
        <f aca="false">IFERROR(Y318/X318,"")</f>
        <v>1</v>
      </c>
      <c r="AB318" s="15" t="n">
        <v>0</v>
      </c>
      <c r="AC318" s="22" t="n">
        <f aca="false">AB318*(1+$L$3)</f>
        <v>0</v>
      </c>
      <c r="AD318" s="20"/>
      <c r="AE318" s="23" t="n">
        <f aca="false">AC318-AD318</f>
        <v>0</v>
      </c>
      <c r="AF318" s="21" t="str">
        <f aca="false">IFERROR(AD318/AC318,"")</f>
        <v/>
      </c>
    </row>
    <row r="319" customFormat="false" ht="15" hidden="false" customHeight="true" outlineLevel="0" collapsed="false">
      <c r="A319" s="14" t="n">
        <v>651782</v>
      </c>
      <c r="B319" s="14" t="n">
        <v>493029</v>
      </c>
      <c r="C319" s="14" t="s">
        <v>2737</v>
      </c>
      <c r="D319" s="14" t="s">
        <v>2738</v>
      </c>
      <c r="E319" s="14" t="s">
        <v>2739</v>
      </c>
      <c r="F319" s="14" t="s">
        <v>2740</v>
      </c>
      <c r="G319" s="14" t="s">
        <v>2741</v>
      </c>
      <c r="H319" s="14" t="s">
        <v>2742</v>
      </c>
      <c r="I319" s="14"/>
      <c r="J319" s="14" t="s">
        <v>2743</v>
      </c>
      <c r="K319" s="14" t="s">
        <v>1545</v>
      </c>
      <c r="L319" s="14" t="s">
        <v>2744</v>
      </c>
      <c r="M319" s="14" t="s">
        <v>2745</v>
      </c>
      <c r="N319" s="14" t="s">
        <v>70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2" t="n">
        <f aca="false">AB319*(1+$L$3)</f>
        <v>0</v>
      </c>
      <c r="AD319" s="20"/>
      <c r="AE319" s="23" t="n">
        <f aca="false">AC319-AD319</f>
        <v>0</v>
      </c>
      <c r="AF319" s="21" t="str">
        <f aca="false">IFERROR(AD319/AC319,"")</f>
        <v/>
      </c>
    </row>
    <row r="320" customFormat="false" ht="15" hidden="false" customHeight="true" outlineLevel="0" collapsed="false">
      <c r="A320" s="14" t="n">
        <v>651270</v>
      </c>
      <c r="B320" s="14" t="n">
        <v>492528</v>
      </c>
      <c r="C320" s="14" t="s">
        <v>2746</v>
      </c>
      <c r="D320" s="14" t="s">
        <v>966</v>
      </c>
      <c r="E320" s="14" t="s">
        <v>2747</v>
      </c>
      <c r="F320" s="14" t="s">
        <v>968</v>
      </c>
      <c r="G320" s="14" t="s">
        <v>969</v>
      </c>
      <c r="H320" s="14" t="s">
        <v>2748</v>
      </c>
      <c r="I320" s="14" t="s">
        <v>2749</v>
      </c>
      <c r="J320" s="14" t="s">
        <v>2750</v>
      </c>
      <c r="K320" s="14" t="s">
        <v>506</v>
      </c>
      <c r="L320" s="14" t="s">
        <v>2751</v>
      </c>
      <c r="M320" s="14" t="s">
        <v>973</v>
      </c>
      <c r="N320" s="14" t="s">
        <v>70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2" t="n">
        <f aca="false">AB320*(1+$L$3)</f>
        <v>0</v>
      </c>
      <c r="AD320" s="20"/>
      <c r="AE320" s="23" t="n">
        <f aca="false">AC320-AD320</f>
        <v>0</v>
      </c>
      <c r="AF320" s="21" t="str">
        <f aca="false">IFERROR(AD320/AC320,"")</f>
        <v/>
      </c>
    </row>
    <row r="321" customFormat="false" ht="15" hidden="false" customHeight="true" outlineLevel="0" collapsed="false">
      <c r="A321" s="14" t="n">
        <v>650821</v>
      </c>
      <c r="B321" s="14" t="n">
        <v>492071</v>
      </c>
      <c r="C321" s="14" t="s">
        <v>2752</v>
      </c>
      <c r="D321" s="14" t="s">
        <v>2753</v>
      </c>
      <c r="E321" s="14" t="s">
        <v>1411</v>
      </c>
      <c r="F321" s="14" t="s">
        <v>2754</v>
      </c>
      <c r="G321" s="14" t="s">
        <v>2755</v>
      </c>
      <c r="H321" s="14" t="s">
        <v>2756</v>
      </c>
      <c r="I321" s="14" t="s">
        <v>2757</v>
      </c>
      <c r="J321" s="14" t="s">
        <v>2758</v>
      </c>
      <c r="K321" s="14" t="s">
        <v>1026</v>
      </c>
      <c r="L321" s="14" t="s">
        <v>2759</v>
      </c>
      <c r="M321" s="14" t="s">
        <v>2760</v>
      </c>
      <c r="N321" s="14" t="s">
        <v>70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2" t="n">
        <f aca="false">AB321*(1+$L$3)</f>
        <v>0</v>
      </c>
      <c r="AD321" s="20"/>
      <c r="AE321" s="23" t="n">
        <f aca="false">AC321-AD321</f>
        <v>0</v>
      </c>
      <c r="AF321" s="21" t="str">
        <f aca="false">IFERROR(AD321/AC321,"")</f>
        <v/>
      </c>
    </row>
    <row r="322" customFormat="false" ht="15" hidden="false" customHeight="true" outlineLevel="0" collapsed="false">
      <c r="A322" s="14" t="n">
        <v>650768</v>
      </c>
      <c r="B322" s="14" t="n">
        <v>492018</v>
      </c>
      <c r="C322" s="14" t="s">
        <v>2761</v>
      </c>
      <c r="D322" s="14" t="s">
        <v>2762</v>
      </c>
      <c r="E322" s="14" t="s">
        <v>2762</v>
      </c>
      <c r="F322" s="14" t="s">
        <v>2763</v>
      </c>
      <c r="G322" s="14" t="s">
        <v>2764</v>
      </c>
      <c r="H322" s="14" t="s">
        <v>2765</v>
      </c>
      <c r="I322" s="14"/>
      <c r="J322" s="14" t="s">
        <v>47</v>
      </c>
      <c r="K322" s="14" t="s">
        <v>48</v>
      </c>
      <c r="L322" s="14" t="s">
        <v>2766</v>
      </c>
      <c r="M322" s="14" t="s">
        <v>2767</v>
      </c>
      <c r="N322" s="14" t="s">
        <v>70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2" t="n">
        <f aca="false">AB322*(1+$L$3)</f>
        <v>0</v>
      </c>
      <c r="AD322" s="20"/>
      <c r="AE322" s="23" t="n">
        <f aca="false">AC322-AD322</f>
        <v>0</v>
      </c>
      <c r="AF322" s="21" t="str">
        <f aca="false">IFERROR(AD322/AC322,"")</f>
        <v/>
      </c>
    </row>
    <row r="323" customFormat="false" ht="15" hidden="false" customHeight="true" outlineLevel="0" collapsed="false">
      <c r="A323" s="14" t="n">
        <v>650722</v>
      </c>
      <c r="B323" s="14" t="n">
        <v>491970</v>
      </c>
      <c r="C323" s="14" t="s">
        <v>2768</v>
      </c>
      <c r="D323" s="14" t="s">
        <v>2769</v>
      </c>
      <c r="E323" s="14" t="s">
        <v>2770</v>
      </c>
      <c r="F323" s="14" t="s">
        <v>2771</v>
      </c>
      <c r="G323" s="14" t="s">
        <v>2772</v>
      </c>
      <c r="H323" s="14" t="s">
        <v>2773</v>
      </c>
      <c r="I323" s="14" t="s">
        <v>2774</v>
      </c>
      <c r="J323" s="14" t="s">
        <v>2775</v>
      </c>
      <c r="K323" s="14" t="s">
        <v>1026</v>
      </c>
      <c r="L323" s="14" t="s">
        <v>2776</v>
      </c>
      <c r="M323" s="14" t="s">
        <v>2777</v>
      </c>
      <c r="N323" s="14" t="s">
        <v>70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2" t="n">
        <f aca="false">AB323*(1+$L$3)</f>
        <v>0</v>
      </c>
      <c r="AD323" s="20"/>
      <c r="AE323" s="23" t="n">
        <f aca="false">AC323-AD323</f>
        <v>0</v>
      </c>
      <c r="AF323" s="21" t="str">
        <f aca="false">IFERROR(AD323/AC323,"")</f>
        <v/>
      </c>
    </row>
    <row r="324" customFormat="false" ht="15" hidden="false" customHeight="true" outlineLevel="0" collapsed="false">
      <c r="A324" s="14" t="n">
        <v>650607</v>
      </c>
      <c r="B324" s="14" t="n">
        <v>491854</v>
      </c>
      <c r="C324" s="14" t="s">
        <v>2778</v>
      </c>
      <c r="D324" s="14" t="s">
        <v>2779</v>
      </c>
      <c r="E324" s="14" t="s">
        <v>2780</v>
      </c>
      <c r="F324" s="14" t="s">
        <v>2781</v>
      </c>
      <c r="G324" s="14" t="s">
        <v>2782</v>
      </c>
      <c r="H324" s="14" t="s">
        <v>2783</v>
      </c>
      <c r="I324" s="14"/>
      <c r="J324" s="14" t="s">
        <v>2784</v>
      </c>
      <c r="K324" s="14" t="s">
        <v>307</v>
      </c>
      <c r="L324" s="14" t="s">
        <v>308</v>
      </c>
      <c r="M324" s="14" t="s">
        <v>2785</v>
      </c>
      <c r="N324" s="14" t="s">
        <v>70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2" t="n">
        <f aca="false">AB324*(1+$L$3)</f>
        <v>0</v>
      </c>
      <c r="AD324" s="20"/>
      <c r="AE324" s="23" t="n">
        <f aca="false">AC324-AD324</f>
        <v>0</v>
      </c>
      <c r="AF324" s="21" t="str">
        <f aca="false">IFERROR(AD324/AC324,"")</f>
        <v/>
      </c>
    </row>
    <row r="325" customFormat="false" ht="15" hidden="false" customHeight="true" outlineLevel="0" collapsed="false">
      <c r="A325" s="14" t="n">
        <v>646737</v>
      </c>
      <c r="B325" s="14" t="n">
        <v>488074</v>
      </c>
      <c r="C325" s="14" t="s">
        <v>2786</v>
      </c>
      <c r="D325" s="14" t="s">
        <v>2787</v>
      </c>
      <c r="E325" s="14" t="s">
        <v>2788</v>
      </c>
      <c r="F325" s="14" t="s">
        <v>2789</v>
      </c>
      <c r="G325" s="14" t="s">
        <v>2790</v>
      </c>
      <c r="H325" s="14" t="s">
        <v>2791</v>
      </c>
      <c r="I325" s="14"/>
      <c r="J325" s="14" t="s">
        <v>306</v>
      </c>
      <c r="K325" s="14" t="s">
        <v>307</v>
      </c>
      <c r="L325" s="14" t="s">
        <v>308</v>
      </c>
      <c r="M325" s="14" t="s">
        <v>2792</v>
      </c>
      <c r="N325" s="14" t="s">
        <v>70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2" t="n">
        <f aca="false">AB325*(1+$L$3)</f>
        <v>0</v>
      </c>
      <c r="AD325" s="20"/>
      <c r="AE325" s="23" t="n">
        <f aca="false">AC325-AD325</f>
        <v>0</v>
      </c>
      <c r="AF325" s="21" t="str">
        <f aca="false">IFERROR(AD325/AC325,"")</f>
        <v/>
      </c>
    </row>
    <row r="326" customFormat="false" ht="15" hidden="false" customHeight="true" outlineLevel="0" collapsed="false">
      <c r="A326" s="14" t="n">
        <v>646519</v>
      </c>
      <c r="B326" s="14" t="n">
        <v>487868</v>
      </c>
      <c r="C326" s="14" t="s">
        <v>2793</v>
      </c>
      <c r="D326" s="14" t="s">
        <v>2794</v>
      </c>
      <c r="E326" s="14" t="s">
        <v>2795</v>
      </c>
      <c r="F326" s="14" t="s">
        <v>2796</v>
      </c>
      <c r="G326" s="14" t="s">
        <v>2797</v>
      </c>
      <c r="H326" s="14" t="s">
        <v>2798</v>
      </c>
      <c r="I326" s="14" t="s">
        <v>1632</v>
      </c>
      <c r="J326" s="14" t="s">
        <v>2799</v>
      </c>
      <c r="K326" s="14" t="s">
        <v>1160</v>
      </c>
      <c r="L326" s="14" t="s">
        <v>2800</v>
      </c>
      <c r="M326" s="14" t="s">
        <v>2801</v>
      </c>
      <c r="N326" s="14" t="s">
        <v>70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 t="n">
        <v>1</v>
      </c>
      <c r="Z326" s="15" t="n">
        <f aca="false">IF(X326=0,"",X326-Y326)</f>
        <v>0</v>
      </c>
      <c r="AA326" s="21" t="n">
        <f aca="false">IFERROR(Y326/X326,"")</f>
        <v>1</v>
      </c>
      <c r="AB326" s="15" t="n">
        <v>0</v>
      </c>
      <c r="AC326" s="22" t="n">
        <f aca="false">AB326*(1+$L$3)</f>
        <v>0</v>
      </c>
      <c r="AD326" s="20"/>
      <c r="AE326" s="23" t="n">
        <f aca="false">AC326-AD326</f>
        <v>0</v>
      </c>
      <c r="AF326" s="21" t="str">
        <f aca="false">IFERROR(AD326/AC326,"")</f>
        <v/>
      </c>
    </row>
    <row r="327" customFormat="false" ht="15" hidden="false" customHeight="true" outlineLevel="0" collapsed="false">
      <c r="A327" s="14" t="n">
        <v>644973</v>
      </c>
      <c r="B327" s="14" t="n">
        <v>486370</v>
      </c>
      <c r="C327" s="14" t="s">
        <v>2802</v>
      </c>
      <c r="D327" s="14" t="s">
        <v>2803</v>
      </c>
      <c r="E327" s="14" t="s">
        <v>2804</v>
      </c>
      <c r="F327" s="14" t="s">
        <v>2805</v>
      </c>
      <c r="G327" s="14" t="s">
        <v>2806</v>
      </c>
      <c r="H327" s="14" t="s">
        <v>2807</v>
      </c>
      <c r="I327" s="14" t="s">
        <v>2808</v>
      </c>
      <c r="J327" s="14" t="s">
        <v>2809</v>
      </c>
      <c r="K327" s="14" t="s">
        <v>286</v>
      </c>
      <c r="L327" s="14" t="s">
        <v>2810</v>
      </c>
      <c r="M327" s="14" t="s">
        <v>2811</v>
      </c>
      <c r="N327" s="14" t="s">
        <v>70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 t="n">
        <v>1</v>
      </c>
      <c r="Z327" s="15" t="n">
        <f aca="false">IF(X327=0,"",X327-Y327)</f>
        <v>0</v>
      </c>
      <c r="AA327" s="21" t="n">
        <f aca="false">IFERROR(Y327/X327,"")</f>
        <v>1</v>
      </c>
      <c r="AB327" s="15" t="n">
        <v>0</v>
      </c>
      <c r="AC327" s="22" t="n">
        <f aca="false">AB327*(1+$L$3)</f>
        <v>0</v>
      </c>
      <c r="AD327" s="20"/>
      <c r="AE327" s="23" t="n">
        <f aca="false">AC327-AD327</f>
        <v>0</v>
      </c>
      <c r="AF327" s="21" t="str">
        <f aca="false">IFERROR(AD327/AC327,"")</f>
        <v/>
      </c>
    </row>
    <row r="328" customFormat="false" ht="15" hidden="false" customHeight="true" outlineLevel="0" collapsed="false">
      <c r="A328" s="14" t="n">
        <v>643555</v>
      </c>
      <c r="B328" s="14" t="n">
        <v>485090</v>
      </c>
      <c r="C328" s="14" t="s">
        <v>2812</v>
      </c>
      <c r="D328" s="14" t="s">
        <v>2813</v>
      </c>
      <c r="E328" s="14" t="s">
        <v>2814</v>
      </c>
      <c r="F328" s="14" t="s">
        <v>2815</v>
      </c>
      <c r="G328" s="14" t="s">
        <v>2816</v>
      </c>
      <c r="H328" s="14" t="s">
        <v>2817</v>
      </c>
      <c r="I328" s="14" t="s">
        <v>2818</v>
      </c>
      <c r="J328" s="14" t="s">
        <v>2819</v>
      </c>
      <c r="K328" s="14" t="s">
        <v>67</v>
      </c>
      <c r="L328" s="14" t="s">
        <v>2820</v>
      </c>
      <c r="M328" s="14" t="s">
        <v>2821</v>
      </c>
      <c r="N328" s="14" t="s">
        <v>70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2" t="n">
        <f aca="false">AB328*(1+$L$3)</f>
        <v>0</v>
      </c>
      <c r="AD328" s="20"/>
      <c r="AE328" s="23" t="n">
        <f aca="false">AC328-AD328</f>
        <v>0</v>
      </c>
      <c r="AF328" s="21" t="str">
        <f aca="false">IFERROR(AD328/AC328,"")</f>
        <v/>
      </c>
    </row>
    <row r="329" customFormat="false" ht="15" hidden="false" customHeight="true" outlineLevel="0" collapsed="false">
      <c r="A329" s="14" t="n">
        <v>644091</v>
      </c>
      <c r="B329" s="14" t="n">
        <v>485548</v>
      </c>
      <c r="C329" s="14" t="s">
        <v>2822</v>
      </c>
      <c r="D329" s="14" t="s">
        <v>2823</v>
      </c>
      <c r="E329" s="14" t="s">
        <v>2824</v>
      </c>
      <c r="F329" s="14" t="s">
        <v>2825</v>
      </c>
      <c r="G329" s="14" t="s">
        <v>2826</v>
      </c>
      <c r="H329" s="14" t="s">
        <v>2827</v>
      </c>
      <c r="I329" s="14" t="s">
        <v>2828</v>
      </c>
      <c r="J329" s="14" t="s">
        <v>2750</v>
      </c>
      <c r="K329" s="14" t="s">
        <v>506</v>
      </c>
      <c r="L329" s="14" t="s">
        <v>2751</v>
      </c>
      <c r="M329" s="14" t="s">
        <v>2829</v>
      </c>
      <c r="N329" s="14" t="s">
        <v>70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2" t="n">
        <f aca="false">AB329*(1+$L$3)</f>
        <v>0</v>
      </c>
      <c r="AD329" s="20"/>
      <c r="AE329" s="23" t="n">
        <f aca="false">AC329-AD329</f>
        <v>0</v>
      </c>
      <c r="AF329" s="21" t="str">
        <f aca="false">IFERROR(AD329/AC329,"")</f>
        <v/>
      </c>
    </row>
    <row r="330" customFormat="false" ht="15" hidden="false" customHeight="true" outlineLevel="0" collapsed="false">
      <c r="A330" s="14" t="n">
        <v>633695</v>
      </c>
      <c r="B330" s="14" t="n">
        <v>480194</v>
      </c>
      <c r="C330" s="14" t="s">
        <v>2830</v>
      </c>
      <c r="D330" s="14" t="s">
        <v>2831</v>
      </c>
      <c r="E330" s="14" t="s">
        <v>2832</v>
      </c>
      <c r="F330" s="14" t="s">
        <v>2833</v>
      </c>
      <c r="G330" s="14" t="s">
        <v>2834</v>
      </c>
      <c r="H330" s="14" t="s">
        <v>2835</v>
      </c>
      <c r="I330" s="14"/>
      <c r="J330" s="14" t="s">
        <v>2129</v>
      </c>
      <c r="K330" s="14" t="s">
        <v>67</v>
      </c>
      <c r="L330" s="14" t="s">
        <v>2130</v>
      </c>
      <c r="M330" s="14" t="s">
        <v>2836</v>
      </c>
      <c r="N330" s="14" t="s">
        <v>70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2" t="n">
        <f aca="false">AB330*(1+$L$3)</f>
        <v>0</v>
      </c>
      <c r="AD330" s="20"/>
      <c r="AE330" s="23" t="n">
        <f aca="false">AC330-AD330</f>
        <v>0</v>
      </c>
      <c r="AF330" s="21" t="str">
        <f aca="false">IFERROR(AD330/AC330,"")</f>
        <v/>
      </c>
    </row>
    <row r="331" customFormat="false" ht="15" hidden="false" customHeight="true" outlineLevel="0" collapsed="false">
      <c r="A331" s="14" t="n">
        <v>633427</v>
      </c>
      <c r="B331" s="14" t="n">
        <v>479937</v>
      </c>
      <c r="C331" s="14" t="s">
        <v>2837</v>
      </c>
      <c r="D331" s="14" t="s">
        <v>2838</v>
      </c>
      <c r="E331" s="14" t="s">
        <v>2839</v>
      </c>
      <c r="F331" s="14" t="s">
        <v>2840</v>
      </c>
      <c r="G331" s="14" t="s">
        <v>2841</v>
      </c>
      <c r="H331" s="14" t="s">
        <v>2842</v>
      </c>
      <c r="I331" s="14" t="s">
        <v>2843</v>
      </c>
      <c r="J331" s="14" t="s">
        <v>2844</v>
      </c>
      <c r="K331" s="14" t="s">
        <v>307</v>
      </c>
      <c r="L331" s="14" t="s">
        <v>2845</v>
      </c>
      <c r="M331" s="14" t="s">
        <v>2846</v>
      </c>
      <c r="N331" s="14" t="s">
        <v>70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2" t="n">
        <f aca="false">AB331*(1+$L$3)</f>
        <v>0</v>
      </c>
      <c r="AD331" s="20"/>
      <c r="AE331" s="23" t="n">
        <f aca="false">AC331-AD331</f>
        <v>0</v>
      </c>
      <c r="AF331" s="21" t="str">
        <f aca="false">IFERROR(AD331/AC331,"")</f>
        <v/>
      </c>
    </row>
    <row r="332" customFormat="false" ht="15" hidden="false" customHeight="true" outlineLevel="0" collapsed="false">
      <c r="A332" s="14" t="n">
        <v>633326</v>
      </c>
      <c r="B332" s="14" t="n">
        <v>479836</v>
      </c>
      <c r="C332" s="14" t="s">
        <v>2847</v>
      </c>
      <c r="D332" s="14" t="s">
        <v>2848</v>
      </c>
      <c r="E332" s="14" t="s">
        <v>2849</v>
      </c>
      <c r="F332" s="14" t="s">
        <v>2850</v>
      </c>
      <c r="G332" s="14" t="s">
        <v>2851</v>
      </c>
      <c r="H332" s="14" t="s">
        <v>2852</v>
      </c>
      <c r="I332" s="14"/>
      <c r="J332" s="14" t="s">
        <v>316</v>
      </c>
      <c r="K332" s="14" t="s">
        <v>307</v>
      </c>
      <c r="L332" s="14" t="s">
        <v>2853</v>
      </c>
      <c r="M332" s="14" t="s">
        <v>2854</v>
      </c>
      <c r="N332" s="14" t="s">
        <v>70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/>
      <c r="Z332" s="15" t="n">
        <f aca="false">IF(X332=0,"",X332-Y332)</f>
        <v>1</v>
      </c>
      <c r="AA332" s="21" t="n">
        <f aca="false">IFERROR(Y332/X332,"")</f>
        <v>0</v>
      </c>
      <c r="AB332" s="15" t="n">
        <v>0</v>
      </c>
      <c r="AC332" s="22" t="n">
        <f aca="false">AB332*(1+$L$3)</f>
        <v>0</v>
      </c>
      <c r="AD332" s="20"/>
      <c r="AE332" s="23" t="n">
        <f aca="false">AC332-AD332</f>
        <v>0</v>
      </c>
      <c r="AF332" s="21" t="str">
        <f aca="false">IFERROR(AD332/AC332,"")</f>
        <v/>
      </c>
    </row>
    <row r="333" customFormat="false" ht="15" hidden="false" customHeight="true" outlineLevel="0" collapsed="false">
      <c r="A333" s="14" t="n">
        <v>644118</v>
      </c>
      <c r="B333" s="14" t="n">
        <v>485574</v>
      </c>
      <c r="C333" s="14" t="s">
        <v>2855</v>
      </c>
      <c r="D333" s="14" t="s">
        <v>2856</v>
      </c>
      <c r="E333" s="14" t="s">
        <v>2857</v>
      </c>
      <c r="F333" s="14" t="s">
        <v>2858</v>
      </c>
      <c r="G333" s="14" t="s">
        <v>2859</v>
      </c>
      <c r="H333" s="14" t="s">
        <v>2860</v>
      </c>
      <c r="I333" s="14"/>
      <c r="J333" s="14" t="s">
        <v>1448</v>
      </c>
      <c r="K333" s="14" t="s">
        <v>709</v>
      </c>
      <c r="L333" s="14" t="s">
        <v>2861</v>
      </c>
      <c r="M333" s="14" t="s">
        <v>2862</v>
      </c>
      <c r="N333" s="14" t="s">
        <v>70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2" t="n">
        <f aca="false">AB333*(1+$L$3)</f>
        <v>0</v>
      </c>
      <c r="AD333" s="20"/>
      <c r="AE333" s="23" t="n">
        <f aca="false">AC333-AD333</f>
        <v>0</v>
      </c>
      <c r="AF333" s="21" t="str">
        <f aca="false">IFERROR(AD333/AC333,"")</f>
        <v/>
      </c>
    </row>
    <row r="334" customFormat="false" ht="15" hidden="false" customHeight="true" outlineLevel="0" collapsed="false">
      <c r="A334" s="14" t="n">
        <v>633165</v>
      </c>
      <c r="B334" s="14" t="n">
        <v>479675</v>
      </c>
      <c r="C334" s="14" t="s">
        <v>2863</v>
      </c>
      <c r="D334" s="14" t="s">
        <v>2864</v>
      </c>
      <c r="E334" s="14" t="s">
        <v>2865</v>
      </c>
      <c r="F334" s="14" t="s">
        <v>2866</v>
      </c>
      <c r="G334" s="14" t="s">
        <v>2867</v>
      </c>
      <c r="H334" s="14" t="s">
        <v>2868</v>
      </c>
      <c r="I334" s="14"/>
      <c r="J334" s="14" t="s">
        <v>2869</v>
      </c>
      <c r="K334" s="14" t="s">
        <v>48</v>
      </c>
      <c r="L334" s="14" t="s">
        <v>2870</v>
      </c>
      <c r="M334" s="14" t="s">
        <v>2871</v>
      </c>
      <c r="N334" s="14" t="s">
        <v>70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2" t="n">
        <f aca="false">AB334*(1+$L$3)</f>
        <v>0</v>
      </c>
      <c r="AD334" s="20"/>
      <c r="AE334" s="23" t="n">
        <f aca="false">AC334-AD334</f>
        <v>0</v>
      </c>
      <c r="AF334" s="21" t="str">
        <f aca="false">IFERROR(AD334/AC334,"")</f>
        <v/>
      </c>
    </row>
    <row r="335" customFormat="false" ht="15" hidden="false" customHeight="true" outlineLevel="0" collapsed="false">
      <c r="A335" s="14" t="n">
        <v>610506</v>
      </c>
      <c r="B335" s="14" t="n">
        <v>460005</v>
      </c>
      <c r="C335" s="14" t="s">
        <v>2872</v>
      </c>
      <c r="D335" s="14" t="s">
        <v>2873</v>
      </c>
      <c r="E335" s="14" t="s">
        <v>2874</v>
      </c>
      <c r="F335" s="14" t="s">
        <v>2875</v>
      </c>
      <c r="G335" s="14" t="s">
        <v>2876</v>
      </c>
      <c r="H335" s="14" t="s">
        <v>2877</v>
      </c>
      <c r="I335" s="14" t="s">
        <v>2878</v>
      </c>
      <c r="J335" s="14" t="s">
        <v>2879</v>
      </c>
      <c r="K335" s="14" t="s">
        <v>67</v>
      </c>
      <c r="L335" s="14" t="s">
        <v>2880</v>
      </c>
      <c r="M335" s="14" t="s">
        <v>2881</v>
      </c>
      <c r="N335" s="14" t="s">
        <v>70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2" t="n">
        <f aca="false">AB335*(1+$L$3)</f>
        <v>0</v>
      </c>
      <c r="AD335" s="20"/>
      <c r="AE335" s="23" t="n">
        <f aca="false">AC335-AD335</f>
        <v>0</v>
      </c>
      <c r="AF335" s="21" t="str">
        <f aca="false">IFERROR(AD335/AC335,"")</f>
        <v/>
      </c>
    </row>
    <row r="336" customFormat="false" ht="15" hidden="false" customHeight="true" outlineLevel="0" collapsed="false">
      <c r="A336" s="14" t="n">
        <v>631595</v>
      </c>
      <c r="B336" s="14" t="n">
        <v>478087</v>
      </c>
      <c r="C336" s="14" t="s">
        <v>2882</v>
      </c>
      <c r="D336" s="14" t="s">
        <v>2883</v>
      </c>
      <c r="E336" s="14" t="s">
        <v>2884</v>
      </c>
      <c r="F336" s="14" t="s">
        <v>2885</v>
      </c>
      <c r="G336" s="14" t="s">
        <v>2886</v>
      </c>
      <c r="H336" s="14" t="s">
        <v>2887</v>
      </c>
      <c r="I336" s="14"/>
      <c r="J336" s="14" t="s">
        <v>708</v>
      </c>
      <c r="K336" s="14" t="s">
        <v>709</v>
      </c>
      <c r="L336" s="14" t="s">
        <v>2888</v>
      </c>
      <c r="M336" s="14" t="s">
        <v>2889</v>
      </c>
      <c r="N336" s="14" t="s">
        <v>70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2" t="n">
        <f aca="false">AB336*(1+$L$3)</f>
        <v>0</v>
      </c>
      <c r="AD336" s="20"/>
      <c r="AE336" s="23" t="n">
        <f aca="false">AC336-AD336</f>
        <v>0</v>
      </c>
      <c r="AF336" s="21" t="str">
        <f aca="false">IFERROR(AD336/AC336,"")</f>
        <v/>
      </c>
    </row>
    <row r="337" customFormat="false" ht="15" hidden="false" customHeight="true" outlineLevel="0" collapsed="false">
      <c r="A337" s="14" t="n">
        <v>631603</v>
      </c>
      <c r="B337" s="14" t="n">
        <v>478095</v>
      </c>
      <c r="C337" s="14" t="s">
        <v>2890</v>
      </c>
      <c r="D337" s="14" t="s">
        <v>2891</v>
      </c>
      <c r="E337" s="14" t="s">
        <v>2892</v>
      </c>
      <c r="F337" s="14" t="s">
        <v>2893</v>
      </c>
      <c r="G337" s="14" t="s">
        <v>2894</v>
      </c>
      <c r="H337" s="14" t="s">
        <v>2895</v>
      </c>
      <c r="I337" s="14"/>
      <c r="J337" s="14" t="s">
        <v>2896</v>
      </c>
      <c r="K337" s="14" t="s">
        <v>67</v>
      </c>
      <c r="L337" s="14" t="s">
        <v>2897</v>
      </c>
      <c r="M337" s="14" t="s">
        <v>2898</v>
      </c>
      <c r="N337" s="14" t="s">
        <v>70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 t="n">
        <v>2</v>
      </c>
      <c r="Z337" s="15" t="n">
        <f aca="false">IF(X337=0,"",X337-Y337)</f>
        <v>-1</v>
      </c>
      <c r="AA337" s="21" t="n">
        <f aca="false">IFERROR(Y337/X337,"")</f>
        <v>2</v>
      </c>
      <c r="AB337" s="15" t="n">
        <v>0</v>
      </c>
      <c r="AC337" s="22" t="n">
        <f aca="false">AB337*(1+$L$3)</f>
        <v>0</v>
      </c>
      <c r="AD337" s="20"/>
      <c r="AE337" s="23" t="n">
        <f aca="false">AC337-AD337</f>
        <v>0</v>
      </c>
      <c r="AF337" s="21" t="str">
        <f aca="false">IFERROR(AD337/AC337,"")</f>
        <v/>
      </c>
    </row>
    <row r="338" customFormat="false" ht="15" hidden="false" customHeight="true" outlineLevel="0" collapsed="false">
      <c r="A338" s="14" t="n">
        <v>626708</v>
      </c>
      <c r="B338" s="14" t="n">
        <v>475162</v>
      </c>
      <c r="C338" s="14" t="s">
        <v>2899</v>
      </c>
      <c r="D338" s="14" t="s">
        <v>2900</v>
      </c>
      <c r="E338" s="14" t="s">
        <v>2901</v>
      </c>
      <c r="F338" s="14" t="s">
        <v>2902</v>
      </c>
      <c r="G338" s="14" t="s">
        <v>2903</v>
      </c>
      <c r="H338" s="14" t="s">
        <v>2904</v>
      </c>
      <c r="I338" s="14"/>
      <c r="J338" s="14" t="s">
        <v>2905</v>
      </c>
      <c r="K338" s="14" t="s">
        <v>2316</v>
      </c>
      <c r="L338" s="14" t="s">
        <v>2906</v>
      </c>
      <c r="M338" s="14" t="s">
        <v>2907</v>
      </c>
      <c r="N338" s="14" t="s">
        <v>70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2" t="n">
        <f aca="false">AB338*(1+$L$3)</f>
        <v>0</v>
      </c>
      <c r="AD338" s="20"/>
      <c r="AE338" s="23" t="n">
        <f aca="false">AC338-AD338</f>
        <v>0</v>
      </c>
      <c r="AF338" s="21" t="str">
        <f aca="false">IFERROR(AD338/AC338,"")</f>
        <v/>
      </c>
    </row>
    <row r="339" customFormat="false" ht="15" hidden="false" customHeight="true" outlineLevel="0" collapsed="false">
      <c r="A339" s="14" t="n">
        <v>624334</v>
      </c>
      <c r="B339" s="14" t="n">
        <v>473585</v>
      </c>
      <c r="C339" s="14" t="s">
        <v>2908</v>
      </c>
      <c r="D339" s="14" t="s">
        <v>2909</v>
      </c>
      <c r="E339" s="14" t="s">
        <v>2910</v>
      </c>
      <c r="F339" s="14" t="s">
        <v>2911</v>
      </c>
      <c r="G339" s="14" t="s">
        <v>2912</v>
      </c>
      <c r="H339" s="14" t="s">
        <v>2913</v>
      </c>
      <c r="I339" s="14" t="s">
        <v>2914</v>
      </c>
      <c r="J339" s="14" t="s">
        <v>505</v>
      </c>
      <c r="K339" s="14" t="s">
        <v>506</v>
      </c>
      <c r="L339" s="14" t="s">
        <v>507</v>
      </c>
      <c r="M339" s="14" t="s">
        <v>2915</v>
      </c>
      <c r="N339" s="14" t="s">
        <v>70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2" t="n">
        <f aca="false">AB339*(1+$L$3)</f>
        <v>0</v>
      </c>
      <c r="AD339" s="20"/>
      <c r="AE339" s="23" t="n">
        <f aca="false">AC339-AD339</f>
        <v>0</v>
      </c>
      <c r="AF339" s="21" t="str">
        <f aca="false">IFERROR(AD339/AC339,"")</f>
        <v/>
      </c>
    </row>
    <row r="340" customFormat="false" ht="15" hidden="false" customHeight="true" outlineLevel="0" collapsed="false">
      <c r="A340" s="14" t="n">
        <v>607593</v>
      </c>
      <c r="B340" s="14" t="n">
        <v>457174</v>
      </c>
      <c r="C340" s="14" t="s">
        <v>2916</v>
      </c>
      <c r="D340" s="14" t="s">
        <v>2917</v>
      </c>
      <c r="E340" s="14" t="s">
        <v>2918</v>
      </c>
      <c r="F340" s="14" t="s">
        <v>2919</v>
      </c>
      <c r="G340" s="14" t="s">
        <v>2920</v>
      </c>
      <c r="H340" s="14" t="s">
        <v>2921</v>
      </c>
      <c r="I340" s="14"/>
      <c r="J340" s="14" t="s">
        <v>2922</v>
      </c>
      <c r="K340" s="14" t="s">
        <v>67</v>
      </c>
      <c r="L340" s="14" t="s">
        <v>2923</v>
      </c>
      <c r="M340" s="14" t="s">
        <v>2924</v>
      </c>
      <c r="N340" s="14" t="s">
        <v>70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2" t="n">
        <f aca="false">AB340*(1+$L$3)</f>
        <v>0</v>
      </c>
      <c r="AD340" s="20"/>
      <c r="AE340" s="23" t="n">
        <f aca="false">AC340-AD340</f>
        <v>0</v>
      </c>
      <c r="AF340" s="21" t="str">
        <f aca="false">IFERROR(AD340/AC340,"")</f>
        <v/>
      </c>
    </row>
    <row r="341" customFormat="false" ht="15" hidden="false" customHeight="true" outlineLevel="0" collapsed="false">
      <c r="A341" s="14" t="n">
        <v>588265</v>
      </c>
      <c r="B341" s="14" t="n">
        <v>437779</v>
      </c>
      <c r="C341" s="14" t="s">
        <v>2925</v>
      </c>
      <c r="D341" s="14" t="s">
        <v>2926</v>
      </c>
      <c r="E341" s="14" t="s">
        <v>2927</v>
      </c>
      <c r="F341" s="14" t="s">
        <v>2928</v>
      </c>
      <c r="G341" s="14" t="s">
        <v>2929</v>
      </c>
      <c r="H341" s="14" t="s">
        <v>2930</v>
      </c>
      <c r="I341" s="14"/>
      <c r="J341" s="14" t="s">
        <v>489</v>
      </c>
      <c r="K341" s="14" t="s">
        <v>307</v>
      </c>
      <c r="L341" s="14" t="s">
        <v>2931</v>
      </c>
      <c r="M341" s="14" t="s">
        <v>2932</v>
      </c>
      <c r="N341" s="14" t="s">
        <v>70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2" t="n">
        <f aca="false">AB341*(1+$L$3)</f>
        <v>0</v>
      </c>
      <c r="AD341" s="20"/>
      <c r="AE341" s="23" t="n">
        <f aca="false">AC341-AD341</f>
        <v>0</v>
      </c>
      <c r="AF341" s="21" t="str">
        <f aca="false">IFERROR(AD341/AC341,"")</f>
        <v/>
      </c>
    </row>
    <row r="342" customFormat="false" ht="15" hidden="false" customHeight="true" outlineLevel="0" collapsed="false">
      <c r="A342" s="14" t="n">
        <v>610678</v>
      </c>
      <c r="B342" s="14" t="n">
        <v>460179</v>
      </c>
      <c r="C342" s="14" t="s">
        <v>2933</v>
      </c>
      <c r="D342" s="14" t="s">
        <v>2934</v>
      </c>
      <c r="E342" s="14" t="s">
        <v>2935</v>
      </c>
      <c r="F342" s="14" t="s">
        <v>2936</v>
      </c>
      <c r="G342" s="14" t="s">
        <v>2937</v>
      </c>
      <c r="H342" s="14" t="s">
        <v>2938</v>
      </c>
      <c r="I342" s="14"/>
      <c r="J342" s="14" t="s">
        <v>1685</v>
      </c>
      <c r="K342" s="14" t="s">
        <v>67</v>
      </c>
      <c r="L342" s="14" t="s">
        <v>1686</v>
      </c>
      <c r="M342" s="14" t="s">
        <v>2939</v>
      </c>
      <c r="N342" s="14" t="s">
        <v>70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2" t="n">
        <f aca="false">AB342*(1+$L$3)</f>
        <v>0</v>
      </c>
      <c r="AD342" s="20"/>
      <c r="AE342" s="23" t="n">
        <f aca="false">AC342-AD342</f>
        <v>0</v>
      </c>
      <c r="AF342" s="21" t="str">
        <f aca="false">IFERROR(AD342/AC342,"")</f>
        <v/>
      </c>
    </row>
    <row r="343" customFormat="false" ht="15" hidden="false" customHeight="true" outlineLevel="0" collapsed="false">
      <c r="A343" s="14" t="n">
        <v>595022</v>
      </c>
      <c r="B343" s="14" t="n">
        <v>443624</v>
      </c>
      <c r="C343" s="14" t="s">
        <v>2940</v>
      </c>
      <c r="D343" s="14" t="s">
        <v>2941</v>
      </c>
      <c r="E343" s="14" t="s">
        <v>2942</v>
      </c>
      <c r="F343" s="14" t="s">
        <v>2943</v>
      </c>
      <c r="G343" s="14" t="s">
        <v>2944</v>
      </c>
      <c r="H343" s="14" t="s">
        <v>2945</v>
      </c>
      <c r="I343" s="14"/>
      <c r="J343" s="14" t="s">
        <v>638</v>
      </c>
      <c r="K343" s="14" t="s">
        <v>67</v>
      </c>
      <c r="L343" s="14" t="s">
        <v>1133</v>
      </c>
      <c r="M343" s="14" t="s">
        <v>2946</v>
      </c>
      <c r="N343" s="14" t="s">
        <v>70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2" t="n">
        <f aca="false">AB343*(1+$L$3)</f>
        <v>0</v>
      </c>
      <c r="AD343" s="20"/>
      <c r="AE343" s="23" t="n">
        <f aca="false">AC343-AD343</f>
        <v>0</v>
      </c>
      <c r="AF343" s="21" t="str">
        <f aca="false">IFERROR(AD343/AC343,"")</f>
        <v/>
      </c>
    </row>
    <row r="344" customFormat="false" ht="15" hidden="false" customHeight="true" outlineLevel="0" collapsed="false">
      <c r="A344" s="14" t="n">
        <v>604948</v>
      </c>
      <c r="B344" s="14" t="n">
        <v>454763</v>
      </c>
      <c r="C344" s="14" t="s">
        <v>2947</v>
      </c>
      <c r="D344" s="14" t="s">
        <v>2948</v>
      </c>
      <c r="E344" s="14" t="s">
        <v>2949</v>
      </c>
      <c r="F344" s="14" t="s">
        <v>2950</v>
      </c>
      <c r="G344" s="14" t="s">
        <v>2951</v>
      </c>
      <c r="H344" s="14" t="s">
        <v>2952</v>
      </c>
      <c r="I344" s="14"/>
      <c r="J344" s="14" t="s">
        <v>2953</v>
      </c>
      <c r="K344" s="14" t="s">
        <v>67</v>
      </c>
      <c r="L344" s="14" t="s">
        <v>2954</v>
      </c>
      <c r="M344" s="14" t="s">
        <v>2955</v>
      </c>
      <c r="N344" s="14" t="s">
        <v>70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2" t="n">
        <f aca="false">AB344*(1+$L$3)</f>
        <v>0</v>
      </c>
      <c r="AD344" s="20"/>
      <c r="AE344" s="23" t="n">
        <f aca="false">AC344-AD344</f>
        <v>0</v>
      </c>
      <c r="AF344" s="21" t="str">
        <f aca="false">IFERROR(AD344/AC344,"")</f>
        <v/>
      </c>
    </row>
    <row r="345" customFormat="false" ht="15" hidden="false" customHeight="true" outlineLevel="0" collapsed="false">
      <c r="A345" s="14" t="n">
        <v>101583</v>
      </c>
      <c r="B345" s="14" t="n">
        <v>103042</v>
      </c>
      <c r="C345" s="14" t="s">
        <v>2956</v>
      </c>
      <c r="D345" s="14" t="s">
        <v>2957</v>
      </c>
      <c r="E345" s="14" t="s">
        <v>2958</v>
      </c>
      <c r="F345" s="14" t="s">
        <v>2959</v>
      </c>
      <c r="G345" s="14" t="s">
        <v>2960</v>
      </c>
      <c r="H345" s="14" t="s">
        <v>2961</v>
      </c>
      <c r="I345" s="14"/>
      <c r="J345" s="14" t="s">
        <v>306</v>
      </c>
      <c r="K345" s="14" t="s">
        <v>307</v>
      </c>
      <c r="L345" s="14" t="s">
        <v>308</v>
      </c>
      <c r="M345" s="14" t="s">
        <v>2962</v>
      </c>
      <c r="N345" s="14" t="s">
        <v>70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/>
      <c r="Z345" s="15" t="n">
        <f aca="false">IF(X345=0,"",X345-Y345)</f>
        <v>1</v>
      </c>
      <c r="AA345" s="21" t="n">
        <f aca="false">IFERROR(Y345/X345,"")</f>
        <v>0</v>
      </c>
      <c r="AB345" s="15" t="n">
        <v>0</v>
      </c>
      <c r="AC345" s="22" t="n">
        <f aca="false">AB345*(1+$L$3)</f>
        <v>0</v>
      </c>
      <c r="AD345" s="20"/>
      <c r="AE345" s="23" t="n">
        <f aca="false">AC345-AD345</f>
        <v>0</v>
      </c>
      <c r="AF345" s="21" t="str">
        <f aca="false">IFERROR(AD345/AC345,"")</f>
        <v/>
      </c>
    </row>
    <row r="346" customFormat="false" ht="15" hidden="false" customHeight="true" outlineLevel="0" collapsed="false">
      <c r="A346" s="14" t="n">
        <v>604876</v>
      </c>
      <c r="B346" s="14" t="n">
        <v>454691</v>
      </c>
      <c r="C346" s="14" t="s">
        <v>2963</v>
      </c>
      <c r="D346" s="14" t="s">
        <v>2964</v>
      </c>
      <c r="E346" s="14" t="s">
        <v>2965</v>
      </c>
      <c r="F346" s="14" t="s">
        <v>2966</v>
      </c>
      <c r="G346" s="14" t="s">
        <v>2967</v>
      </c>
      <c r="H346" s="14" t="s">
        <v>2968</v>
      </c>
      <c r="I346" s="14"/>
      <c r="J346" s="14" t="s">
        <v>2129</v>
      </c>
      <c r="K346" s="14" t="s">
        <v>67</v>
      </c>
      <c r="L346" s="14" t="s">
        <v>2130</v>
      </c>
      <c r="M346" s="14" t="s">
        <v>2969</v>
      </c>
      <c r="N346" s="14" t="s">
        <v>70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2" t="n">
        <f aca="false">AB346*(1+$L$3)</f>
        <v>0</v>
      </c>
      <c r="AD346" s="20"/>
      <c r="AE346" s="23" t="n">
        <f aca="false">AC346-AD346</f>
        <v>0</v>
      </c>
      <c r="AF346" s="21" t="str">
        <f aca="false">IFERROR(AD346/AC346,"")</f>
        <v/>
      </c>
    </row>
    <row r="347" customFormat="false" ht="15" hidden="false" customHeight="true" outlineLevel="0" collapsed="false">
      <c r="A347" s="14" t="n">
        <v>658118</v>
      </c>
      <c r="B347" s="14" t="n">
        <v>499121</v>
      </c>
      <c r="C347" s="14" t="s">
        <v>2970</v>
      </c>
      <c r="D347" s="14" t="s">
        <v>2971</v>
      </c>
      <c r="E347" s="14" t="s">
        <v>2972</v>
      </c>
      <c r="F347" s="14" t="s">
        <v>2973</v>
      </c>
      <c r="G347" s="14" t="s">
        <v>2974</v>
      </c>
      <c r="H347" s="14" t="s">
        <v>2975</v>
      </c>
      <c r="I347" s="14"/>
      <c r="J347" s="14" t="s">
        <v>2976</v>
      </c>
      <c r="K347" s="14" t="s">
        <v>981</v>
      </c>
      <c r="L347" s="14" t="s">
        <v>2977</v>
      </c>
      <c r="M347" s="14" t="s">
        <v>2978</v>
      </c>
      <c r="N347" s="14" t="s">
        <v>70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2" t="n">
        <f aca="false">AB347*(1+$L$3)</f>
        <v>0</v>
      </c>
      <c r="AD347" s="20"/>
      <c r="AE347" s="23" t="n">
        <f aca="false">AC347-AD347</f>
        <v>0</v>
      </c>
      <c r="AF347" s="21" t="str">
        <f aca="false">IFERROR(AD347/AC347,"")</f>
        <v/>
      </c>
    </row>
    <row r="348" customFormat="false" ht="15" hidden="false" customHeight="true" outlineLevel="0" collapsed="false">
      <c r="A348" s="14" t="n">
        <v>652625</v>
      </c>
      <c r="B348" s="14" t="n">
        <v>493784</v>
      </c>
      <c r="C348" s="14" t="s">
        <v>2979</v>
      </c>
      <c r="D348" s="14" t="s">
        <v>2980</v>
      </c>
      <c r="E348" s="14" t="s">
        <v>2981</v>
      </c>
      <c r="F348" s="14" t="s">
        <v>2982</v>
      </c>
      <c r="G348" s="14" t="s">
        <v>1871</v>
      </c>
      <c r="H348" s="14" t="s">
        <v>2983</v>
      </c>
      <c r="I348" s="14" t="s">
        <v>2984</v>
      </c>
      <c r="J348" s="14" t="s">
        <v>2985</v>
      </c>
      <c r="K348" s="14" t="s">
        <v>2986</v>
      </c>
      <c r="L348" s="14" t="s">
        <v>2987</v>
      </c>
      <c r="M348" s="14" t="s">
        <v>2988</v>
      </c>
      <c r="N348" s="14" t="s">
        <v>70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2" t="n">
        <f aca="false">AB348*(1+$L$3)</f>
        <v>0</v>
      </c>
      <c r="AD348" s="20"/>
      <c r="AE348" s="23" t="n">
        <f aca="false">AC348-AD348</f>
        <v>0</v>
      </c>
      <c r="AF348" s="21" t="str">
        <f aca="false">IFERROR(AD348/AC348,"")</f>
        <v/>
      </c>
    </row>
    <row r="349" customFormat="false" ht="15" hidden="false" customHeight="true" outlineLevel="0" collapsed="false">
      <c r="A349" s="14" t="n">
        <v>651769</v>
      </c>
      <c r="B349" s="14" t="n">
        <v>493017</v>
      </c>
      <c r="C349" s="14" t="s">
        <v>2989</v>
      </c>
      <c r="D349" s="14" t="s">
        <v>2990</v>
      </c>
      <c r="E349" s="14" t="s">
        <v>2991</v>
      </c>
      <c r="F349" s="14" t="s">
        <v>2992</v>
      </c>
      <c r="G349" s="14" t="s">
        <v>2993</v>
      </c>
      <c r="H349" s="14" t="s">
        <v>2994</v>
      </c>
      <c r="I349" s="14"/>
      <c r="J349" s="14" t="s">
        <v>2995</v>
      </c>
      <c r="K349" s="14" t="s">
        <v>1026</v>
      </c>
      <c r="L349" s="14" t="s">
        <v>2996</v>
      </c>
      <c r="M349" s="14" t="s">
        <v>2997</v>
      </c>
      <c r="N349" s="14" t="s">
        <v>70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2" t="n">
        <f aca="false">AB349*(1+$L$3)</f>
        <v>0</v>
      </c>
      <c r="AD349" s="20"/>
      <c r="AE349" s="23" t="n">
        <f aca="false">AC349-AD349</f>
        <v>0</v>
      </c>
      <c r="AF349" s="21" t="str">
        <f aca="false">IFERROR(AD349/AC349,"")</f>
        <v/>
      </c>
    </row>
    <row r="350" customFormat="false" ht="15" hidden="false" customHeight="true" outlineLevel="0" collapsed="false">
      <c r="A350" s="14" t="n">
        <v>650781</v>
      </c>
      <c r="B350" s="14" t="n">
        <v>492031</v>
      </c>
      <c r="C350" s="14" t="s">
        <v>2998</v>
      </c>
      <c r="D350" s="14" t="s">
        <v>2999</v>
      </c>
      <c r="E350" s="14" t="s">
        <v>3000</v>
      </c>
      <c r="F350" s="14" t="s">
        <v>3001</v>
      </c>
      <c r="G350" s="14" t="s">
        <v>3002</v>
      </c>
      <c r="H350" s="14" t="s">
        <v>3003</v>
      </c>
      <c r="I350" s="14" t="s">
        <v>3004</v>
      </c>
      <c r="J350" s="14" t="s">
        <v>77</v>
      </c>
      <c r="K350" s="14" t="s">
        <v>48</v>
      </c>
      <c r="L350" s="14" t="s">
        <v>78</v>
      </c>
      <c r="M350" s="14" t="s">
        <v>3005</v>
      </c>
      <c r="N350" s="14" t="s">
        <v>70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2" t="n">
        <f aca="false">AB350*(1+$L$3)</f>
        <v>0</v>
      </c>
      <c r="AD350" s="20"/>
      <c r="AE350" s="23" t="n">
        <f aca="false">AC350-AD350</f>
        <v>0</v>
      </c>
      <c r="AF350" s="21" t="str">
        <f aca="false">IFERROR(AD350/AC350,"")</f>
        <v/>
      </c>
    </row>
    <row r="351" customFormat="false" ht="15" hidden="false" customHeight="true" outlineLevel="0" collapsed="false">
      <c r="A351" s="14" t="n">
        <v>634221</v>
      </c>
      <c r="B351" s="14" t="n">
        <v>480713</v>
      </c>
      <c r="C351" s="14" t="s">
        <v>3006</v>
      </c>
      <c r="D351" s="14" t="s">
        <v>3007</v>
      </c>
      <c r="E351" s="14" t="s">
        <v>3008</v>
      </c>
      <c r="F351" s="14" t="s">
        <v>3009</v>
      </c>
      <c r="G351" s="14" t="s">
        <v>3010</v>
      </c>
      <c r="H351" s="14" t="s">
        <v>3011</v>
      </c>
      <c r="I351" s="14"/>
      <c r="J351" s="14" t="s">
        <v>2424</v>
      </c>
      <c r="K351" s="14" t="s">
        <v>932</v>
      </c>
      <c r="L351" s="14" t="s">
        <v>2425</v>
      </c>
      <c r="M351" s="14" t="s">
        <v>3012</v>
      </c>
      <c r="N351" s="14" t="s">
        <v>70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2" t="n">
        <f aca="false">AB351*(1+$L$3)</f>
        <v>0</v>
      </c>
      <c r="AD351" s="20"/>
      <c r="AE351" s="23" t="n">
        <f aca="false">AC351-AD351</f>
        <v>0</v>
      </c>
      <c r="AF351" s="21" t="str">
        <f aca="false">IFERROR(AD351/AC351,"")</f>
        <v/>
      </c>
    </row>
    <row r="352" customFormat="false" ht="15" hidden="false" customHeight="true" outlineLevel="0" collapsed="false">
      <c r="A352" s="14" t="n">
        <v>631716</v>
      </c>
      <c r="B352" s="14" t="n">
        <v>478211</v>
      </c>
      <c r="C352" s="14" t="s">
        <v>3013</v>
      </c>
      <c r="D352" s="14" t="s">
        <v>3014</v>
      </c>
      <c r="E352" s="14" t="s">
        <v>3015</v>
      </c>
      <c r="F352" s="14" t="s">
        <v>3016</v>
      </c>
      <c r="G352" s="14" t="s">
        <v>3017</v>
      </c>
      <c r="H352" s="14" t="s">
        <v>3018</v>
      </c>
      <c r="I352" s="14" t="s">
        <v>3019</v>
      </c>
      <c r="J352" s="14" t="s">
        <v>638</v>
      </c>
      <c r="K352" s="14" t="s">
        <v>67</v>
      </c>
      <c r="L352" s="14" t="s">
        <v>3020</v>
      </c>
      <c r="M352" s="14" t="s">
        <v>3021</v>
      </c>
      <c r="N352" s="14" t="s">
        <v>70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2" t="n">
        <f aca="false">AB352*(1+$L$3)</f>
        <v>0</v>
      </c>
      <c r="AD352" s="20"/>
      <c r="AE352" s="23" t="n">
        <f aca="false">AC352-AD352</f>
        <v>0</v>
      </c>
      <c r="AF352" s="21" t="str">
        <f aca="false">IFERROR(AD352/AC352,"")</f>
        <v/>
      </c>
    </row>
    <row r="353" customFormat="false" ht="15" hidden="false" customHeight="true" outlineLevel="0" collapsed="false">
      <c r="A353" s="14" t="n">
        <v>625418</v>
      </c>
      <c r="B353" s="14" t="n">
        <v>474384</v>
      </c>
      <c r="C353" s="14" t="s">
        <v>3022</v>
      </c>
      <c r="D353" s="14" t="s">
        <v>3023</v>
      </c>
      <c r="E353" s="14" t="s">
        <v>3024</v>
      </c>
      <c r="F353" s="14" t="s">
        <v>3025</v>
      </c>
      <c r="G353" s="14" t="s">
        <v>3026</v>
      </c>
      <c r="H353" s="14" t="s">
        <v>3027</v>
      </c>
      <c r="I353" s="14" t="s">
        <v>1803</v>
      </c>
      <c r="J353" s="14" t="s">
        <v>1570</v>
      </c>
      <c r="K353" s="14" t="s">
        <v>307</v>
      </c>
      <c r="L353" s="14" t="s">
        <v>1571</v>
      </c>
      <c r="M353" s="14" t="s">
        <v>3028</v>
      </c>
      <c r="N353" s="14" t="s">
        <v>70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2" t="n">
        <f aca="false">AB353*(1+$L$3)</f>
        <v>0</v>
      </c>
      <c r="AD353" s="20"/>
      <c r="AE353" s="23" t="n">
        <f aca="false">AC353-AD353</f>
        <v>0</v>
      </c>
      <c r="AF353" s="21" t="str">
        <f aca="false">IFERROR(AD353/AC353,"")</f>
        <v/>
      </c>
    </row>
    <row r="354" customFormat="false" ht="15" hidden="false" customHeight="true" outlineLevel="0" collapsed="false">
      <c r="A354" s="14" t="n">
        <v>567206</v>
      </c>
      <c r="B354" s="14" t="n">
        <v>420737</v>
      </c>
      <c r="C354" s="14" t="s">
        <v>3029</v>
      </c>
      <c r="D354" s="14" t="s">
        <v>3030</v>
      </c>
      <c r="E354" s="14" t="s">
        <v>3031</v>
      </c>
      <c r="F354" s="14" t="s">
        <v>3032</v>
      </c>
      <c r="G354" s="14" t="s">
        <v>3033</v>
      </c>
      <c r="H354" s="14" t="s">
        <v>3034</v>
      </c>
      <c r="I354" s="14"/>
      <c r="J354" s="14" t="s">
        <v>306</v>
      </c>
      <c r="K354" s="14" t="s">
        <v>307</v>
      </c>
      <c r="L354" s="14" t="s">
        <v>3035</v>
      </c>
      <c r="M354" s="14" t="s">
        <v>3036</v>
      </c>
      <c r="N354" s="14" t="s">
        <v>70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2" t="n">
        <f aca="false">AB354*(1+$L$3)</f>
        <v>0</v>
      </c>
      <c r="AD354" s="20"/>
      <c r="AE354" s="23" t="n">
        <f aca="false">AC354-AD354</f>
        <v>0</v>
      </c>
      <c r="AF354" s="21" t="str">
        <f aca="false">IFERROR(AD354/AC354,"")</f>
        <v/>
      </c>
    </row>
    <row r="355" customFormat="false" ht="15" hidden="false" customHeight="true" outlineLevel="0" collapsed="false">
      <c r="A355" s="14" t="n">
        <v>122232</v>
      </c>
      <c r="B355" s="14" t="n">
        <v>135924</v>
      </c>
      <c r="C355" s="14" t="s">
        <v>3037</v>
      </c>
      <c r="D355" s="14" t="s">
        <v>3038</v>
      </c>
      <c r="E355" s="14" t="s">
        <v>3039</v>
      </c>
      <c r="F355" s="14" t="s">
        <v>3040</v>
      </c>
      <c r="G355" s="14" t="s">
        <v>3041</v>
      </c>
      <c r="H355" s="14" t="s">
        <v>3042</v>
      </c>
      <c r="I355" s="14"/>
      <c r="J355" s="14" t="s">
        <v>3043</v>
      </c>
      <c r="K355" s="14" t="s">
        <v>307</v>
      </c>
      <c r="L355" s="14" t="s">
        <v>3044</v>
      </c>
      <c r="M355" s="14" t="s">
        <v>3045</v>
      </c>
      <c r="N355" s="14" t="s">
        <v>70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/>
      <c r="Z355" s="15" t="n">
        <f aca="false">IF(X355=0,"",X355-Y355)</f>
        <v>1</v>
      </c>
      <c r="AA355" s="21" t="n">
        <f aca="false">IFERROR(Y355/X355,"")</f>
        <v>0</v>
      </c>
      <c r="AB355" s="15" t="n">
        <v>0</v>
      </c>
      <c r="AC355" s="22" t="n">
        <f aca="false">AB355*(1+$L$3)</f>
        <v>0</v>
      </c>
      <c r="AD355" s="20"/>
      <c r="AE355" s="23" t="n">
        <f aca="false">AC355-AD355</f>
        <v>0</v>
      </c>
      <c r="AF355" s="21" t="str">
        <f aca="false">IFERROR(AD355/AC355,"")</f>
        <v/>
      </c>
    </row>
    <row r="356" customFormat="false" ht="15" hidden="false" customHeight="true" outlineLevel="0" collapsed="false">
      <c r="A356" s="14" t="n">
        <v>127076</v>
      </c>
      <c r="B356" s="14" t="n">
        <v>141172</v>
      </c>
      <c r="C356" s="14" t="s">
        <v>3046</v>
      </c>
      <c r="D356" s="14" t="s">
        <v>3047</v>
      </c>
      <c r="E356" s="14" t="s">
        <v>3048</v>
      </c>
      <c r="F356" s="14" t="s">
        <v>3049</v>
      </c>
      <c r="G356" s="14" t="s">
        <v>3050</v>
      </c>
      <c r="H356" s="14" t="s">
        <v>3051</v>
      </c>
      <c r="I356" s="14" t="s">
        <v>3052</v>
      </c>
      <c r="J356" s="14" t="s">
        <v>2750</v>
      </c>
      <c r="K356" s="14" t="s">
        <v>506</v>
      </c>
      <c r="L356" s="14" t="s">
        <v>3053</v>
      </c>
      <c r="M356" s="14" t="s">
        <v>3054</v>
      </c>
      <c r="N356" s="14" t="s">
        <v>70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2" t="n">
        <f aca="false">AB356*(1+$L$3)</f>
        <v>0</v>
      </c>
      <c r="AD356" s="20"/>
      <c r="AE356" s="23" t="n">
        <f aca="false">AC356-AD356</f>
        <v>0</v>
      </c>
      <c r="AF356" s="21" t="str">
        <f aca="false">IFERROR(AD356/AC356,"")</f>
        <v/>
      </c>
    </row>
    <row r="357" customFormat="false" ht="15" hidden="false" customHeight="true" outlineLevel="0" collapsed="false">
      <c r="A357" s="14" t="n">
        <v>661081</v>
      </c>
      <c r="B357" s="14" t="n">
        <v>502097</v>
      </c>
      <c r="C357" s="14" t="s">
        <v>3055</v>
      </c>
      <c r="D357" s="14" t="s">
        <v>3056</v>
      </c>
      <c r="E357" s="14" t="s">
        <v>3057</v>
      </c>
      <c r="F357" s="14" t="s">
        <v>3058</v>
      </c>
      <c r="G357" s="14" t="s">
        <v>3059</v>
      </c>
      <c r="H357" s="14" t="s">
        <v>3060</v>
      </c>
      <c r="I357" s="14"/>
      <c r="J357" s="14" t="s">
        <v>962</v>
      </c>
      <c r="K357" s="14" t="s">
        <v>48</v>
      </c>
      <c r="L357" s="14" t="s">
        <v>963</v>
      </c>
      <c r="M357" s="14" t="s">
        <v>3061</v>
      </c>
      <c r="N357" s="14" t="s">
        <v>70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2" t="n">
        <f aca="false">AB357*(1+$L$3)</f>
        <v>0</v>
      </c>
      <c r="AD357" s="20"/>
      <c r="AE357" s="23" t="n">
        <f aca="false">AC357-AD357</f>
        <v>0</v>
      </c>
      <c r="AF357" s="21" t="str">
        <f aca="false">IFERROR(AD357/AC357,"")</f>
        <v/>
      </c>
    </row>
    <row r="358" customFormat="false" ht="15" hidden="false" customHeight="true" outlineLevel="0" collapsed="false">
      <c r="A358" s="14" t="n">
        <v>660740</v>
      </c>
      <c r="B358" s="14" t="n">
        <v>501753</v>
      </c>
      <c r="C358" s="14" t="s">
        <v>3062</v>
      </c>
      <c r="D358" s="14" t="s">
        <v>3063</v>
      </c>
      <c r="E358" s="14" t="s">
        <v>3064</v>
      </c>
      <c r="F358" s="14" t="s">
        <v>3065</v>
      </c>
      <c r="G358" s="14" t="s">
        <v>3066</v>
      </c>
      <c r="H358" s="14" t="s">
        <v>3067</v>
      </c>
      <c r="I358" s="14"/>
      <c r="J358" s="14" t="s">
        <v>3068</v>
      </c>
      <c r="K358" s="14" t="s">
        <v>67</v>
      </c>
      <c r="L358" s="14" t="s">
        <v>3069</v>
      </c>
      <c r="M358" s="14" t="s">
        <v>3070</v>
      </c>
      <c r="N358" s="14" t="s">
        <v>70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/>
      <c r="Z358" s="15" t="n">
        <f aca="false">IF(X358=0,"",X358-Y358)</f>
        <v>1</v>
      </c>
      <c r="AA358" s="21" t="n">
        <f aca="false">IFERROR(Y358/X358,"")</f>
        <v>0</v>
      </c>
      <c r="AB358" s="15" t="n">
        <v>0</v>
      </c>
      <c r="AC358" s="22" t="n">
        <f aca="false">AB358*(1+$L$3)</f>
        <v>0</v>
      </c>
      <c r="AD358" s="20"/>
      <c r="AE358" s="23" t="n">
        <f aca="false">AC358-AD358</f>
        <v>0</v>
      </c>
      <c r="AF358" s="21" t="str">
        <f aca="false">IFERROR(AD358/AC358,"")</f>
        <v/>
      </c>
    </row>
    <row r="359" customFormat="false" ht="15" hidden="false" customHeight="true" outlineLevel="0" collapsed="false">
      <c r="A359" s="14" t="n">
        <v>660107</v>
      </c>
      <c r="B359" s="14" t="n">
        <v>501115</v>
      </c>
      <c r="C359" s="14" t="s">
        <v>3071</v>
      </c>
      <c r="D359" s="14" t="s">
        <v>3072</v>
      </c>
      <c r="E359" s="14" t="s">
        <v>3073</v>
      </c>
      <c r="F359" s="14" t="s">
        <v>3074</v>
      </c>
      <c r="G359" s="14" t="s">
        <v>3075</v>
      </c>
      <c r="H359" s="14" t="s">
        <v>3076</v>
      </c>
      <c r="I359" s="14"/>
      <c r="J359" s="14" t="s">
        <v>556</v>
      </c>
      <c r="K359" s="14" t="s">
        <v>557</v>
      </c>
      <c r="L359" s="14" t="s">
        <v>3077</v>
      </c>
      <c r="M359" s="14" t="s">
        <v>3078</v>
      </c>
      <c r="N359" s="14" t="s">
        <v>70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2" t="n">
        <f aca="false">AB359*(1+$L$3)</f>
        <v>0</v>
      </c>
      <c r="AD359" s="20"/>
      <c r="AE359" s="23" t="n">
        <f aca="false">AC359-AD359</f>
        <v>0</v>
      </c>
      <c r="AF359" s="21" t="str">
        <f aca="false">IFERROR(AD359/AC359,"")</f>
        <v/>
      </c>
    </row>
    <row r="360" customFormat="false" ht="15" hidden="false" customHeight="true" outlineLevel="0" collapsed="false">
      <c r="A360" s="14" t="n">
        <v>659880</v>
      </c>
      <c r="B360" s="14" t="n">
        <v>500886</v>
      </c>
      <c r="C360" s="14" t="s">
        <v>3079</v>
      </c>
      <c r="D360" s="14" t="s">
        <v>3080</v>
      </c>
      <c r="E360" s="14" t="s">
        <v>3081</v>
      </c>
      <c r="F360" s="14" t="s">
        <v>3082</v>
      </c>
      <c r="G360" s="14" t="s">
        <v>3083</v>
      </c>
      <c r="H360" s="14" t="s">
        <v>3084</v>
      </c>
      <c r="I360" s="14" t="s">
        <v>2582</v>
      </c>
      <c r="J360" s="14" t="s">
        <v>3085</v>
      </c>
      <c r="K360" s="14" t="s">
        <v>3086</v>
      </c>
      <c r="L360" s="14" t="s">
        <v>3087</v>
      </c>
      <c r="M360" s="14" t="s">
        <v>3088</v>
      </c>
      <c r="N360" s="14" t="s">
        <v>70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2" t="n">
        <f aca="false">AB360*(1+$L$3)</f>
        <v>0</v>
      </c>
      <c r="AD360" s="20"/>
      <c r="AE360" s="23" t="n">
        <f aca="false">AC360-AD360</f>
        <v>0</v>
      </c>
      <c r="AF360" s="21" t="str">
        <f aca="false">IFERROR(AD360/AC360,"")</f>
        <v/>
      </c>
    </row>
    <row r="361" customFormat="false" ht="15" hidden="false" customHeight="true" outlineLevel="0" collapsed="false">
      <c r="A361" s="14" t="n">
        <v>659552</v>
      </c>
      <c r="B361" s="14" t="n">
        <v>500558</v>
      </c>
      <c r="C361" s="14" t="s">
        <v>3089</v>
      </c>
      <c r="D361" s="14" t="s">
        <v>3090</v>
      </c>
      <c r="E361" s="14" t="s">
        <v>3091</v>
      </c>
      <c r="F361" s="14" t="s">
        <v>3092</v>
      </c>
      <c r="G361" s="14" t="s">
        <v>3093</v>
      </c>
      <c r="H361" s="14" t="s">
        <v>3094</v>
      </c>
      <c r="I361" s="14"/>
      <c r="J361" s="14" t="s">
        <v>3095</v>
      </c>
      <c r="K361" s="14" t="s">
        <v>557</v>
      </c>
      <c r="L361" s="14" t="s">
        <v>3096</v>
      </c>
      <c r="M361" s="14" t="s">
        <v>3097</v>
      </c>
      <c r="N361" s="14" t="s">
        <v>70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2" t="n">
        <f aca="false">AB361*(1+$L$3)</f>
        <v>0</v>
      </c>
      <c r="AD361" s="20"/>
      <c r="AE361" s="23" t="n">
        <f aca="false">AC361-AD361</f>
        <v>0</v>
      </c>
      <c r="AF361" s="21" t="str">
        <f aca="false">IFERROR(AD361/AC361,"")</f>
        <v/>
      </c>
    </row>
    <row r="362" customFormat="false" ht="15" hidden="false" customHeight="true" outlineLevel="0" collapsed="false">
      <c r="A362" s="14" t="n">
        <v>659556</v>
      </c>
      <c r="B362" s="14" t="n">
        <v>500562</v>
      </c>
      <c r="C362" s="14" t="s">
        <v>3098</v>
      </c>
      <c r="D362" s="14" t="s">
        <v>3099</v>
      </c>
      <c r="E362" s="14" t="s">
        <v>3100</v>
      </c>
      <c r="F362" s="14" t="s">
        <v>3101</v>
      </c>
      <c r="G362" s="14" t="s">
        <v>3102</v>
      </c>
      <c r="H362" s="14" t="s">
        <v>3103</v>
      </c>
      <c r="I362" s="14"/>
      <c r="J362" s="14" t="s">
        <v>556</v>
      </c>
      <c r="K362" s="14" t="s">
        <v>557</v>
      </c>
      <c r="L362" s="14" t="s">
        <v>3104</v>
      </c>
      <c r="M362" s="14" t="s">
        <v>3105</v>
      </c>
      <c r="N362" s="14" t="s">
        <v>70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/>
      <c r="Z362" s="15" t="n">
        <f aca="false">IF(X362=0,"",X362-Y362)</f>
        <v>1</v>
      </c>
      <c r="AA362" s="21" t="n">
        <f aca="false">IFERROR(Y362/X362,"")</f>
        <v>0</v>
      </c>
      <c r="AB362" s="15" t="n">
        <v>0</v>
      </c>
      <c r="AC362" s="22" t="n">
        <f aca="false">AB362*(1+$L$3)</f>
        <v>0</v>
      </c>
      <c r="AD362" s="20"/>
      <c r="AE362" s="23" t="n">
        <f aca="false">AC362-AD362</f>
        <v>0</v>
      </c>
      <c r="AF362" s="21" t="str">
        <f aca="false">IFERROR(AD362/AC362,"")</f>
        <v/>
      </c>
    </row>
    <row r="363" customFormat="false" ht="15" hidden="false" customHeight="true" outlineLevel="0" collapsed="false">
      <c r="A363" s="14" t="n">
        <v>659427</v>
      </c>
      <c r="B363" s="14" t="n">
        <v>500422</v>
      </c>
      <c r="C363" s="14" t="s">
        <v>3106</v>
      </c>
      <c r="D363" s="14" t="s">
        <v>3107</v>
      </c>
      <c r="E363" s="14" t="s">
        <v>3108</v>
      </c>
      <c r="F363" s="14" t="s">
        <v>3109</v>
      </c>
      <c r="G363" s="14" t="s">
        <v>3110</v>
      </c>
      <c r="H363" s="14" t="s">
        <v>3111</v>
      </c>
      <c r="I363" s="14" t="s">
        <v>3112</v>
      </c>
      <c r="J363" s="14" t="s">
        <v>1206</v>
      </c>
      <c r="K363" s="14" t="s">
        <v>307</v>
      </c>
      <c r="L363" s="14" t="s">
        <v>1207</v>
      </c>
      <c r="M363" s="14" t="s">
        <v>3113</v>
      </c>
      <c r="N363" s="14" t="s">
        <v>70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2" t="n">
        <f aca="false">AB363*(1+$L$3)</f>
        <v>0</v>
      </c>
      <c r="AD363" s="20"/>
      <c r="AE363" s="23" t="n">
        <f aca="false">AC363-AD363</f>
        <v>0</v>
      </c>
      <c r="AF363" s="21" t="str">
        <f aca="false">IFERROR(AD363/AC363,"")</f>
        <v/>
      </c>
    </row>
    <row r="364" customFormat="false" ht="15" hidden="false" customHeight="true" outlineLevel="0" collapsed="false">
      <c r="A364" s="14" t="n">
        <v>659407</v>
      </c>
      <c r="B364" s="14" t="n">
        <v>500402</v>
      </c>
      <c r="C364" s="14" t="s">
        <v>3114</v>
      </c>
      <c r="D364" s="14" t="s">
        <v>3115</v>
      </c>
      <c r="E364" s="14" t="s">
        <v>3116</v>
      </c>
      <c r="F364" s="14" t="s">
        <v>3117</v>
      </c>
      <c r="G364" s="14" t="s">
        <v>3118</v>
      </c>
      <c r="H364" s="14" t="s">
        <v>3119</v>
      </c>
      <c r="I364" s="14"/>
      <c r="J364" s="14" t="s">
        <v>3120</v>
      </c>
      <c r="K364" s="14" t="s">
        <v>67</v>
      </c>
      <c r="L364" s="14" t="s">
        <v>1977</v>
      </c>
      <c r="M364" s="14" t="s">
        <v>3121</v>
      </c>
      <c r="N364" s="14" t="s">
        <v>70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2" t="n">
        <f aca="false">AB364*(1+$L$3)</f>
        <v>0</v>
      </c>
      <c r="AD364" s="20"/>
      <c r="AE364" s="23" t="n">
        <f aca="false">AC364-AD364</f>
        <v>0</v>
      </c>
      <c r="AF364" s="21" t="str">
        <f aca="false">IFERROR(AD364/AC364,"")</f>
        <v/>
      </c>
    </row>
    <row r="365" customFormat="false" ht="15" hidden="false" customHeight="true" outlineLevel="0" collapsed="false">
      <c r="A365" s="14" t="n">
        <v>659368</v>
      </c>
      <c r="B365" s="14" t="n">
        <v>500363</v>
      </c>
      <c r="C365" s="14" t="s">
        <v>3122</v>
      </c>
      <c r="D365" s="14" t="s">
        <v>3123</v>
      </c>
      <c r="E365" s="14" t="s">
        <v>3124</v>
      </c>
      <c r="F365" s="14" t="s">
        <v>3125</v>
      </c>
      <c r="G365" s="14" t="s">
        <v>3126</v>
      </c>
      <c r="H365" s="14" t="s">
        <v>3127</v>
      </c>
      <c r="I365" s="14" t="s">
        <v>3128</v>
      </c>
      <c r="J365" s="14" t="s">
        <v>3129</v>
      </c>
      <c r="K365" s="14" t="s">
        <v>604</v>
      </c>
      <c r="L365" s="14" t="s">
        <v>3130</v>
      </c>
      <c r="M365" s="14" t="s">
        <v>3131</v>
      </c>
      <c r="N365" s="14" t="s">
        <v>70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2" t="n">
        <f aca="false">AB365*(1+$L$3)</f>
        <v>0</v>
      </c>
      <c r="AD365" s="20"/>
      <c r="AE365" s="23" t="n">
        <f aca="false">AC365-AD365</f>
        <v>0</v>
      </c>
      <c r="AF365" s="21" t="str">
        <f aca="false">IFERROR(AD365/AC365,"")</f>
        <v/>
      </c>
    </row>
    <row r="366" customFormat="false" ht="15" hidden="false" customHeight="true" outlineLevel="0" collapsed="false">
      <c r="A366" s="14" t="n">
        <v>658598</v>
      </c>
      <c r="B366" s="14" t="n">
        <v>499606</v>
      </c>
      <c r="C366" s="14" t="s">
        <v>3132</v>
      </c>
      <c r="D366" s="14" t="s">
        <v>3133</v>
      </c>
      <c r="E366" s="14" t="s">
        <v>3134</v>
      </c>
      <c r="F366" s="14" t="s">
        <v>3135</v>
      </c>
      <c r="G366" s="14" t="s">
        <v>3136</v>
      </c>
      <c r="H366" s="14" t="s">
        <v>3137</v>
      </c>
      <c r="I366" s="14"/>
      <c r="J366" s="14" t="s">
        <v>556</v>
      </c>
      <c r="K366" s="14" t="s">
        <v>557</v>
      </c>
      <c r="L366" s="14" t="s">
        <v>1495</v>
      </c>
      <c r="M366" s="14" t="s">
        <v>3138</v>
      </c>
      <c r="N366" s="14" t="s">
        <v>70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2" t="n">
        <f aca="false">AB366*(1+$L$3)</f>
        <v>0</v>
      </c>
      <c r="AD366" s="20"/>
      <c r="AE366" s="23" t="n">
        <f aca="false">AC366-AD366</f>
        <v>0</v>
      </c>
      <c r="AF366" s="21" t="str">
        <f aca="false">IFERROR(AD366/AC366,"")</f>
        <v/>
      </c>
    </row>
    <row r="367" customFormat="false" ht="15" hidden="false" customHeight="true" outlineLevel="0" collapsed="false">
      <c r="A367" s="14" t="n">
        <v>658591</v>
      </c>
      <c r="B367" s="14" t="n">
        <v>499599</v>
      </c>
      <c r="C367" s="14" t="s">
        <v>3139</v>
      </c>
      <c r="D367" s="14" t="s">
        <v>3140</v>
      </c>
      <c r="E367" s="14" t="s">
        <v>3141</v>
      </c>
      <c r="F367" s="14" t="s">
        <v>3142</v>
      </c>
      <c r="G367" s="14" t="s">
        <v>3143</v>
      </c>
      <c r="H367" s="14" t="s">
        <v>3144</v>
      </c>
      <c r="I367" s="14"/>
      <c r="J367" s="14" t="s">
        <v>3145</v>
      </c>
      <c r="K367" s="14" t="s">
        <v>67</v>
      </c>
      <c r="L367" s="14" t="s">
        <v>3146</v>
      </c>
      <c r="M367" s="14" t="s">
        <v>3147</v>
      </c>
      <c r="N367" s="14" t="s">
        <v>70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2" t="n">
        <f aca="false">AB367*(1+$L$3)</f>
        <v>0</v>
      </c>
      <c r="AD367" s="20"/>
      <c r="AE367" s="23" t="n">
        <f aca="false">AC367-AD367</f>
        <v>0</v>
      </c>
      <c r="AF367" s="21" t="str">
        <f aca="false">IFERROR(AD367/AC367,"")</f>
        <v/>
      </c>
    </row>
    <row r="368" customFormat="false" ht="15" hidden="false" customHeight="true" outlineLevel="0" collapsed="false">
      <c r="A368" s="14" t="n">
        <v>658500</v>
      </c>
      <c r="B368" s="14" t="n">
        <v>499515</v>
      </c>
      <c r="C368" s="14" t="s">
        <v>3148</v>
      </c>
      <c r="D368" s="14" t="s">
        <v>3149</v>
      </c>
      <c r="E368" s="14" t="s">
        <v>3150</v>
      </c>
      <c r="F368" s="14" t="s">
        <v>3151</v>
      </c>
      <c r="G368" s="14" t="s">
        <v>3152</v>
      </c>
      <c r="H368" s="14" t="s">
        <v>3153</v>
      </c>
      <c r="I368" s="14"/>
      <c r="J368" s="14" t="s">
        <v>1299</v>
      </c>
      <c r="K368" s="14" t="s">
        <v>48</v>
      </c>
      <c r="L368" s="14" t="s">
        <v>1300</v>
      </c>
      <c r="M368" s="14" t="s">
        <v>3154</v>
      </c>
      <c r="N368" s="14" t="s">
        <v>70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2" t="n">
        <f aca="false">AB368*(1+$L$3)</f>
        <v>0</v>
      </c>
      <c r="AD368" s="20"/>
      <c r="AE368" s="23" t="n">
        <f aca="false">AC368-AD368</f>
        <v>0</v>
      </c>
      <c r="AF368" s="21" t="str">
        <f aca="false">IFERROR(AD368/AC368,"")</f>
        <v/>
      </c>
    </row>
    <row r="369" customFormat="false" ht="15" hidden="false" customHeight="true" outlineLevel="0" collapsed="false">
      <c r="A369" s="14" t="n">
        <v>658344</v>
      </c>
      <c r="B369" s="14" t="n">
        <v>499357</v>
      </c>
      <c r="C369" s="14" t="s">
        <v>3155</v>
      </c>
      <c r="D369" s="14" t="s">
        <v>3156</v>
      </c>
      <c r="E369" s="14" t="s">
        <v>3157</v>
      </c>
      <c r="F369" s="14" t="s">
        <v>3158</v>
      </c>
      <c r="G369" s="14" t="s">
        <v>3159</v>
      </c>
      <c r="H369" s="14" t="s">
        <v>3160</v>
      </c>
      <c r="I369" s="14"/>
      <c r="J369" s="14" t="s">
        <v>3161</v>
      </c>
      <c r="K369" s="14" t="s">
        <v>1160</v>
      </c>
      <c r="L369" s="14" t="s">
        <v>3162</v>
      </c>
      <c r="M369" s="14" t="s">
        <v>3163</v>
      </c>
      <c r="N369" s="14" t="s">
        <v>70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2</v>
      </c>
      <c r="Z369" s="15" t="n">
        <f aca="false">IF(X369=0,"",X369-Y369)</f>
        <v>-1</v>
      </c>
      <c r="AA369" s="21" t="n">
        <f aca="false">IFERROR(Y369/X369,"")</f>
        <v>2</v>
      </c>
      <c r="AB369" s="15" t="n">
        <v>0</v>
      </c>
      <c r="AC369" s="22" t="n">
        <f aca="false">AB369*(1+$L$3)</f>
        <v>0</v>
      </c>
      <c r="AD369" s="20"/>
      <c r="AE369" s="23" t="n">
        <f aca="false">AC369-AD369</f>
        <v>0</v>
      </c>
      <c r="AF369" s="21" t="str">
        <f aca="false">IFERROR(AD369/AC369,"")</f>
        <v/>
      </c>
    </row>
    <row r="370" customFormat="false" ht="15" hidden="false" customHeight="true" outlineLevel="0" collapsed="false">
      <c r="A370" s="14" t="n">
        <v>658264</v>
      </c>
      <c r="B370" s="14" t="n">
        <v>499277</v>
      </c>
      <c r="C370" s="14" t="s">
        <v>3164</v>
      </c>
      <c r="D370" s="14" t="s">
        <v>3165</v>
      </c>
      <c r="E370" s="14" t="s">
        <v>3166</v>
      </c>
      <c r="F370" s="14" t="s">
        <v>3167</v>
      </c>
      <c r="G370" s="14" t="s">
        <v>3168</v>
      </c>
      <c r="H370" s="14" t="s">
        <v>3169</v>
      </c>
      <c r="I370" s="14"/>
      <c r="J370" s="14" t="s">
        <v>1685</v>
      </c>
      <c r="K370" s="14" t="s">
        <v>67</v>
      </c>
      <c r="L370" s="14" t="s">
        <v>1686</v>
      </c>
      <c r="M370" s="14" t="s">
        <v>3170</v>
      </c>
      <c r="N370" s="14" t="s">
        <v>70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2" t="n">
        <f aca="false">AB370*(1+$L$3)</f>
        <v>0</v>
      </c>
      <c r="AD370" s="20"/>
      <c r="AE370" s="23" t="n">
        <f aca="false">AC370-AD370</f>
        <v>0</v>
      </c>
      <c r="AF370" s="21" t="str">
        <f aca="false">IFERROR(AD370/AC370,"")</f>
        <v/>
      </c>
    </row>
    <row r="371" customFormat="false" ht="15" hidden="false" customHeight="true" outlineLevel="0" collapsed="false">
      <c r="A371" s="14" t="n">
        <v>658156</v>
      </c>
      <c r="B371" s="14" t="n">
        <v>499160</v>
      </c>
      <c r="C371" s="14" t="s">
        <v>3171</v>
      </c>
      <c r="D371" s="14" t="s">
        <v>3172</v>
      </c>
      <c r="E371" s="14" t="s">
        <v>3173</v>
      </c>
      <c r="F371" s="14" t="s">
        <v>3174</v>
      </c>
      <c r="G371" s="14" t="s">
        <v>3175</v>
      </c>
      <c r="H371" s="14" t="s">
        <v>3176</v>
      </c>
      <c r="I371" s="14"/>
      <c r="J371" s="14" t="s">
        <v>1124</v>
      </c>
      <c r="K371" s="14" t="s">
        <v>48</v>
      </c>
      <c r="L371" s="14" t="s">
        <v>1125</v>
      </c>
      <c r="M371" s="14" t="s">
        <v>3177</v>
      </c>
      <c r="N371" s="14" t="s">
        <v>70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2" t="n">
        <f aca="false">AB371*(1+$L$3)</f>
        <v>0</v>
      </c>
      <c r="AD371" s="20"/>
      <c r="AE371" s="23" t="n">
        <f aca="false">AC371-AD371</f>
        <v>0</v>
      </c>
      <c r="AF371" s="21" t="str">
        <f aca="false">IFERROR(AD371/AC371,"")</f>
        <v/>
      </c>
    </row>
    <row r="372" customFormat="false" ht="15" hidden="false" customHeight="true" outlineLevel="0" collapsed="false">
      <c r="A372" s="14" t="n">
        <v>658230</v>
      </c>
      <c r="B372" s="14" t="n">
        <v>499238</v>
      </c>
      <c r="C372" s="14" t="s">
        <v>3178</v>
      </c>
      <c r="D372" s="14" t="s">
        <v>3179</v>
      </c>
      <c r="E372" s="14" t="s">
        <v>3180</v>
      </c>
      <c r="F372" s="14" t="s">
        <v>3181</v>
      </c>
      <c r="G372" s="14" t="s">
        <v>3182</v>
      </c>
      <c r="H372" s="14" t="s">
        <v>3183</v>
      </c>
      <c r="I372" s="14"/>
      <c r="J372" s="14" t="s">
        <v>629</v>
      </c>
      <c r="K372" s="14" t="s">
        <v>335</v>
      </c>
      <c r="L372" s="14" t="s">
        <v>3184</v>
      </c>
      <c r="M372" s="14" t="s">
        <v>3185</v>
      </c>
      <c r="N372" s="14" t="s">
        <v>70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/>
      <c r="Z372" s="15" t="n">
        <f aca="false">IF(X372=0,"",X372-Y372)</f>
        <v>1</v>
      </c>
      <c r="AA372" s="21" t="n">
        <f aca="false">IFERROR(Y372/X372,"")</f>
        <v>0</v>
      </c>
      <c r="AB372" s="15" t="n">
        <v>0</v>
      </c>
      <c r="AC372" s="22" t="n">
        <f aca="false">AB372*(1+$L$3)</f>
        <v>0</v>
      </c>
      <c r="AD372" s="20"/>
      <c r="AE372" s="23" t="n">
        <f aca="false">AC372-AD372</f>
        <v>0</v>
      </c>
      <c r="AF372" s="21" t="str">
        <f aca="false">IFERROR(AD372/AC372,"")</f>
        <v/>
      </c>
    </row>
    <row r="373" customFormat="false" ht="15" hidden="false" customHeight="true" outlineLevel="0" collapsed="false">
      <c r="A373" s="14" t="n">
        <v>658035</v>
      </c>
      <c r="B373" s="14" t="n">
        <v>499038</v>
      </c>
      <c r="C373" s="14" t="s">
        <v>3186</v>
      </c>
      <c r="D373" s="14" t="s">
        <v>3187</v>
      </c>
      <c r="E373" s="14" t="s">
        <v>3188</v>
      </c>
      <c r="F373" s="14" t="s">
        <v>3189</v>
      </c>
      <c r="G373" s="14" t="s">
        <v>3190</v>
      </c>
      <c r="H373" s="14" t="s">
        <v>3191</v>
      </c>
      <c r="I373" s="14"/>
      <c r="J373" s="14" t="s">
        <v>862</v>
      </c>
      <c r="K373" s="14" t="s">
        <v>48</v>
      </c>
      <c r="L373" s="14" t="s">
        <v>3192</v>
      </c>
      <c r="M373" s="14" t="s">
        <v>3193</v>
      </c>
      <c r="N373" s="14" t="s">
        <v>70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2" t="n">
        <f aca="false">AB373*(1+$L$3)</f>
        <v>0</v>
      </c>
      <c r="AD373" s="20"/>
      <c r="AE373" s="23" t="n">
        <f aca="false">AC373-AD373</f>
        <v>0</v>
      </c>
      <c r="AF373" s="21" t="str">
        <f aca="false">IFERROR(AD373/AC373,"")</f>
        <v/>
      </c>
    </row>
    <row r="374" customFormat="false" ht="15" hidden="false" customHeight="true" outlineLevel="0" collapsed="false">
      <c r="A374" s="14" t="n">
        <v>657953</v>
      </c>
      <c r="B374" s="14" t="n">
        <v>498958</v>
      </c>
      <c r="C374" s="14" t="s">
        <v>3194</v>
      </c>
      <c r="D374" s="14" t="s">
        <v>3195</v>
      </c>
      <c r="E374" s="14" t="s">
        <v>3196</v>
      </c>
      <c r="F374" s="14" t="s">
        <v>3197</v>
      </c>
      <c r="G374" s="14" t="s">
        <v>3198</v>
      </c>
      <c r="H374" s="14" t="s">
        <v>3199</v>
      </c>
      <c r="I374" s="14"/>
      <c r="J374" s="14" t="s">
        <v>3200</v>
      </c>
      <c r="K374" s="14" t="s">
        <v>999</v>
      </c>
      <c r="L374" s="14" t="s">
        <v>3201</v>
      </c>
      <c r="M374" s="14" t="s">
        <v>3202</v>
      </c>
      <c r="N374" s="14" t="s">
        <v>70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2" t="n">
        <f aca="false">AB374*(1+$L$3)</f>
        <v>0</v>
      </c>
      <c r="AD374" s="20"/>
      <c r="AE374" s="23" t="n">
        <f aca="false">AC374-AD374</f>
        <v>0</v>
      </c>
      <c r="AF374" s="21" t="str">
        <f aca="false">IFERROR(AD374/AC374,"")</f>
        <v/>
      </c>
    </row>
    <row r="375" customFormat="false" ht="15" hidden="false" customHeight="true" outlineLevel="0" collapsed="false">
      <c r="A375" s="14" t="n">
        <v>657541</v>
      </c>
      <c r="B375" s="14" t="n">
        <v>498570</v>
      </c>
      <c r="C375" s="14" t="s">
        <v>3203</v>
      </c>
      <c r="D375" s="14" t="s">
        <v>3204</v>
      </c>
      <c r="E375" s="14" t="s">
        <v>3205</v>
      </c>
      <c r="F375" s="14" t="s">
        <v>3206</v>
      </c>
      <c r="G375" s="14" t="s">
        <v>3207</v>
      </c>
      <c r="H375" s="14" t="s">
        <v>3208</v>
      </c>
      <c r="I375" s="14"/>
      <c r="J375" s="14" t="s">
        <v>2609</v>
      </c>
      <c r="K375" s="14" t="s">
        <v>2610</v>
      </c>
      <c r="L375" s="14" t="s">
        <v>3209</v>
      </c>
      <c r="M375" s="14" t="s">
        <v>3210</v>
      </c>
      <c r="N375" s="14" t="s">
        <v>70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2" t="n">
        <f aca="false">AB375*(1+$L$3)</f>
        <v>0</v>
      </c>
      <c r="AD375" s="20"/>
      <c r="AE375" s="23" t="n">
        <f aca="false">AC375-AD375</f>
        <v>0</v>
      </c>
      <c r="AF375" s="21" t="str">
        <f aca="false">IFERROR(AD375/AC375,"")</f>
        <v/>
      </c>
    </row>
    <row r="376" customFormat="false" ht="15" hidden="false" customHeight="true" outlineLevel="0" collapsed="false">
      <c r="A376" s="14" t="n">
        <v>657373</v>
      </c>
      <c r="B376" s="14" t="n">
        <v>498406</v>
      </c>
      <c r="C376" s="14" t="s">
        <v>3211</v>
      </c>
      <c r="D376" s="14" t="s">
        <v>3212</v>
      </c>
      <c r="E376" s="14" t="s">
        <v>3213</v>
      </c>
      <c r="F376" s="14" t="s">
        <v>3214</v>
      </c>
      <c r="G376" s="14" t="s">
        <v>3215</v>
      </c>
      <c r="H376" s="14" t="s">
        <v>3216</v>
      </c>
      <c r="I376" s="14"/>
      <c r="J376" s="14" t="s">
        <v>3085</v>
      </c>
      <c r="K376" s="14" t="s">
        <v>3086</v>
      </c>
      <c r="L376" s="14" t="s">
        <v>3217</v>
      </c>
      <c r="M376" s="14" t="s">
        <v>3218</v>
      </c>
      <c r="N376" s="14" t="s">
        <v>70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2" t="n">
        <f aca="false">AB376*(1+$L$3)</f>
        <v>0</v>
      </c>
      <c r="AD376" s="20"/>
      <c r="AE376" s="23" t="n">
        <f aca="false">AC376-AD376</f>
        <v>0</v>
      </c>
      <c r="AF376" s="21" t="str">
        <f aca="false">IFERROR(AD376/AC376,"")</f>
        <v/>
      </c>
    </row>
    <row r="377" customFormat="false" ht="15" hidden="false" customHeight="true" outlineLevel="0" collapsed="false">
      <c r="A377" s="14" t="n">
        <v>660525</v>
      </c>
      <c r="B377" s="14" t="n">
        <v>501533</v>
      </c>
      <c r="C377" s="14" t="s">
        <v>3219</v>
      </c>
      <c r="D377" s="14" t="s">
        <v>3220</v>
      </c>
      <c r="E377" s="14" t="s">
        <v>3221</v>
      </c>
      <c r="F377" s="14" t="s">
        <v>3222</v>
      </c>
      <c r="G377" s="14" t="s">
        <v>3223</v>
      </c>
      <c r="H377" s="14" t="s">
        <v>3224</v>
      </c>
      <c r="I377" s="14"/>
      <c r="J377" s="14" t="s">
        <v>3225</v>
      </c>
      <c r="K377" s="14" t="s">
        <v>67</v>
      </c>
      <c r="L377" s="14" t="s">
        <v>3226</v>
      </c>
      <c r="M377" s="14" t="s">
        <v>3227</v>
      </c>
      <c r="N377" s="14" t="s">
        <v>70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2" t="n">
        <f aca="false">AB377*(1+$L$3)</f>
        <v>0</v>
      </c>
      <c r="AD377" s="20"/>
      <c r="AE377" s="23" t="n">
        <f aca="false">AC377-AD377</f>
        <v>0</v>
      </c>
      <c r="AF377" s="21" t="str">
        <f aca="false">IFERROR(AD377/AC377,"")</f>
        <v/>
      </c>
    </row>
    <row r="378" customFormat="false" ht="15" hidden="false" customHeight="true" outlineLevel="0" collapsed="false">
      <c r="A378" s="14" t="n">
        <v>655514</v>
      </c>
      <c r="B378" s="14" t="n">
        <v>496652</v>
      </c>
      <c r="C378" s="14" t="s">
        <v>3228</v>
      </c>
      <c r="D378" s="14" t="s">
        <v>3229</v>
      </c>
      <c r="E378" s="14" t="s">
        <v>3230</v>
      </c>
      <c r="F378" s="14" t="s">
        <v>3231</v>
      </c>
      <c r="G378" s="14" t="s">
        <v>3232</v>
      </c>
      <c r="H378" s="14" t="s">
        <v>3233</v>
      </c>
      <c r="I378" s="14" t="s">
        <v>3234</v>
      </c>
      <c r="J378" s="14" t="s">
        <v>3068</v>
      </c>
      <c r="K378" s="14" t="s">
        <v>67</v>
      </c>
      <c r="L378" s="14" t="s">
        <v>3235</v>
      </c>
      <c r="M378" s="14" t="s">
        <v>3236</v>
      </c>
      <c r="N378" s="14" t="s">
        <v>70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2" t="n">
        <f aca="false">AB378*(1+$L$3)</f>
        <v>0</v>
      </c>
      <c r="AD378" s="20"/>
      <c r="AE378" s="23" t="n">
        <f aca="false">AC378-AD378</f>
        <v>0</v>
      </c>
      <c r="AF378" s="21" t="str">
        <f aca="false">IFERROR(AD378/AC378,"")</f>
        <v/>
      </c>
    </row>
    <row r="379" customFormat="false" ht="15" hidden="false" customHeight="true" outlineLevel="0" collapsed="false">
      <c r="A379" s="14" t="n">
        <v>655404</v>
      </c>
      <c r="B379" s="14" t="n">
        <v>496552</v>
      </c>
      <c r="C379" s="14" t="s">
        <v>3237</v>
      </c>
      <c r="D379" s="14" t="s">
        <v>3238</v>
      </c>
      <c r="E379" s="14" t="s">
        <v>3239</v>
      </c>
      <c r="F379" s="14" t="s">
        <v>3240</v>
      </c>
      <c r="G379" s="14" t="s">
        <v>3241</v>
      </c>
      <c r="H379" s="14" t="s">
        <v>3242</v>
      </c>
      <c r="I379" s="14"/>
      <c r="J379" s="14" t="s">
        <v>3243</v>
      </c>
      <c r="K379" s="14" t="s">
        <v>307</v>
      </c>
      <c r="L379" s="14" t="s">
        <v>3244</v>
      </c>
      <c r="M379" s="14" t="s">
        <v>3245</v>
      </c>
      <c r="N379" s="14" t="s">
        <v>70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2" t="n">
        <f aca="false">AB379*(1+$L$3)</f>
        <v>0</v>
      </c>
      <c r="AD379" s="20"/>
      <c r="AE379" s="23" t="n">
        <f aca="false">AC379-AD379</f>
        <v>0</v>
      </c>
      <c r="AF379" s="21" t="str">
        <f aca="false">IFERROR(AD379/AC379,"")</f>
        <v/>
      </c>
    </row>
    <row r="380" customFormat="false" ht="15" hidden="false" customHeight="true" outlineLevel="0" collapsed="false">
      <c r="A380" s="14" t="n">
        <v>655339</v>
      </c>
      <c r="B380" s="14" t="n">
        <v>496924</v>
      </c>
      <c r="C380" s="14" t="s">
        <v>3246</v>
      </c>
      <c r="D380" s="14" t="s">
        <v>3247</v>
      </c>
      <c r="E380" s="14" t="s">
        <v>3248</v>
      </c>
      <c r="F380" s="14" t="s">
        <v>3249</v>
      </c>
      <c r="G380" s="14" t="s">
        <v>3250</v>
      </c>
      <c r="H380" s="14" t="s">
        <v>3251</v>
      </c>
      <c r="I380" s="14"/>
      <c r="J380" s="14" t="s">
        <v>3252</v>
      </c>
      <c r="K380" s="14" t="s">
        <v>1026</v>
      </c>
      <c r="L380" s="14" t="s">
        <v>3253</v>
      </c>
      <c r="M380" s="14" t="s">
        <v>3254</v>
      </c>
      <c r="N380" s="14" t="s">
        <v>70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2" t="n">
        <f aca="false">AB380*(1+$L$3)</f>
        <v>0</v>
      </c>
      <c r="AD380" s="20"/>
      <c r="AE380" s="23" t="n">
        <f aca="false">AC380-AD380</f>
        <v>0</v>
      </c>
      <c r="AF380" s="21" t="str">
        <f aca="false">IFERROR(AD380/AC380,"")</f>
        <v/>
      </c>
    </row>
    <row r="381" customFormat="false" ht="15" hidden="false" customHeight="true" outlineLevel="0" collapsed="false">
      <c r="A381" s="14" t="n">
        <v>655219</v>
      </c>
      <c r="B381" s="14" t="n">
        <v>496367</v>
      </c>
      <c r="C381" s="14" t="s">
        <v>3255</v>
      </c>
      <c r="D381" s="14" t="s">
        <v>3256</v>
      </c>
      <c r="E381" s="14" t="s">
        <v>3257</v>
      </c>
      <c r="F381" s="14" t="s">
        <v>3258</v>
      </c>
      <c r="G381" s="14" t="s">
        <v>3259</v>
      </c>
      <c r="H381" s="14" t="s">
        <v>3260</v>
      </c>
      <c r="I381" s="14"/>
      <c r="J381" s="14" t="s">
        <v>2985</v>
      </c>
      <c r="K381" s="14" t="s">
        <v>2986</v>
      </c>
      <c r="L381" s="14" t="s">
        <v>3261</v>
      </c>
      <c r="M381" s="14" t="s">
        <v>3262</v>
      </c>
      <c r="N381" s="14" t="s">
        <v>70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3</v>
      </c>
      <c r="Z381" s="15" t="n">
        <f aca="false">IF(X381=0,"",X381-Y381)</f>
        <v>-2</v>
      </c>
      <c r="AA381" s="21" t="n">
        <f aca="false">IFERROR(Y381/X381,"")</f>
        <v>3</v>
      </c>
      <c r="AB381" s="15" t="n">
        <v>0</v>
      </c>
      <c r="AC381" s="22" t="n">
        <f aca="false">AB381*(1+$L$3)</f>
        <v>0</v>
      </c>
      <c r="AD381" s="20"/>
      <c r="AE381" s="23" t="n">
        <f aca="false">AC381-AD381</f>
        <v>0</v>
      </c>
      <c r="AF381" s="21" t="str">
        <f aca="false">IFERROR(AD381/AC381,"")</f>
        <v/>
      </c>
    </row>
    <row r="382" customFormat="false" ht="15" hidden="false" customHeight="true" outlineLevel="0" collapsed="false">
      <c r="A382" s="14" t="n">
        <v>654905</v>
      </c>
      <c r="B382" s="14" t="n">
        <v>496055</v>
      </c>
      <c r="C382" s="14" t="s">
        <v>3263</v>
      </c>
      <c r="D382" s="14" t="s">
        <v>3264</v>
      </c>
      <c r="E382" s="14" t="s">
        <v>3265</v>
      </c>
      <c r="F382" s="14" t="s">
        <v>3266</v>
      </c>
      <c r="G382" s="14" t="s">
        <v>3267</v>
      </c>
      <c r="H382" s="14" t="s">
        <v>3268</v>
      </c>
      <c r="I382" s="14" t="s">
        <v>129</v>
      </c>
      <c r="J382" s="14" t="s">
        <v>306</v>
      </c>
      <c r="K382" s="14" t="s">
        <v>307</v>
      </c>
      <c r="L382" s="14" t="s">
        <v>3269</v>
      </c>
      <c r="M382" s="14" t="s">
        <v>3270</v>
      </c>
      <c r="N382" s="14" t="s">
        <v>70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2" t="n">
        <f aca="false">AB382*(1+$L$3)</f>
        <v>0</v>
      </c>
      <c r="AD382" s="20"/>
      <c r="AE382" s="23" t="n">
        <f aca="false">AC382-AD382</f>
        <v>0</v>
      </c>
      <c r="AF382" s="21" t="str">
        <f aca="false">IFERROR(AD382/AC382,"")</f>
        <v/>
      </c>
    </row>
    <row r="383" customFormat="false" ht="15" hidden="false" customHeight="true" outlineLevel="0" collapsed="false">
      <c r="A383" s="14" t="n">
        <v>655202</v>
      </c>
      <c r="B383" s="14" t="n">
        <v>496350</v>
      </c>
      <c r="C383" s="14" t="s">
        <v>3271</v>
      </c>
      <c r="D383" s="14" t="s">
        <v>1956</v>
      </c>
      <c r="E383" s="14" t="s">
        <v>3272</v>
      </c>
      <c r="F383" s="14" t="s">
        <v>3273</v>
      </c>
      <c r="G383" s="14" t="s">
        <v>3274</v>
      </c>
      <c r="H383" s="14" t="s">
        <v>3275</v>
      </c>
      <c r="I383" s="14" t="s">
        <v>3276</v>
      </c>
      <c r="J383" s="14" t="s">
        <v>3277</v>
      </c>
      <c r="K383" s="14" t="s">
        <v>1752</v>
      </c>
      <c r="L383" s="14" t="s">
        <v>3278</v>
      </c>
      <c r="M383" s="14" t="s">
        <v>3279</v>
      </c>
      <c r="N383" s="14" t="s">
        <v>70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2" t="n">
        <f aca="false">AB383*(1+$L$3)</f>
        <v>0</v>
      </c>
      <c r="AD383" s="20"/>
      <c r="AE383" s="23" t="n">
        <f aca="false">AC383-AD383</f>
        <v>0</v>
      </c>
      <c r="AF383" s="21" t="str">
        <f aca="false">IFERROR(AD383/AC383,"")</f>
        <v/>
      </c>
    </row>
    <row r="384" customFormat="false" ht="15" hidden="false" customHeight="true" outlineLevel="0" collapsed="false">
      <c r="A384" s="14" t="n">
        <v>654619</v>
      </c>
      <c r="B384" s="14" t="n">
        <v>495772</v>
      </c>
      <c r="C384" s="14" t="s">
        <v>3280</v>
      </c>
      <c r="D384" s="14" t="s">
        <v>3281</v>
      </c>
      <c r="E384" s="14" t="s">
        <v>3282</v>
      </c>
      <c r="F384" s="14" t="s">
        <v>3283</v>
      </c>
      <c r="G384" s="14" t="s">
        <v>3284</v>
      </c>
      <c r="H384" s="14" t="s">
        <v>3285</v>
      </c>
      <c r="I384" s="14" t="s">
        <v>129</v>
      </c>
      <c r="J384" s="14" t="s">
        <v>3286</v>
      </c>
      <c r="K384" s="14" t="s">
        <v>307</v>
      </c>
      <c r="L384" s="14" t="s">
        <v>3287</v>
      </c>
      <c r="M384" s="14" t="s">
        <v>3288</v>
      </c>
      <c r="N384" s="14" t="s">
        <v>70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2" t="n">
        <f aca="false">AB384*(1+$L$3)</f>
        <v>0</v>
      </c>
      <c r="AD384" s="20"/>
      <c r="AE384" s="23" t="n">
        <f aca="false">AC384-AD384</f>
        <v>0</v>
      </c>
      <c r="AF384" s="21" t="str">
        <f aca="false">IFERROR(AD384/AC384,"")</f>
        <v/>
      </c>
    </row>
    <row r="385" customFormat="false" ht="15" hidden="false" customHeight="true" outlineLevel="0" collapsed="false">
      <c r="A385" s="14" t="n">
        <v>653378</v>
      </c>
      <c r="B385" s="14" t="n">
        <v>494530</v>
      </c>
      <c r="C385" s="14" t="s">
        <v>3289</v>
      </c>
      <c r="D385" s="14" t="s">
        <v>3290</v>
      </c>
      <c r="E385" s="14" t="s">
        <v>3291</v>
      </c>
      <c r="F385" s="14" t="s">
        <v>3292</v>
      </c>
      <c r="G385" s="14" t="s">
        <v>3293</v>
      </c>
      <c r="H385" s="14" t="s">
        <v>3294</v>
      </c>
      <c r="I385" s="14"/>
      <c r="J385" s="14" t="s">
        <v>3295</v>
      </c>
      <c r="K385" s="14" t="s">
        <v>67</v>
      </c>
      <c r="L385" s="14" t="s">
        <v>3296</v>
      </c>
      <c r="M385" s="14" t="s">
        <v>3297</v>
      </c>
      <c r="N385" s="14" t="s">
        <v>70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2" t="n">
        <f aca="false">AB385*(1+$L$3)</f>
        <v>0</v>
      </c>
      <c r="AD385" s="20"/>
      <c r="AE385" s="23" t="n">
        <f aca="false">AC385-AD385</f>
        <v>0</v>
      </c>
      <c r="AF385" s="21" t="str">
        <f aca="false">IFERROR(AD385/AC385,"")</f>
        <v/>
      </c>
    </row>
    <row r="386" customFormat="false" ht="15" hidden="false" customHeight="true" outlineLevel="0" collapsed="false">
      <c r="A386" s="14" t="n">
        <v>652912</v>
      </c>
      <c r="B386" s="14" t="n">
        <v>494061</v>
      </c>
      <c r="C386" s="14" t="s">
        <v>3298</v>
      </c>
      <c r="D386" s="14" t="s">
        <v>3299</v>
      </c>
      <c r="E386" s="14" t="s">
        <v>3300</v>
      </c>
      <c r="F386" s="14" t="s">
        <v>3301</v>
      </c>
      <c r="G386" s="14" t="s">
        <v>3302</v>
      </c>
      <c r="H386" s="14" t="s">
        <v>3303</v>
      </c>
      <c r="I386" s="14" t="s">
        <v>159</v>
      </c>
      <c r="J386" s="14" t="s">
        <v>3304</v>
      </c>
      <c r="K386" s="14" t="s">
        <v>1160</v>
      </c>
      <c r="L386" s="14" t="s">
        <v>3305</v>
      </c>
      <c r="M386" s="14" t="s">
        <v>3306</v>
      </c>
      <c r="N386" s="14" t="s">
        <v>70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2</v>
      </c>
      <c r="Z386" s="15" t="n">
        <f aca="false">IF(X386=0,"",X386-Y386)</f>
        <v>-1</v>
      </c>
      <c r="AA386" s="21" t="n">
        <f aca="false">IFERROR(Y386/X386,"")</f>
        <v>2</v>
      </c>
      <c r="AB386" s="15" t="n">
        <v>0</v>
      </c>
      <c r="AC386" s="22" t="n">
        <f aca="false">AB386*(1+$L$3)</f>
        <v>0</v>
      </c>
      <c r="AD386" s="20"/>
      <c r="AE386" s="23" t="n">
        <f aca="false">AC386-AD386</f>
        <v>0</v>
      </c>
      <c r="AF386" s="21" t="str">
        <f aca="false">IFERROR(AD386/AC386,"")</f>
        <v/>
      </c>
    </row>
    <row r="387" customFormat="false" ht="15" hidden="false" customHeight="true" outlineLevel="0" collapsed="false">
      <c r="A387" s="14" t="n">
        <v>652911</v>
      </c>
      <c r="B387" s="14" t="n">
        <v>494060</v>
      </c>
      <c r="C387" s="14" t="s">
        <v>3307</v>
      </c>
      <c r="D387" s="14" t="s">
        <v>3308</v>
      </c>
      <c r="E387" s="14" t="s">
        <v>3309</v>
      </c>
      <c r="F387" s="14" t="s">
        <v>3310</v>
      </c>
      <c r="G387" s="14" t="s">
        <v>3311</v>
      </c>
      <c r="H387" s="14" t="s">
        <v>3312</v>
      </c>
      <c r="I387" s="14"/>
      <c r="J387" s="14" t="s">
        <v>3313</v>
      </c>
      <c r="K387" s="14" t="s">
        <v>67</v>
      </c>
      <c r="L387" s="14" t="s">
        <v>1440</v>
      </c>
      <c r="M387" s="14" t="s">
        <v>3314</v>
      </c>
      <c r="N387" s="14" t="s">
        <v>70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2" t="n">
        <f aca="false">AB387*(1+$L$3)</f>
        <v>0</v>
      </c>
      <c r="AD387" s="20"/>
      <c r="AE387" s="23" t="n">
        <f aca="false">AC387-AD387</f>
        <v>0</v>
      </c>
      <c r="AF387" s="21" t="str">
        <f aca="false">IFERROR(AD387/AC387,"")</f>
        <v/>
      </c>
    </row>
    <row r="388" customFormat="false" ht="15" hidden="false" customHeight="true" outlineLevel="0" collapsed="false">
      <c r="A388" s="14" t="n">
        <v>652020</v>
      </c>
      <c r="B388" s="14" t="n">
        <v>493211</v>
      </c>
      <c r="C388" s="14" t="s">
        <v>3315</v>
      </c>
      <c r="D388" s="14" t="s">
        <v>3316</v>
      </c>
      <c r="E388" s="14" t="s">
        <v>3317</v>
      </c>
      <c r="F388" s="14" t="s">
        <v>3318</v>
      </c>
      <c r="G388" s="14" t="s">
        <v>3319</v>
      </c>
      <c r="H388" s="14" t="s">
        <v>3320</v>
      </c>
      <c r="I388" s="14"/>
      <c r="J388" s="14" t="s">
        <v>3321</v>
      </c>
      <c r="K388" s="14" t="s">
        <v>3322</v>
      </c>
      <c r="L388" s="14" t="s">
        <v>3323</v>
      </c>
      <c r="M388" s="14" t="s">
        <v>3324</v>
      </c>
      <c r="N388" s="14" t="s">
        <v>70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2" t="n">
        <f aca="false">AB388*(1+$L$3)</f>
        <v>0</v>
      </c>
      <c r="AD388" s="20"/>
      <c r="AE388" s="23" t="n">
        <f aca="false">AC388-AD388</f>
        <v>0</v>
      </c>
      <c r="AF388" s="21" t="str">
        <f aca="false">IFERROR(AD388/AC388,"")</f>
        <v/>
      </c>
    </row>
    <row r="389" customFormat="false" ht="15" hidden="false" customHeight="true" outlineLevel="0" collapsed="false">
      <c r="A389" s="14" t="n">
        <v>651910</v>
      </c>
      <c r="B389" s="14" t="n">
        <v>493145</v>
      </c>
      <c r="C389" s="14" t="s">
        <v>3325</v>
      </c>
      <c r="D389" s="14" t="s">
        <v>3326</v>
      </c>
      <c r="E389" s="14" t="s">
        <v>3327</v>
      </c>
      <c r="F389" s="14" t="s">
        <v>3328</v>
      </c>
      <c r="G389" s="14" t="s">
        <v>3329</v>
      </c>
      <c r="H389" s="14" t="s">
        <v>3330</v>
      </c>
      <c r="I389" s="14"/>
      <c r="J389" s="14" t="s">
        <v>3331</v>
      </c>
      <c r="K389" s="14" t="s">
        <v>67</v>
      </c>
      <c r="L389" s="14" t="s">
        <v>3332</v>
      </c>
      <c r="M389" s="14" t="s">
        <v>3333</v>
      </c>
      <c r="N389" s="14" t="s">
        <v>70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2" t="n">
        <f aca="false">AB389*(1+$L$3)</f>
        <v>0</v>
      </c>
      <c r="AD389" s="20"/>
      <c r="AE389" s="23" t="n">
        <f aca="false">AC389-AD389</f>
        <v>0</v>
      </c>
      <c r="AF389" s="21" t="str">
        <f aca="false">IFERROR(AD389/AC389,"")</f>
        <v/>
      </c>
    </row>
    <row r="390" customFormat="false" ht="15" hidden="false" customHeight="true" outlineLevel="0" collapsed="false">
      <c r="A390" s="14" t="n">
        <v>650818</v>
      </c>
      <c r="B390" s="14" t="n">
        <v>492068</v>
      </c>
      <c r="C390" s="14" t="s">
        <v>3334</v>
      </c>
      <c r="D390" s="14" t="s">
        <v>3335</v>
      </c>
      <c r="E390" s="14" t="s">
        <v>3336</v>
      </c>
      <c r="F390" s="14" t="s">
        <v>3337</v>
      </c>
      <c r="G390" s="14" t="s">
        <v>3338</v>
      </c>
      <c r="H390" s="14" t="s">
        <v>3339</v>
      </c>
      <c r="I390" s="14"/>
      <c r="J390" s="14" t="s">
        <v>3340</v>
      </c>
      <c r="K390" s="14" t="s">
        <v>2088</v>
      </c>
      <c r="L390" s="14" t="s">
        <v>3341</v>
      </c>
      <c r="M390" s="14" t="s">
        <v>3342</v>
      </c>
      <c r="N390" s="14" t="s">
        <v>70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2" t="n">
        <f aca="false">AB390*(1+$L$3)</f>
        <v>0</v>
      </c>
      <c r="AD390" s="20"/>
      <c r="AE390" s="23" t="n">
        <f aca="false">AC390-AD390</f>
        <v>0</v>
      </c>
      <c r="AF390" s="21" t="str">
        <f aca="false">IFERROR(AD390/AC390,"")</f>
        <v/>
      </c>
    </row>
    <row r="391" customFormat="false" ht="15" hidden="false" customHeight="true" outlineLevel="0" collapsed="false">
      <c r="A391" s="14" t="n">
        <v>650775</v>
      </c>
      <c r="B391" s="14" t="n">
        <v>492025</v>
      </c>
      <c r="C391" s="14" t="s">
        <v>3343</v>
      </c>
      <c r="D391" s="14" t="s">
        <v>3344</v>
      </c>
      <c r="E391" s="14" t="s">
        <v>3345</v>
      </c>
      <c r="F391" s="14" t="s">
        <v>3346</v>
      </c>
      <c r="G391" s="14" t="s">
        <v>3347</v>
      </c>
      <c r="H391" s="14" t="s">
        <v>3348</v>
      </c>
      <c r="I391" s="14"/>
      <c r="J391" s="14" t="s">
        <v>3349</v>
      </c>
      <c r="K391" s="14" t="s">
        <v>506</v>
      </c>
      <c r="L391" s="14" t="s">
        <v>3350</v>
      </c>
      <c r="M391" s="14" t="s">
        <v>3351</v>
      </c>
      <c r="N391" s="14" t="s">
        <v>70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2" t="n">
        <f aca="false">AB391*(1+$L$3)</f>
        <v>0</v>
      </c>
      <c r="AD391" s="20"/>
      <c r="AE391" s="23" t="n">
        <f aca="false">AC391-AD391</f>
        <v>0</v>
      </c>
      <c r="AF391" s="21" t="str">
        <f aca="false">IFERROR(AD391/AC391,"")</f>
        <v/>
      </c>
    </row>
    <row r="392" customFormat="false" ht="15" hidden="false" customHeight="true" outlineLevel="0" collapsed="false">
      <c r="A392" s="14" t="n">
        <v>659217</v>
      </c>
      <c r="B392" s="14" t="n">
        <v>500213</v>
      </c>
      <c r="C392" s="14" t="s">
        <v>3352</v>
      </c>
      <c r="D392" s="14" t="s">
        <v>3353</v>
      </c>
      <c r="E392" s="14" t="s">
        <v>3354</v>
      </c>
      <c r="F392" s="14" t="s">
        <v>3355</v>
      </c>
      <c r="G392" s="14" t="s">
        <v>3356</v>
      </c>
      <c r="H392" s="14" t="s">
        <v>3357</v>
      </c>
      <c r="I392" s="14"/>
      <c r="J392" s="14" t="s">
        <v>3358</v>
      </c>
      <c r="K392" s="14" t="s">
        <v>709</v>
      </c>
      <c r="L392" s="14" t="s">
        <v>3359</v>
      </c>
      <c r="M392" s="14" t="s">
        <v>3360</v>
      </c>
      <c r="N392" s="14" t="s">
        <v>70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2" t="n">
        <f aca="false">AB392*(1+$L$3)</f>
        <v>0</v>
      </c>
      <c r="AD392" s="20"/>
      <c r="AE392" s="23" t="n">
        <f aca="false">AC392-AD392</f>
        <v>0</v>
      </c>
      <c r="AF392" s="21" t="str">
        <f aca="false">IFERROR(AD392/AC392,"")</f>
        <v/>
      </c>
    </row>
    <row r="393" customFormat="false" ht="15" hidden="false" customHeight="true" outlineLevel="0" collapsed="false">
      <c r="A393" s="14" t="n">
        <v>650769</v>
      </c>
      <c r="B393" s="14" t="n">
        <v>492019</v>
      </c>
      <c r="C393" s="14" t="s">
        <v>3361</v>
      </c>
      <c r="D393" s="14" t="s">
        <v>3362</v>
      </c>
      <c r="E393" s="14" t="s">
        <v>3363</v>
      </c>
      <c r="F393" s="14" t="s">
        <v>3364</v>
      </c>
      <c r="G393" s="14" t="s">
        <v>3365</v>
      </c>
      <c r="H393" s="14" t="s">
        <v>3366</v>
      </c>
      <c r="I393" s="14"/>
      <c r="J393" s="14" t="s">
        <v>3367</v>
      </c>
      <c r="K393" s="14" t="s">
        <v>709</v>
      </c>
      <c r="L393" s="14" t="s">
        <v>3368</v>
      </c>
      <c r="M393" s="14" t="s">
        <v>3369</v>
      </c>
      <c r="N393" s="14" t="s">
        <v>70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2" t="n">
        <f aca="false">AB393*(1+$L$3)</f>
        <v>0</v>
      </c>
      <c r="AD393" s="20"/>
      <c r="AE393" s="23" t="n">
        <f aca="false">AC393-AD393</f>
        <v>0</v>
      </c>
      <c r="AF393" s="21" t="str">
        <f aca="false">IFERROR(AD393/AC393,"")</f>
        <v/>
      </c>
    </row>
    <row r="394" customFormat="false" ht="15" hidden="false" customHeight="true" outlineLevel="0" collapsed="false">
      <c r="A394" s="14" t="n">
        <v>650780</v>
      </c>
      <c r="B394" s="14" t="n">
        <v>492030</v>
      </c>
      <c r="C394" s="14" t="s">
        <v>3370</v>
      </c>
      <c r="D394" s="14" t="s">
        <v>3371</v>
      </c>
      <c r="E394" s="14" t="s">
        <v>3372</v>
      </c>
      <c r="F394" s="14"/>
      <c r="G394" s="14" t="s">
        <v>3373</v>
      </c>
      <c r="H394" s="14" t="s">
        <v>3374</v>
      </c>
      <c r="I394" s="14"/>
      <c r="J394" s="14" t="s">
        <v>3375</v>
      </c>
      <c r="K394" s="14" t="s">
        <v>67</v>
      </c>
      <c r="L394" s="14" t="s">
        <v>3376</v>
      </c>
      <c r="M394" s="14" t="s">
        <v>3377</v>
      </c>
      <c r="N394" s="14" t="s">
        <v>70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2" t="n">
        <f aca="false">AB394*(1+$L$3)</f>
        <v>0</v>
      </c>
      <c r="AD394" s="20"/>
      <c r="AE394" s="23" t="n">
        <f aca="false">AC394-AD394</f>
        <v>0</v>
      </c>
      <c r="AF394" s="21" t="str">
        <f aca="false">IFERROR(AD394/AC394,"")</f>
        <v/>
      </c>
    </row>
    <row r="395" customFormat="false" ht="15" hidden="false" customHeight="true" outlineLevel="0" collapsed="false">
      <c r="A395" s="14" t="n">
        <v>650813</v>
      </c>
      <c r="B395" s="14" t="n">
        <v>492063</v>
      </c>
      <c r="C395" s="14" t="s">
        <v>3378</v>
      </c>
      <c r="D395" s="14" t="s">
        <v>3379</v>
      </c>
      <c r="E395" s="14" t="s">
        <v>3380</v>
      </c>
      <c r="F395" s="14" t="s">
        <v>3381</v>
      </c>
      <c r="G395" s="14" t="s">
        <v>3382</v>
      </c>
      <c r="H395" s="14" t="s">
        <v>3383</v>
      </c>
      <c r="I395" s="14"/>
      <c r="J395" s="14" t="s">
        <v>2985</v>
      </c>
      <c r="K395" s="14" t="s">
        <v>2986</v>
      </c>
      <c r="L395" s="14" t="s">
        <v>3384</v>
      </c>
      <c r="M395" s="14" t="s">
        <v>3385</v>
      </c>
      <c r="N395" s="14" t="s">
        <v>70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2" t="n">
        <f aca="false">AB395*(1+$L$3)</f>
        <v>0</v>
      </c>
      <c r="AD395" s="20"/>
      <c r="AE395" s="23" t="n">
        <f aca="false">AC395-AD395</f>
        <v>0</v>
      </c>
      <c r="AF395" s="21" t="str">
        <f aca="false">IFERROR(AD395/AC395,"")</f>
        <v/>
      </c>
    </row>
    <row r="396" customFormat="false" ht="15" hidden="false" customHeight="true" outlineLevel="0" collapsed="false">
      <c r="A396" s="14" t="n">
        <v>649113</v>
      </c>
      <c r="B396" s="14" t="n">
        <v>490417</v>
      </c>
      <c r="C396" s="14" t="s">
        <v>3386</v>
      </c>
      <c r="D396" s="14" t="s">
        <v>3387</v>
      </c>
      <c r="E396" s="14" t="s">
        <v>3388</v>
      </c>
      <c r="F396" s="14" t="s">
        <v>3389</v>
      </c>
      <c r="G396" s="14" t="s">
        <v>3390</v>
      </c>
      <c r="H396" s="14" t="s">
        <v>3391</v>
      </c>
      <c r="I396" s="14" t="s">
        <v>276</v>
      </c>
      <c r="J396" s="14" t="s">
        <v>2784</v>
      </c>
      <c r="K396" s="14" t="s">
        <v>307</v>
      </c>
      <c r="L396" s="14" t="s">
        <v>3392</v>
      </c>
      <c r="M396" s="14" t="s">
        <v>3393</v>
      </c>
      <c r="N396" s="14" t="s">
        <v>70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2" t="n">
        <f aca="false">AB396*(1+$L$3)</f>
        <v>0</v>
      </c>
      <c r="AD396" s="20"/>
      <c r="AE396" s="23" t="n">
        <f aca="false">AC396-AD396</f>
        <v>0</v>
      </c>
      <c r="AF396" s="21" t="str">
        <f aca="false">IFERROR(AD396/AC396,"")</f>
        <v/>
      </c>
    </row>
    <row r="397" customFormat="false" ht="15" hidden="false" customHeight="true" outlineLevel="0" collapsed="false">
      <c r="A397" s="14" t="n">
        <v>648760</v>
      </c>
      <c r="B397" s="14" t="n">
        <v>490077</v>
      </c>
      <c r="C397" s="14" t="s">
        <v>3394</v>
      </c>
      <c r="D397" s="14" t="s">
        <v>3395</v>
      </c>
      <c r="E397" s="14" t="s">
        <v>3396</v>
      </c>
      <c r="F397" s="14" t="s">
        <v>3397</v>
      </c>
      <c r="G397" s="14" t="s">
        <v>3398</v>
      </c>
      <c r="H397" s="14" t="s">
        <v>3399</v>
      </c>
      <c r="I397" s="14" t="s">
        <v>3400</v>
      </c>
      <c r="J397" s="14" t="s">
        <v>3401</v>
      </c>
      <c r="K397" s="14" t="s">
        <v>506</v>
      </c>
      <c r="L397" s="14" t="s">
        <v>3402</v>
      </c>
      <c r="M397" s="14" t="s">
        <v>3403</v>
      </c>
      <c r="N397" s="14" t="s">
        <v>70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2" t="n">
        <f aca="false">AB397*(1+$L$3)</f>
        <v>0</v>
      </c>
      <c r="AD397" s="20"/>
      <c r="AE397" s="23" t="n">
        <f aca="false">AC397-AD397</f>
        <v>0</v>
      </c>
      <c r="AF397" s="21" t="str">
        <f aca="false">IFERROR(AD397/AC397,"")</f>
        <v/>
      </c>
    </row>
    <row r="398" customFormat="false" ht="15" hidden="false" customHeight="true" outlineLevel="0" collapsed="false">
      <c r="A398" s="14" t="n">
        <v>646701</v>
      </c>
      <c r="B398" s="14" t="n">
        <v>488036</v>
      </c>
      <c r="C398" s="14" t="s">
        <v>3404</v>
      </c>
      <c r="D398" s="14" t="s">
        <v>3405</v>
      </c>
      <c r="E398" s="14" t="s">
        <v>3406</v>
      </c>
      <c r="F398" s="14" t="s">
        <v>3407</v>
      </c>
      <c r="G398" s="14" t="s">
        <v>3408</v>
      </c>
      <c r="H398" s="14" t="s">
        <v>3409</v>
      </c>
      <c r="I398" s="14"/>
      <c r="J398" s="14" t="s">
        <v>566</v>
      </c>
      <c r="K398" s="14" t="s">
        <v>48</v>
      </c>
      <c r="L398" s="14" t="s">
        <v>1432</v>
      </c>
      <c r="M398" s="14" t="s">
        <v>3410</v>
      </c>
      <c r="N398" s="14" t="s">
        <v>70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2" t="n">
        <f aca="false">AB398*(1+$L$3)</f>
        <v>0</v>
      </c>
      <c r="AD398" s="20"/>
      <c r="AE398" s="23" t="n">
        <f aca="false">AC398-AD398</f>
        <v>0</v>
      </c>
      <c r="AF398" s="21" t="str">
        <f aca="false">IFERROR(AD398/AC398,"")</f>
        <v/>
      </c>
    </row>
    <row r="399" customFormat="false" ht="15" hidden="false" customHeight="true" outlineLevel="0" collapsed="false">
      <c r="A399" s="14" t="n">
        <v>646054</v>
      </c>
      <c r="B399" s="14" t="n">
        <v>487418</v>
      </c>
      <c r="C399" s="14" t="s">
        <v>3411</v>
      </c>
      <c r="D399" s="14" t="s">
        <v>3412</v>
      </c>
      <c r="E399" s="14" t="s">
        <v>3413</v>
      </c>
      <c r="F399" s="14" t="s">
        <v>3414</v>
      </c>
      <c r="G399" s="14" t="s">
        <v>3415</v>
      </c>
      <c r="H399" s="14" t="s">
        <v>3416</v>
      </c>
      <c r="I399" s="14" t="s">
        <v>3417</v>
      </c>
      <c r="J399" s="14" t="s">
        <v>776</v>
      </c>
      <c r="K399" s="14" t="s">
        <v>709</v>
      </c>
      <c r="L399" s="14" t="s">
        <v>3418</v>
      </c>
      <c r="M399" s="14" t="s">
        <v>3419</v>
      </c>
      <c r="N399" s="14" t="s">
        <v>70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2" t="n">
        <f aca="false">AB399*(1+$L$3)</f>
        <v>0</v>
      </c>
      <c r="AD399" s="20"/>
      <c r="AE399" s="23" t="n">
        <f aca="false">AC399-AD399</f>
        <v>0</v>
      </c>
      <c r="AF399" s="21" t="str">
        <f aca="false">IFERROR(AD399/AC399,"")</f>
        <v/>
      </c>
    </row>
    <row r="400" customFormat="false" ht="15" hidden="false" customHeight="true" outlineLevel="0" collapsed="false">
      <c r="A400" s="14" t="n">
        <v>643137</v>
      </c>
      <c r="B400" s="14" t="n">
        <v>484685</v>
      </c>
      <c r="C400" s="14" t="s">
        <v>3420</v>
      </c>
      <c r="D400" s="14" t="s">
        <v>3421</v>
      </c>
      <c r="E400" s="14" t="s">
        <v>3422</v>
      </c>
      <c r="F400" s="14" t="s">
        <v>3423</v>
      </c>
      <c r="G400" s="14" t="s">
        <v>3424</v>
      </c>
      <c r="H400" s="14" t="s">
        <v>3425</v>
      </c>
      <c r="I400" s="14"/>
      <c r="J400" s="14" t="s">
        <v>248</v>
      </c>
      <c r="K400" s="14" t="s">
        <v>249</v>
      </c>
      <c r="L400" s="14" t="s">
        <v>3426</v>
      </c>
      <c r="M400" s="14" t="s">
        <v>3427</v>
      </c>
      <c r="N400" s="14" t="s">
        <v>70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2" t="n">
        <f aca="false">AB400*(1+$L$3)</f>
        <v>0</v>
      </c>
      <c r="AD400" s="20"/>
      <c r="AE400" s="23" t="n">
        <f aca="false">AC400-AD400</f>
        <v>0</v>
      </c>
      <c r="AF400" s="21" t="str">
        <f aca="false">IFERROR(AD400/AC400,"")</f>
        <v/>
      </c>
    </row>
    <row r="401" customFormat="false" ht="15" hidden="false" customHeight="true" outlineLevel="0" collapsed="false">
      <c r="A401" s="14" t="n">
        <v>655591</v>
      </c>
      <c r="B401" s="14" t="n">
        <v>496720</v>
      </c>
      <c r="C401" s="14" t="s">
        <v>3428</v>
      </c>
      <c r="D401" s="14" t="s">
        <v>3429</v>
      </c>
      <c r="E401" s="14" t="s">
        <v>3430</v>
      </c>
      <c r="F401" s="14" t="s">
        <v>3431</v>
      </c>
      <c r="G401" s="14" t="s">
        <v>3432</v>
      </c>
      <c r="H401" s="14" t="s">
        <v>3433</v>
      </c>
      <c r="I401" s="14"/>
      <c r="J401" s="14" t="s">
        <v>3434</v>
      </c>
      <c r="K401" s="14" t="s">
        <v>335</v>
      </c>
      <c r="L401" s="14" t="s">
        <v>3435</v>
      </c>
      <c r="M401" s="14" t="s">
        <v>3436</v>
      </c>
      <c r="N401" s="14" t="s">
        <v>70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2" t="n">
        <f aca="false">AB401*(1+$L$3)</f>
        <v>0</v>
      </c>
      <c r="AD401" s="20"/>
      <c r="AE401" s="23" t="n">
        <f aca="false">AC401-AD401</f>
        <v>0</v>
      </c>
      <c r="AF401" s="21" t="str">
        <f aca="false">IFERROR(AD401/AC401,"")</f>
        <v/>
      </c>
    </row>
    <row r="402" customFormat="false" ht="15" hidden="false" customHeight="true" outlineLevel="0" collapsed="false">
      <c r="A402" s="14" t="n">
        <v>638325</v>
      </c>
      <c r="B402" s="14" t="n">
        <v>484188</v>
      </c>
      <c r="C402" s="14" t="s">
        <v>3437</v>
      </c>
      <c r="D402" s="14" t="s">
        <v>3438</v>
      </c>
      <c r="E402" s="14" t="s">
        <v>3439</v>
      </c>
      <c r="F402" s="14" t="s">
        <v>3440</v>
      </c>
      <c r="G402" s="14" t="s">
        <v>3441</v>
      </c>
      <c r="H402" s="14" t="s">
        <v>3442</v>
      </c>
      <c r="I402" s="14"/>
      <c r="J402" s="14" t="s">
        <v>2138</v>
      </c>
      <c r="K402" s="14" t="s">
        <v>604</v>
      </c>
      <c r="L402" s="14" t="s">
        <v>3443</v>
      </c>
      <c r="M402" s="14" t="s">
        <v>3444</v>
      </c>
      <c r="N402" s="14" t="s">
        <v>70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2" t="n">
        <f aca="false">AB402*(1+$L$3)</f>
        <v>0</v>
      </c>
      <c r="AD402" s="20"/>
      <c r="AE402" s="23" t="n">
        <f aca="false">AC402-AD402</f>
        <v>0</v>
      </c>
      <c r="AF402" s="21" t="str">
        <f aca="false">IFERROR(AD402/AC402,"")</f>
        <v/>
      </c>
    </row>
    <row r="403" customFormat="false" ht="15" hidden="false" customHeight="true" outlineLevel="0" collapsed="false">
      <c r="A403" s="14" t="n">
        <v>634670</v>
      </c>
      <c r="B403" s="14" t="n">
        <v>481156</v>
      </c>
      <c r="C403" s="14" t="s">
        <v>3445</v>
      </c>
      <c r="D403" s="14" t="s">
        <v>3446</v>
      </c>
      <c r="E403" s="14" t="s">
        <v>3447</v>
      </c>
      <c r="F403" s="14" t="s">
        <v>3448</v>
      </c>
      <c r="G403" s="14" t="s">
        <v>3449</v>
      </c>
      <c r="H403" s="14" t="s">
        <v>3450</v>
      </c>
      <c r="I403" s="14" t="s">
        <v>2828</v>
      </c>
      <c r="J403" s="14" t="s">
        <v>3451</v>
      </c>
      <c r="K403" s="14" t="s">
        <v>67</v>
      </c>
      <c r="L403" s="14" t="s">
        <v>3452</v>
      </c>
      <c r="M403" s="14" t="s">
        <v>3453</v>
      </c>
      <c r="N403" s="14" t="s">
        <v>70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 t="n">
        <v>1</v>
      </c>
      <c r="Z403" s="15" t="n">
        <f aca="false">IF(X403=0,"",X403-Y403)</f>
        <v>0</v>
      </c>
      <c r="AA403" s="21" t="n">
        <f aca="false">IFERROR(Y403/X403,"")</f>
        <v>1</v>
      </c>
      <c r="AB403" s="15" t="n">
        <v>0</v>
      </c>
      <c r="AC403" s="22" t="n">
        <f aca="false">AB403*(1+$L$3)</f>
        <v>0</v>
      </c>
      <c r="AD403" s="20"/>
      <c r="AE403" s="23" t="n">
        <f aca="false">AC403-AD403</f>
        <v>0</v>
      </c>
      <c r="AF403" s="21" t="str">
        <f aca="false">IFERROR(AD403/AC403,"")</f>
        <v/>
      </c>
    </row>
    <row r="404" customFormat="false" ht="15" hidden="false" customHeight="true" outlineLevel="0" collapsed="false">
      <c r="A404" s="14" t="n">
        <v>633969</v>
      </c>
      <c r="B404" s="14" t="n">
        <v>480464</v>
      </c>
      <c r="C404" s="14" t="s">
        <v>3454</v>
      </c>
      <c r="D404" s="14" t="s">
        <v>3455</v>
      </c>
      <c r="E404" s="14" t="s">
        <v>3456</v>
      </c>
      <c r="F404" s="14" t="s">
        <v>3457</v>
      </c>
      <c r="G404" s="14" t="s">
        <v>3458</v>
      </c>
      <c r="H404" s="14" t="s">
        <v>3459</v>
      </c>
      <c r="I404" s="14"/>
      <c r="J404" s="14" t="s">
        <v>306</v>
      </c>
      <c r="K404" s="14" t="s">
        <v>307</v>
      </c>
      <c r="L404" s="14" t="s">
        <v>3460</v>
      </c>
      <c r="M404" s="14" t="s">
        <v>3461</v>
      </c>
      <c r="N404" s="14" t="s">
        <v>70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2" t="n">
        <f aca="false">AB404*(1+$L$3)</f>
        <v>0</v>
      </c>
      <c r="AD404" s="20"/>
      <c r="AE404" s="23" t="n">
        <f aca="false">AC404-AD404</f>
        <v>0</v>
      </c>
      <c r="AF404" s="21" t="str">
        <f aca="false">IFERROR(AD404/AC404,"")</f>
        <v/>
      </c>
    </row>
    <row r="405" customFormat="false" ht="15" hidden="false" customHeight="true" outlineLevel="0" collapsed="false">
      <c r="A405" s="14" t="n">
        <v>633464</v>
      </c>
      <c r="B405" s="14" t="n">
        <v>479970</v>
      </c>
      <c r="C405" s="14" t="s">
        <v>3462</v>
      </c>
      <c r="D405" s="14" t="s">
        <v>3463</v>
      </c>
      <c r="E405" s="14" t="s">
        <v>3464</v>
      </c>
      <c r="F405" s="14" t="s">
        <v>3465</v>
      </c>
      <c r="G405" s="14" t="s">
        <v>3466</v>
      </c>
      <c r="H405" s="14" t="s">
        <v>3467</v>
      </c>
      <c r="I405" s="14" t="s">
        <v>3468</v>
      </c>
      <c r="J405" s="14" t="s">
        <v>3469</v>
      </c>
      <c r="K405" s="14" t="s">
        <v>307</v>
      </c>
      <c r="L405" s="14" t="s">
        <v>3470</v>
      </c>
      <c r="M405" s="14" t="s">
        <v>3471</v>
      </c>
      <c r="N405" s="14" t="s">
        <v>70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2" t="n">
        <f aca="false">AB405*(1+$L$3)</f>
        <v>0</v>
      </c>
      <c r="AD405" s="20"/>
      <c r="AE405" s="23" t="n">
        <f aca="false">AC405-AD405</f>
        <v>0</v>
      </c>
      <c r="AF405" s="21" t="str">
        <f aca="false">IFERROR(AD405/AC405,"")</f>
        <v/>
      </c>
    </row>
    <row r="406" customFormat="false" ht="15" hidden="false" customHeight="true" outlineLevel="0" collapsed="false">
      <c r="A406" s="14" t="n">
        <v>648270</v>
      </c>
      <c r="B406" s="14" t="n">
        <v>489585</v>
      </c>
      <c r="C406" s="14" t="s">
        <v>3472</v>
      </c>
      <c r="D406" s="14" t="s">
        <v>3473</v>
      </c>
      <c r="E406" s="14" t="s">
        <v>3474</v>
      </c>
      <c r="F406" s="14" t="s">
        <v>3475</v>
      </c>
      <c r="G406" s="14" t="s">
        <v>3476</v>
      </c>
      <c r="H406" s="14" t="s">
        <v>3477</v>
      </c>
      <c r="I406" s="14" t="s">
        <v>793</v>
      </c>
      <c r="J406" s="14" t="s">
        <v>3478</v>
      </c>
      <c r="K406" s="14" t="s">
        <v>67</v>
      </c>
      <c r="L406" s="14" t="s">
        <v>3479</v>
      </c>
      <c r="M406" s="14" t="s">
        <v>3480</v>
      </c>
      <c r="N406" s="14" t="s">
        <v>70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2" t="n">
        <f aca="false">AB406*(1+$L$3)</f>
        <v>0</v>
      </c>
      <c r="AD406" s="20"/>
      <c r="AE406" s="23" t="n">
        <f aca="false">AC406-AD406</f>
        <v>0</v>
      </c>
      <c r="AF406" s="21" t="str">
        <f aca="false">IFERROR(AD406/AC406,"")</f>
        <v/>
      </c>
    </row>
    <row r="407" customFormat="false" ht="15" hidden="false" customHeight="true" outlineLevel="0" collapsed="false">
      <c r="A407" s="14" t="n">
        <v>632077</v>
      </c>
      <c r="B407" s="14" t="n">
        <v>478623</v>
      </c>
      <c r="C407" s="14" t="s">
        <v>3481</v>
      </c>
      <c r="D407" s="14" t="s">
        <v>3482</v>
      </c>
      <c r="E407" s="14" t="s">
        <v>3483</v>
      </c>
      <c r="F407" s="14" t="s">
        <v>3484</v>
      </c>
      <c r="G407" s="14" t="s">
        <v>3485</v>
      </c>
      <c r="H407" s="14" t="s">
        <v>3486</v>
      </c>
      <c r="I407" s="14" t="s">
        <v>3487</v>
      </c>
      <c r="J407" s="14" t="s">
        <v>708</v>
      </c>
      <c r="K407" s="14" t="s">
        <v>709</v>
      </c>
      <c r="L407" s="14" t="s">
        <v>3488</v>
      </c>
      <c r="M407" s="14" t="s">
        <v>3489</v>
      </c>
      <c r="N407" s="14" t="s">
        <v>70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2" t="n">
        <f aca="false">AB407*(1+$L$3)</f>
        <v>0</v>
      </c>
      <c r="AD407" s="20"/>
      <c r="AE407" s="23" t="n">
        <f aca="false">AC407-AD407</f>
        <v>0</v>
      </c>
      <c r="AF407" s="21" t="str">
        <f aca="false">IFERROR(AD407/AC407,"")</f>
        <v/>
      </c>
    </row>
    <row r="408" customFormat="false" ht="15" hidden="false" customHeight="true" outlineLevel="0" collapsed="false">
      <c r="A408" s="14" t="n">
        <v>631627</v>
      </c>
      <c r="B408" s="14" t="n">
        <v>478119</v>
      </c>
      <c r="C408" s="14" t="s">
        <v>3490</v>
      </c>
      <c r="D408" s="14" t="s">
        <v>3491</v>
      </c>
      <c r="E408" s="14" t="s">
        <v>3492</v>
      </c>
      <c r="F408" s="14" t="s">
        <v>3493</v>
      </c>
      <c r="G408" s="14" t="s">
        <v>3494</v>
      </c>
      <c r="H408" s="14" t="s">
        <v>3495</v>
      </c>
      <c r="I408" s="14" t="s">
        <v>3496</v>
      </c>
      <c r="J408" s="14" t="s">
        <v>259</v>
      </c>
      <c r="K408" s="14" t="s">
        <v>67</v>
      </c>
      <c r="L408" s="14" t="s">
        <v>3497</v>
      </c>
      <c r="M408" s="14" t="s">
        <v>3498</v>
      </c>
      <c r="N408" s="14" t="s">
        <v>70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2" t="n">
        <f aca="false">AB408*(1+$L$3)</f>
        <v>0</v>
      </c>
      <c r="AD408" s="20"/>
      <c r="AE408" s="23" t="n">
        <f aca="false">AC408-AD408</f>
        <v>0</v>
      </c>
      <c r="AF408" s="21" t="str">
        <f aca="false">IFERROR(AD408/AC408,"")</f>
        <v/>
      </c>
    </row>
    <row r="409" customFormat="false" ht="15" hidden="false" customHeight="true" outlineLevel="0" collapsed="false">
      <c r="A409" s="14" t="n">
        <v>631245</v>
      </c>
      <c r="B409" s="14" t="n">
        <v>477745</v>
      </c>
      <c r="C409" s="14" t="s">
        <v>3499</v>
      </c>
      <c r="D409" s="14" t="s">
        <v>3500</v>
      </c>
      <c r="E409" s="14" t="s">
        <v>3501</v>
      </c>
      <c r="F409" s="14" t="s">
        <v>3502</v>
      </c>
      <c r="G409" s="14" t="s">
        <v>3503</v>
      </c>
      <c r="H409" s="14" t="s">
        <v>3504</v>
      </c>
      <c r="I409" s="14" t="s">
        <v>159</v>
      </c>
      <c r="J409" s="14" t="s">
        <v>306</v>
      </c>
      <c r="K409" s="14" t="s">
        <v>307</v>
      </c>
      <c r="L409" s="14" t="s">
        <v>3505</v>
      </c>
      <c r="M409" s="14" t="s">
        <v>3506</v>
      </c>
      <c r="N409" s="14" t="s">
        <v>70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2" t="n">
        <f aca="false">AB409*(1+$L$3)</f>
        <v>0</v>
      </c>
      <c r="AD409" s="20"/>
      <c r="AE409" s="23" t="n">
        <f aca="false">AC409-AD409</f>
        <v>0</v>
      </c>
      <c r="AF409" s="21" t="str">
        <f aca="false">IFERROR(AD409/AC409,"")</f>
        <v/>
      </c>
    </row>
    <row r="410" customFormat="false" ht="15" hidden="false" customHeight="true" outlineLevel="0" collapsed="false">
      <c r="A410" s="14" t="n">
        <v>646632</v>
      </c>
      <c r="B410" s="14" t="n">
        <v>487970</v>
      </c>
      <c r="C410" s="14" t="s">
        <v>3507</v>
      </c>
      <c r="D410" s="14" t="s">
        <v>3508</v>
      </c>
      <c r="E410" s="14" t="s">
        <v>3509</v>
      </c>
      <c r="F410" s="14" t="s">
        <v>3510</v>
      </c>
      <c r="G410" s="14" t="s">
        <v>3511</v>
      </c>
      <c r="H410" s="14" t="s">
        <v>3512</v>
      </c>
      <c r="I410" s="14"/>
      <c r="J410" s="14" t="s">
        <v>3513</v>
      </c>
      <c r="K410" s="14" t="s">
        <v>981</v>
      </c>
      <c r="L410" s="14" t="s">
        <v>3514</v>
      </c>
      <c r="M410" s="14" t="s">
        <v>3515</v>
      </c>
      <c r="N410" s="14" t="s">
        <v>70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2" t="n">
        <f aca="false">AB410*(1+$L$3)</f>
        <v>0</v>
      </c>
      <c r="AD410" s="20"/>
      <c r="AE410" s="23" t="n">
        <f aca="false">AC410-AD410</f>
        <v>0</v>
      </c>
      <c r="AF410" s="21" t="str">
        <f aca="false">IFERROR(AD410/AC410,"")</f>
        <v/>
      </c>
    </row>
    <row r="411" customFormat="false" ht="15" hidden="false" customHeight="true" outlineLevel="0" collapsed="false">
      <c r="A411" s="14" t="n">
        <v>627420</v>
      </c>
      <c r="B411" s="14" t="n">
        <v>475795</v>
      </c>
      <c r="C411" s="14" t="s">
        <v>3516</v>
      </c>
      <c r="D411" s="14" t="s">
        <v>3517</v>
      </c>
      <c r="E411" s="14" t="s">
        <v>1359</v>
      </c>
      <c r="F411" s="14" t="s">
        <v>1360</v>
      </c>
      <c r="G411" s="14" t="s">
        <v>3518</v>
      </c>
      <c r="H411" s="14" t="s">
        <v>3519</v>
      </c>
      <c r="I411" s="14"/>
      <c r="J411" s="14" t="s">
        <v>306</v>
      </c>
      <c r="K411" s="14" t="s">
        <v>307</v>
      </c>
      <c r="L411" s="14" t="s">
        <v>3520</v>
      </c>
      <c r="M411" s="14" t="s">
        <v>3521</v>
      </c>
      <c r="N411" s="14" t="s">
        <v>70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/>
      <c r="Z411" s="15" t="n">
        <f aca="false">IF(X411=0,"",X411-Y411)</f>
        <v>1</v>
      </c>
      <c r="AA411" s="21" t="n">
        <f aca="false">IFERROR(Y411/X411,"")</f>
        <v>0</v>
      </c>
      <c r="AB411" s="15" t="n">
        <v>0</v>
      </c>
      <c r="AC411" s="22" t="n">
        <f aca="false">AB411*(1+$L$3)</f>
        <v>0</v>
      </c>
      <c r="AD411" s="20"/>
      <c r="AE411" s="23" t="n">
        <f aca="false">AC411-AD411</f>
        <v>0</v>
      </c>
      <c r="AF411" s="21" t="str">
        <f aca="false">IFERROR(AD411/AC411,"")</f>
        <v/>
      </c>
    </row>
    <row r="412" customFormat="false" ht="15" hidden="false" customHeight="true" outlineLevel="0" collapsed="false">
      <c r="A412" s="14" t="n">
        <v>627546</v>
      </c>
      <c r="B412" s="14" t="n">
        <v>475921</v>
      </c>
      <c r="C412" s="14" t="s">
        <v>3522</v>
      </c>
      <c r="D412" s="14" t="s">
        <v>3523</v>
      </c>
      <c r="E412" s="14" t="s">
        <v>3524</v>
      </c>
      <c r="F412" s="14" t="s">
        <v>3525</v>
      </c>
      <c r="G412" s="14" t="s">
        <v>3526</v>
      </c>
      <c r="H412" s="14" t="s">
        <v>3527</v>
      </c>
      <c r="I412" s="14"/>
      <c r="J412" s="14" t="s">
        <v>316</v>
      </c>
      <c r="K412" s="14" t="s">
        <v>307</v>
      </c>
      <c r="L412" s="14" t="s">
        <v>1786</v>
      </c>
      <c r="M412" s="14" t="s">
        <v>3528</v>
      </c>
      <c r="N412" s="14" t="s">
        <v>70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2" t="n">
        <f aca="false">AB412*(1+$L$3)</f>
        <v>0</v>
      </c>
      <c r="AD412" s="20"/>
      <c r="AE412" s="23" t="n">
        <f aca="false">AC412-AD412</f>
        <v>0</v>
      </c>
      <c r="AF412" s="21" t="str">
        <f aca="false">IFERROR(AD412/AC412,"")</f>
        <v/>
      </c>
    </row>
    <row r="413" customFormat="false" ht="15" hidden="false" customHeight="true" outlineLevel="0" collapsed="false">
      <c r="A413" s="14" t="n">
        <v>627962</v>
      </c>
      <c r="B413" s="14" t="n">
        <v>476279</v>
      </c>
      <c r="C413" s="14" t="s">
        <v>3529</v>
      </c>
      <c r="D413" s="14" t="s">
        <v>3530</v>
      </c>
      <c r="E413" s="14" t="s">
        <v>3531</v>
      </c>
      <c r="F413" s="14" t="s">
        <v>3532</v>
      </c>
      <c r="G413" s="14" t="s">
        <v>3533</v>
      </c>
      <c r="H413" s="14" t="s">
        <v>3534</v>
      </c>
      <c r="I413" s="14"/>
      <c r="J413" s="14" t="s">
        <v>3535</v>
      </c>
      <c r="K413" s="14" t="s">
        <v>307</v>
      </c>
      <c r="L413" s="14" t="s">
        <v>3536</v>
      </c>
      <c r="M413" s="14" t="s">
        <v>3537</v>
      </c>
      <c r="N413" s="14" t="s">
        <v>70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2" t="n">
        <f aca="false">AB413*(1+$L$3)</f>
        <v>0</v>
      </c>
      <c r="AD413" s="20"/>
      <c r="AE413" s="23" t="n">
        <f aca="false">AC413-AD413</f>
        <v>0</v>
      </c>
      <c r="AF413" s="21" t="str">
        <f aca="false">IFERROR(AD413/AC413,"")</f>
        <v/>
      </c>
    </row>
    <row r="414" customFormat="false" ht="15" hidden="false" customHeight="true" outlineLevel="0" collapsed="false">
      <c r="A414" s="14" t="n">
        <v>603777</v>
      </c>
      <c r="B414" s="14" t="n">
        <v>453565</v>
      </c>
      <c r="C414" s="14" t="s">
        <v>3538</v>
      </c>
      <c r="D414" s="14" t="s">
        <v>3539</v>
      </c>
      <c r="E414" s="14" t="s">
        <v>3540</v>
      </c>
      <c r="F414" s="14" t="s">
        <v>3541</v>
      </c>
      <c r="G414" s="14" t="s">
        <v>3542</v>
      </c>
      <c r="H414" s="14" t="s">
        <v>3543</v>
      </c>
      <c r="I414" s="14"/>
      <c r="J414" s="14" t="s">
        <v>794</v>
      </c>
      <c r="K414" s="14" t="s">
        <v>67</v>
      </c>
      <c r="L414" s="14" t="s">
        <v>3544</v>
      </c>
      <c r="M414" s="14" t="s">
        <v>3545</v>
      </c>
      <c r="N414" s="14" t="s">
        <v>70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2" t="n">
        <f aca="false">AB414*(1+$L$3)</f>
        <v>0</v>
      </c>
      <c r="AD414" s="20"/>
      <c r="AE414" s="23" t="n">
        <f aca="false">AC414-AD414</f>
        <v>0</v>
      </c>
      <c r="AF414" s="21" t="str">
        <f aca="false">IFERROR(AD414/AC414,"")</f>
        <v/>
      </c>
    </row>
    <row r="415" customFormat="false" ht="15" hidden="false" customHeight="true" outlineLevel="0" collapsed="false">
      <c r="A415" s="14" t="n">
        <v>655400</v>
      </c>
      <c r="B415" s="14" t="n">
        <v>496548</v>
      </c>
      <c r="C415" s="14" t="s">
        <v>3546</v>
      </c>
      <c r="D415" s="14" t="s">
        <v>3547</v>
      </c>
      <c r="E415" s="14" t="s">
        <v>3548</v>
      </c>
      <c r="F415" s="14" t="s">
        <v>3549</v>
      </c>
      <c r="G415" s="14" t="s">
        <v>3550</v>
      </c>
      <c r="H415" s="14" t="s">
        <v>3551</v>
      </c>
      <c r="I415" s="14" t="s">
        <v>2984</v>
      </c>
      <c r="J415" s="14" t="s">
        <v>3068</v>
      </c>
      <c r="K415" s="14" t="s">
        <v>67</v>
      </c>
      <c r="L415" s="14" t="s">
        <v>3552</v>
      </c>
      <c r="M415" s="14" t="s">
        <v>3553</v>
      </c>
      <c r="N415" s="14" t="s">
        <v>70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2" t="n">
        <f aca="false">AB415*(1+$L$3)</f>
        <v>0</v>
      </c>
      <c r="AD415" s="20"/>
      <c r="AE415" s="23" t="n">
        <f aca="false">AC415-AD415</f>
        <v>0</v>
      </c>
      <c r="AF415" s="21" t="str">
        <f aca="false">IFERROR(AD415/AC415,"")</f>
        <v/>
      </c>
    </row>
    <row r="416" customFormat="false" ht="15" hidden="false" customHeight="true" outlineLevel="0" collapsed="false">
      <c r="A416" s="14" t="n">
        <v>604947</v>
      </c>
      <c r="B416" s="14" t="n">
        <v>454762</v>
      </c>
      <c r="C416" s="14" t="s">
        <v>3554</v>
      </c>
      <c r="D416" s="14" t="s">
        <v>3555</v>
      </c>
      <c r="E416" s="14" t="s">
        <v>3556</v>
      </c>
      <c r="F416" s="14" t="s">
        <v>3557</v>
      </c>
      <c r="G416" s="14" t="s">
        <v>3558</v>
      </c>
      <c r="H416" s="14" t="s">
        <v>3559</v>
      </c>
      <c r="I416" s="14"/>
      <c r="J416" s="14" t="s">
        <v>3560</v>
      </c>
      <c r="K416" s="14" t="s">
        <v>67</v>
      </c>
      <c r="L416" s="14" t="s">
        <v>3561</v>
      </c>
      <c r="M416" s="14" t="s">
        <v>3562</v>
      </c>
      <c r="N416" s="14" t="s">
        <v>70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2" t="n">
        <f aca="false">AB416*(1+$L$3)</f>
        <v>0</v>
      </c>
      <c r="AD416" s="20"/>
      <c r="AE416" s="23" t="n">
        <f aca="false">AC416-AD416</f>
        <v>0</v>
      </c>
      <c r="AF416" s="21" t="str">
        <f aca="false">IFERROR(AD416/AC416,"")</f>
        <v/>
      </c>
    </row>
    <row r="417" customFormat="false" ht="15" hidden="false" customHeight="true" outlineLevel="0" collapsed="false">
      <c r="A417" s="14" t="n">
        <v>182916</v>
      </c>
      <c r="B417" s="14" t="n">
        <v>192856</v>
      </c>
      <c r="C417" s="14" t="s">
        <v>3563</v>
      </c>
      <c r="D417" s="14" t="s">
        <v>3564</v>
      </c>
      <c r="E417" s="14" t="s">
        <v>3565</v>
      </c>
      <c r="F417" s="14" t="s">
        <v>3566</v>
      </c>
      <c r="G417" s="14" t="s">
        <v>3567</v>
      </c>
      <c r="H417" s="14" t="s">
        <v>3568</v>
      </c>
      <c r="I417" s="14"/>
      <c r="J417" s="14" t="s">
        <v>3569</v>
      </c>
      <c r="K417" s="14" t="s">
        <v>67</v>
      </c>
      <c r="L417" s="14" t="s">
        <v>3570</v>
      </c>
      <c r="M417" s="14" t="s">
        <v>3571</v>
      </c>
      <c r="N417" s="14" t="s">
        <v>70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2" t="n">
        <f aca="false">AB417*(1+$L$3)</f>
        <v>0</v>
      </c>
      <c r="AD417" s="20"/>
      <c r="AE417" s="23" t="n">
        <f aca="false">AC417-AD417</f>
        <v>0</v>
      </c>
      <c r="AF417" s="21" t="str">
        <f aca="false">IFERROR(AD417/AC417,"")</f>
        <v/>
      </c>
    </row>
    <row r="418" customFormat="false" ht="15" hidden="false" customHeight="true" outlineLevel="0" collapsed="false">
      <c r="A418" s="14" t="n">
        <v>607238</v>
      </c>
      <c r="B418" s="14" t="n">
        <v>456830</v>
      </c>
      <c r="C418" s="14" t="s">
        <v>3572</v>
      </c>
      <c r="D418" s="14" t="s">
        <v>3573</v>
      </c>
      <c r="E418" s="14" t="s">
        <v>2489</v>
      </c>
      <c r="F418" s="14" t="s">
        <v>3574</v>
      </c>
      <c r="G418" s="14" t="s">
        <v>2491</v>
      </c>
      <c r="H418" s="14" t="s">
        <v>3575</v>
      </c>
      <c r="I418" s="14"/>
      <c r="J418" s="14" t="s">
        <v>306</v>
      </c>
      <c r="K418" s="14" t="s">
        <v>307</v>
      </c>
      <c r="L418" s="14" t="s">
        <v>3576</v>
      </c>
      <c r="M418" s="14" t="s">
        <v>2493</v>
      </c>
      <c r="N418" s="14" t="s">
        <v>70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/>
      <c r="Z418" s="15" t="n">
        <f aca="false">IF(X418=0,"",X418-Y418)</f>
        <v>1</v>
      </c>
      <c r="AA418" s="21" t="n">
        <f aca="false">IFERROR(Y418/X418,"")</f>
        <v>0</v>
      </c>
      <c r="AB418" s="15" t="n">
        <v>0</v>
      </c>
      <c r="AC418" s="22" t="n">
        <f aca="false">AB418*(1+$L$3)</f>
        <v>0</v>
      </c>
      <c r="AD418" s="20"/>
      <c r="AE418" s="23" t="n">
        <f aca="false">AC418-AD418</f>
        <v>0</v>
      </c>
      <c r="AF418" s="21" t="str">
        <f aca="false">IFERROR(AD418/AC418,"")</f>
        <v/>
      </c>
    </row>
    <row r="419" customFormat="false" ht="15" hidden="false" customHeight="true" outlineLevel="0" collapsed="false">
      <c r="A419" s="14" t="n">
        <v>117063</v>
      </c>
      <c r="B419" s="14" t="n">
        <v>128236</v>
      </c>
      <c r="C419" s="14" t="s">
        <v>3577</v>
      </c>
      <c r="D419" s="14" t="s">
        <v>3578</v>
      </c>
      <c r="E419" s="14" t="s">
        <v>3579</v>
      </c>
      <c r="F419" s="14" t="s">
        <v>3580</v>
      </c>
      <c r="G419" s="14" t="s">
        <v>3581</v>
      </c>
      <c r="H419" s="14" t="s">
        <v>3582</v>
      </c>
      <c r="I419" s="14"/>
      <c r="J419" s="14" t="s">
        <v>3583</v>
      </c>
      <c r="K419" s="14" t="s">
        <v>981</v>
      </c>
      <c r="L419" s="14" t="s">
        <v>3584</v>
      </c>
      <c r="M419" s="14" t="s">
        <v>3585</v>
      </c>
      <c r="N419" s="14" t="s">
        <v>70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2" t="n">
        <f aca="false">AB419*(1+$L$3)</f>
        <v>0</v>
      </c>
      <c r="AD419" s="20"/>
      <c r="AE419" s="23" t="n">
        <f aca="false">AC419-AD419</f>
        <v>0</v>
      </c>
      <c r="AF419" s="21" t="str">
        <f aca="false">IFERROR(AD419/AC419,"")</f>
        <v/>
      </c>
    </row>
    <row r="420" customFormat="false" ht="15" hidden="false" customHeight="true" outlineLevel="0" collapsed="false">
      <c r="A420" s="14" t="n">
        <v>606902</v>
      </c>
      <c r="B420" s="14" t="n">
        <v>456588</v>
      </c>
      <c r="C420" s="14" t="s">
        <v>3586</v>
      </c>
      <c r="D420" s="14" t="s">
        <v>3587</v>
      </c>
      <c r="E420" s="14" t="s">
        <v>3588</v>
      </c>
      <c r="F420" s="14" t="s">
        <v>3589</v>
      </c>
      <c r="G420" s="14" t="s">
        <v>3590</v>
      </c>
      <c r="H420" s="14" t="s">
        <v>3591</v>
      </c>
      <c r="I420" s="14"/>
      <c r="J420" s="14" t="s">
        <v>638</v>
      </c>
      <c r="K420" s="14" t="s">
        <v>67</v>
      </c>
      <c r="L420" s="14" t="s">
        <v>1440</v>
      </c>
      <c r="M420" s="14" t="s">
        <v>3592</v>
      </c>
      <c r="N420" s="14" t="s">
        <v>70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2" t="n">
        <f aca="false">AB420*(1+$L$3)</f>
        <v>0</v>
      </c>
      <c r="AD420" s="20"/>
      <c r="AE420" s="23" t="n">
        <f aca="false">AC420-AD420</f>
        <v>0</v>
      </c>
      <c r="AF420" s="21" t="str">
        <f aca="false">IFERROR(AD420/AC420,"")</f>
        <v/>
      </c>
    </row>
    <row r="421" customFormat="false" ht="15" hidden="false" customHeight="true" outlineLevel="0" collapsed="false">
      <c r="A421" s="14" t="n">
        <v>620909</v>
      </c>
      <c r="B421" s="14" t="n">
        <v>470742</v>
      </c>
      <c r="C421" s="14" t="s">
        <v>3593</v>
      </c>
      <c r="D421" s="14" t="s">
        <v>3594</v>
      </c>
      <c r="E421" s="14" t="s">
        <v>3595</v>
      </c>
      <c r="F421" s="14" t="s">
        <v>3596</v>
      </c>
      <c r="G421" s="14" t="s">
        <v>3597</v>
      </c>
      <c r="H421" s="14" t="s">
        <v>3598</v>
      </c>
      <c r="I421" s="14"/>
      <c r="J421" s="14" t="s">
        <v>1881</v>
      </c>
      <c r="K421" s="14" t="s">
        <v>1187</v>
      </c>
      <c r="L421" s="14" t="s">
        <v>3599</v>
      </c>
      <c r="M421" s="14" t="s">
        <v>3600</v>
      </c>
      <c r="N421" s="14" t="s">
        <v>70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2" t="n">
        <f aca="false">AB421*(1+$L$3)</f>
        <v>0</v>
      </c>
      <c r="AD421" s="20"/>
      <c r="AE421" s="23" t="n">
        <f aca="false">AC421-AD421</f>
        <v>0</v>
      </c>
      <c r="AF421" s="21" t="str">
        <f aca="false">IFERROR(AD421/AC421,"")</f>
        <v/>
      </c>
    </row>
    <row r="422" customFormat="false" ht="15" hidden="false" customHeight="true" outlineLevel="0" collapsed="false">
      <c r="A422" s="14" t="n">
        <v>654597</v>
      </c>
      <c r="B422" s="14" t="n">
        <v>495751</v>
      </c>
      <c r="C422" s="14" t="s">
        <v>3601</v>
      </c>
      <c r="D422" s="14" t="s">
        <v>3602</v>
      </c>
      <c r="E422" s="14" t="s">
        <v>1869</v>
      </c>
      <c r="F422" s="14" t="s">
        <v>3603</v>
      </c>
      <c r="G422" s="14" t="s">
        <v>1871</v>
      </c>
      <c r="H422" s="14" t="s">
        <v>3604</v>
      </c>
      <c r="I422" s="14"/>
      <c r="J422" s="14" t="s">
        <v>3605</v>
      </c>
      <c r="K422" s="14" t="s">
        <v>709</v>
      </c>
      <c r="L422" s="14" t="s">
        <v>3606</v>
      </c>
      <c r="M422" s="14" t="s">
        <v>1874</v>
      </c>
      <c r="N422" s="14" t="s">
        <v>70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2" t="n">
        <f aca="false">AB422*(1+$L$3)</f>
        <v>0</v>
      </c>
      <c r="AD422" s="20"/>
      <c r="AE422" s="23" t="n">
        <f aca="false">AC422-AD422</f>
        <v>0</v>
      </c>
      <c r="AF422" s="21" t="str">
        <f aca="false">IFERROR(AD422/AC422,"")</f>
        <v/>
      </c>
    </row>
    <row r="423" customFormat="false" ht="15" hidden="false" customHeight="true" outlineLevel="0" collapsed="false">
      <c r="A423" s="14" t="n">
        <v>605170</v>
      </c>
      <c r="B423" s="14" t="n">
        <v>454982</v>
      </c>
      <c r="C423" s="14" t="s">
        <v>3607</v>
      </c>
      <c r="D423" s="14" t="s">
        <v>3608</v>
      </c>
      <c r="E423" s="14" t="s">
        <v>3609</v>
      </c>
      <c r="F423" s="14" t="s">
        <v>3610</v>
      </c>
      <c r="G423" s="14" t="s">
        <v>3611</v>
      </c>
      <c r="H423" s="14" t="s">
        <v>3612</v>
      </c>
      <c r="I423" s="14"/>
      <c r="J423" s="14" t="s">
        <v>638</v>
      </c>
      <c r="K423" s="14" t="s">
        <v>67</v>
      </c>
      <c r="L423" s="14" t="s">
        <v>639</v>
      </c>
      <c r="M423" s="14" t="s">
        <v>3613</v>
      </c>
      <c r="N423" s="14" t="s">
        <v>70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2" t="n">
        <f aca="false">AB423*(1+$L$3)</f>
        <v>0</v>
      </c>
      <c r="AD423" s="20"/>
      <c r="AE423" s="23" t="n">
        <f aca="false">AC423-AD423</f>
        <v>0</v>
      </c>
      <c r="AF423" s="21" t="str">
        <f aca="false">IFERROR(AD423/AC423,"")</f>
        <v/>
      </c>
    </row>
    <row r="424" customFormat="false" ht="15" hidden="false" customHeight="true" outlineLevel="0" collapsed="false">
      <c r="A424" s="14" t="n">
        <v>604964</v>
      </c>
      <c r="B424" s="14" t="n">
        <v>454779</v>
      </c>
      <c r="C424" s="14" t="s">
        <v>3614</v>
      </c>
      <c r="D424" s="14" t="s">
        <v>3615</v>
      </c>
      <c r="E424" s="14" t="s">
        <v>3616</v>
      </c>
      <c r="F424" s="14" t="s">
        <v>3617</v>
      </c>
      <c r="G424" s="14" t="s">
        <v>3618</v>
      </c>
      <c r="H424" s="14" t="s">
        <v>3619</v>
      </c>
      <c r="I424" s="14" t="s">
        <v>2818</v>
      </c>
      <c r="J424" s="14" t="s">
        <v>3620</v>
      </c>
      <c r="K424" s="14" t="s">
        <v>67</v>
      </c>
      <c r="L424" s="14" t="s">
        <v>3621</v>
      </c>
      <c r="M424" s="14" t="s">
        <v>3622</v>
      </c>
      <c r="N424" s="14" t="s">
        <v>70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2" t="n">
        <f aca="false">AB424*(1+$L$3)</f>
        <v>0</v>
      </c>
      <c r="AD424" s="20"/>
      <c r="AE424" s="23" t="n">
        <f aca="false">AC424-AD424</f>
        <v>0</v>
      </c>
      <c r="AF424" s="21" t="str">
        <f aca="false">IFERROR(AD424/AC424,"")</f>
        <v/>
      </c>
    </row>
    <row r="425" customFormat="false" ht="15" hidden="false" customHeight="true" outlineLevel="0" collapsed="false">
      <c r="A425" s="14" t="n">
        <v>127045</v>
      </c>
      <c r="B425" s="14" t="n">
        <v>141141</v>
      </c>
      <c r="C425" s="14" t="s">
        <v>3623</v>
      </c>
      <c r="D425" s="14" t="s">
        <v>3624</v>
      </c>
      <c r="E425" s="14" t="s">
        <v>3625</v>
      </c>
      <c r="F425" s="14" t="s">
        <v>3626</v>
      </c>
      <c r="G425" s="14" t="s">
        <v>3627</v>
      </c>
      <c r="H425" s="14" t="s">
        <v>3628</v>
      </c>
      <c r="I425" s="14" t="s">
        <v>3629</v>
      </c>
      <c r="J425" s="14" t="s">
        <v>3630</v>
      </c>
      <c r="K425" s="14" t="s">
        <v>506</v>
      </c>
      <c r="L425" s="14" t="s">
        <v>3631</v>
      </c>
      <c r="M425" s="14" t="s">
        <v>3632</v>
      </c>
      <c r="N425" s="14" t="s">
        <v>70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2" t="n">
        <f aca="false">AB425*(1+$L$3)</f>
        <v>0</v>
      </c>
      <c r="AD425" s="20"/>
      <c r="AE425" s="23" t="n">
        <f aca="false">AC425-AD425</f>
        <v>0</v>
      </c>
      <c r="AF425" s="21" t="str">
        <f aca="false">IFERROR(AD425/AC425,"")</f>
        <v/>
      </c>
    </row>
    <row r="426" customFormat="false" ht="15" hidden="false" customHeight="true" outlineLevel="0" collapsed="false">
      <c r="A426" s="14" t="n">
        <v>635938</v>
      </c>
      <c r="B426" s="14" t="n">
        <v>482397</v>
      </c>
      <c r="C426" s="14" t="s">
        <v>3633</v>
      </c>
      <c r="D426" s="14" t="s">
        <v>3634</v>
      </c>
      <c r="E426" s="14" t="s">
        <v>3635</v>
      </c>
      <c r="F426" s="14" t="s">
        <v>3636</v>
      </c>
      <c r="G426" s="14" t="s">
        <v>3637</v>
      </c>
      <c r="H426" s="14" t="s">
        <v>3638</v>
      </c>
      <c r="I426" s="14"/>
      <c r="J426" s="14" t="s">
        <v>2424</v>
      </c>
      <c r="K426" s="14" t="s">
        <v>932</v>
      </c>
      <c r="L426" s="14" t="s">
        <v>2425</v>
      </c>
      <c r="M426" s="14" t="s">
        <v>3639</v>
      </c>
      <c r="N426" s="14" t="s">
        <v>70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2" t="n">
        <f aca="false">AB426*(1+$L$3)</f>
        <v>5.6</v>
      </c>
      <c r="AD426" s="20"/>
      <c r="AE426" s="23" t="n">
        <f aca="false">AC426-AD426</f>
        <v>5.6</v>
      </c>
      <c r="AF426" s="21" t="n">
        <f aca="false">IFERROR(AD426/AC426,"")</f>
        <v>0</v>
      </c>
    </row>
    <row r="427" customFormat="false" ht="15" hidden="false" customHeight="true" outlineLevel="0" collapsed="false">
      <c r="A427" s="14" t="n">
        <v>620690</v>
      </c>
      <c r="B427" s="14" t="n">
        <v>470774</v>
      </c>
      <c r="C427" s="14" t="s">
        <v>3640</v>
      </c>
      <c r="D427" s="14" t="s">
        <v>3641</v>
      </c>
      <c r="E427" s="14" t="s">
        <v>3642</v>
      </c>
      <c r="F427" s="14" t="s">
        <v>3643</v>
      </c>
      <c r="G427" s="14" t="s">
        <v>3644</v>
      </c>
      <c r="H427" s="14" t="s">
        <v>3645</v>
      </c>
      <c r="I427" s="14"/>
      <c r="J427" s="14" t="s">
        <v>3646</v>
      </c>
      <c r="K427" s="14" t="s">
        <v>1026</v>
      </c>
      <c r="L427" s="14" t="s">
        <v>3647</v>
      </c>
      <c r="M427" s="14" t="s">
        <v>3648</v>
      </c>
      <c r="N427" s="14" t="s">
        <v>70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 t="n">
        <v>2</v>
      </c>
      <c r="Z427" s="15" t="n">
        <f aca="false">IF(X427=0,"",X427-Y427)</f>
        <v>-1</v>
      </c>
      <c r="AA427" s="21" t="n">
        <f aca="false">IFERROR(Y427/X427,"")</f>
        <v>2</v>
      </c>
      <c r="AB427" s="15" t="n">
        <v>0</v>
      </c>
      <c r="AC427" s="22" t="n">
        <f aca="false">AB427*(1+$L$3)</f>
        <v>0</v>
      </c>
      <c r="AD427" s="20"/>
      <c r="AE427" s="23" t="n">
        <f aca="false">AC427-AD427</f>
        <v>0</v>
      </c>
      <c r="AF427" s="21" t="str">
        <f aca="false">IFERROR(AD427/AC427,"")</f>
        <v/>
      </c>
    </row>
    <row r="428" customFormat="false" ht="15" hidden="false" customHeight="true" outlineLevel="0" collapsed="false">
      <c r="A428" s="14" t="n">
        <v>580999</v>
      </c>
      <c r="B428" s="14" t="n">
        <v>430302</v>
      </c>
      <c r="C428" s="14" t="s">
        <v>3649</v>
      </c>
      <c r="D428" s="14" t="s">
        <v>3650</v>
      </c>
      <c r="E428" s="14" t="s">
        <v>3651</v>
      </c>
      <c r="F428" s="14" t="s">
        <v>3652</v>
      </c>
      <c r="G428" s="14" t="s">
        <v>3653</v>
      </c>
      <c r="H428" s="14" t="s">
        <v>3654</v>
      </c>
      <c r="I428" s="14"/>
      <c r="J428" s="14" t="s">
        <v>638</v>
      </c>
      <c r="K428" s="14" t="s">
        <v>67</v>
      </c>
      <c r="L428" s="14" t="s">
        <v>2044</v>
      </c>
      <c r="M428" s="14" t="s">
        <v>3655</v>
      </c>
      <c r="N428" s="14" t="s">
        <v>70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2" t="n">
        <f aca="false">AB428*(1+$L$3)</f>
        <v>0</v>
      </c>
      <c r="AD428" s="20"/>
      <c r="AE428" s="23" t="n">
        <f aca="false">AC428-AD428</f>
        <v>0</v>
      </c>
      <c r="AF428" s="21" t="str">
        <f aca="false">IFERROR(AD428/AC428,"")</f>
        <v/>
      </c>
    </row>
    <row r="429" customFormat="false" ht="15" hidden="false" customHeight="true" outlineLevel="0" collapsed="false">
      <c r="A429" s="14" t="n">
        <v>608678</v>
      </c>
      <c r="B429" s="14" t="n">
        <v>458248</v>
      </c>
      <c r="C429" s="14" t="s">
        <v>3656</v>
      </c>
      <c r="D429" s="14" t="s">
        <v>3657</v>
      </c>
      <c r="E429" s="14" t="s">
        <v>3658</v>
      </c>
      <c r="F429" s="14" t="s">
        <v>3659</v>
      </c>
      <c r="G429" s="14" t="s">
        <v>3660</v>
      </c>
      <c r="H429" s="14" t="s">
        <v>3661</v>
      </c>
      <c r="I429" s="14" t="s">
        <v>3662</v>
      </c>
      <c r="J429" s="14" t="s">
        <v>3434</v>
      </c>
      <c r="K429" s="14" t="s">
        <v>335</v>
      </c>
      <c r="L429" s="14" t="s">
        <v>3663</v>
      </c>
      <c r="M429" s="14" t="s">
        <v>3664</v>
      </c>
      <c r="N429" s="14" t="s">
        <v>70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2" t="n">
        <f aca="false">AB429*(1+$L$3)</f>
        <v>0</v>
      </c>
      <c r="AD429" s="20"/>
      <c r="AE429" s="23" t="n">
        <f aca="false">AC429-AD429</f>
        <v>0</v>
      </c>
      <c r="AF429" s="21" t="str">
        <f aca="false">IFERROR(AD429/AC429,"")</f>
        <v/>
      </c>
    </row>
    <row r="430" customFormat="false" ht="15" hidden="false" customHeight="true" outlineLevel="0" collapsed="false">
      <c r="A430" s="14" t="n">
        <v>620832</v>
      </c>
      <c r="B430" s="14" t="n">
        <v>470741</v>
      </c>
      <c r="C430" s="14" t="s">
        <v>3665</v>
      </c>
      <c r="D430" s="14" t="s">
        <v>3666</v>
      </c>
      <c r="E430" s="14" t="s">
        <v>3667</v>
      </c>
      <c r="F430" s="14" t="s">
        <v>3668</v>
      </c>
      <c r="G430" s="14" t="s">
        <v>3669</v>
      </c>
      <c r="H430" s="14" t="s">
        <v>3670</v>
      </c>
      <c r="I430" s="14"/>
      <c r="J430" s="14" t="s">
        <v>708</v>
      </c>
      <c r="K430" s="14" t="s">
        <v>709</v>
      </c>
      <c r="L430" s="14" t="s">
        <v>3671</v>
      </c>
      <c r="M430" s="14" t="s">
        <v>3672</v>
      </c>
      <c r="N430" s="14" t="s">
        <v>70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2" t="n">
        <f aca="false">AB430*(1+$L$3)</f>
        <v>0</v>
      </c>
      <c r="AD430" s="20"/>
      <c r="AE430" s="23" t="n">
        <f aca="false">AC430-AD430</f>
        <v>0</v>
      </c>
      <c r="AF430" s="21" t="str">
        <f aca="false">IFERROR(AD430/AC430,"")</f>
        <v/>
      </c>
    </row>
    <row r="431" customFormat="false" ht="15" hidden="false" customHeight="true" outlineLevel="0" collapsed="false">
      <c r="A431" s="14" t="n">
        <v>604955</v>
      </c>
      <c r="B431" s="14" t="n">
        <v>454770</v>
      </c>
      <c r="C431" s="14" t="s">
        <v>3673</v>
      </c>
      <c r="D431" s="14" t="s">
        <v>3674</v>
      </c>
      <c r="E431" s="14" t="s">
        <v>3675</v>
      </c>
      <c r="F431" s="14" t="s">
        <v>3676</v>
      </c>
      <c r="G431" s="14" t="s">
        <v>3677</v>
      </c>
      <c r="H431" s="14" t="s">
        <v>3678</v>
      </c>
      <c r="I431" s="14"/>
      <c r="J431" s="14" t="s">
        <v>3068</v>
      </c>
      <c r="K431" s="14" t="s">
        <v>67</v>
      </c>
      <c r="L431" s="14" t="s">
        <v>3679</v>
      </c>
      <c r="M431" s="14" t="s">
        <v>3680</v>
      </c>
      <c r="N431" s="14" t="s">
        <v>70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2" t="n">
        <f aca="false">AB431*(1+$L$3)</f>
        <v>0</v>
      </c>
      <c r="AD431" s="20"/>
      <c r="AE431" s="23" t="n">
        <f aca="false">AC431-AD431</f>
        <v>0</v>
      </c>
      <c r="AF431" s="21" t="str">
        <f aca="false">IFERROR(AD431/AC431,"")</f>
        <v/>
      </c>
    </row>
    <row r="432" customFormat="false" ht="15" hidden="false" customHeight="true" outlineLevel="0" collapsed="false">
      <c r="A432" s="14" t="n">
        <v>618870</v>
      </c>
      <c r="B432" s="14" t="n">
        <v>469317</v>
      </c>
      <c r="C432" s="14" t="s">
        <v>3681</v>
      </c>
      <c r="D432" s="14" t="s">
        <v>3682</v>
      </c>
      <c r="E432" s="14" t="s">
        <v>3682</v>
      </c>
      <c r="F432" s="14" t="s">
        <v>3683</v>
      </c>
      <c r="G432" s="14" t="s">
        <v>3684</v>
      </c>
      <c r="H432" s="14" t="s">
        <v>3685</v>
      </c>
      <c r="I432" s="14"/>
      <c r="J432" s="14" t="s">
        <v>3686</v>
      </c>
      <c r="K432" s="14" t="s">
        <v>67</v>
      </c>
      <c r="L432" s="14" t="s">
        <v>3687</v>
      </c>
      <c r="M432" s="14" t="s">
        <v>3688</v>
      </c>
      <c r="N432" s="14" t="s">
        <v>70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2" t="n">
        <f aca="false">AB432*(1+$L$3)</f>
        <v>0</v>
      </c>
      <c r="AD432" s="20"/>
      <c r="AE432" s="23" t="n">
        <f aca="false">AC432-AD432</f>
        <v>0</v>
      </c>
      <c r="AF432" s="21" t="str">
        <f aca="false">IFERROR(AD432/AC432,"")</f>
        <v/>
      </c>
    </row>
    <row r="433" customFormat="false" ht="15" hidden="false" customHeight="true" outlineLevel="0" collapsed="false">
      <c r="A433" s="14" t="n">
        <v>659561</v>
      </c>
      <c r="B433" s="14" t="n">
        <v>500567</v>
      </c>
      <c r="C433" s="14" t="s">
        <v>3689</v>
      </c>
      <c r="D433" s="14" t="s">
        <v>3690</v>
      </c>
      <c r="E433" s="14" t="s">
        <v>3691</v>
      </c>
      <c r="F433" s="14" t="s">
        <v>3692</v>
      </c>
      <c r="G433" s="14" t="s">
        <v>3693</v>
      </c>
      <c r="H433" s="14" t="s">
        <v>3694</v>
      </c>
      <c r="I433" s="14"/>
      <c r="J433" s="14" t="s">
        <v>3095</v>
      </c>
      <c r="K433" s="14" t="s">
        <v>557</v>
      </c>
      <c r="L433" s="14" t="s">
        <v>3096</v>
      </c>
      <c r="M433" s="14" t="s">
        <v>3695</v>
      </c>
      <c r="N433" s="14" t="s">
        <v>70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2" t="n">
        <f aca="false">AB433*(1+$L$3)</f>
        <v>0</v>
      </c>
      <c r="AD433" s="20"/>
      <c r="AE433" s="23" t="n">
        <f aca="false">AC433-AD433</f>
        <v>0</v>
      </c>
      <c r="AF433" s="21" t="str">
        <f aca="false">IFERROR(AD433/AC433,"")</f>
        <v/>
      </c>
    </row>
    <row r="434" customFormat="false" ht="15" hidden="false" customHeight="true" outlineLevel="0" collapsed="false">
      <c r="A434" s="14" t="n">
        <v>659196</v>
      </c>
      <c r="B434" s="14" t="n">
        <v>500192</v>
      </c>
      <c r="C434" s="14" t="s">
        <v>3696</v>
      </c>
      <c r="D434" s="14" t="s">
        <v>3697</v>
      </c>
      <c r="E434" s="14" t="s">
        <v>3698</v>
      </c>
      <c r="F434" s="14" t="s">
        <v>3699</v>
      </c>
      <c r="G434" s="14" t="s">
        <v>3700</v>
      </c>
      <c r="H434" s="14" t="s">
        <v>3701</v>
      </c>
      <c r="I434" s="14" t="s">
        <v>3702</v>
      </c>
      <c r="J434" s="14" t="s">
        <v>248</v>
      </c>
      <c r="K434" s="14" t="s">
        <v>249</v>
      </c>
      <c r="L434" s="14" t="s">
        <v>2682</v>
      </c>
      <c r="M434" s="14" t="s">
        <v>3703</v>
      </c>
      <c r="N434" s="14" t="s">
        <v>70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2" t="n">
        <f aca="false">AB434*(1+$L$3)</f>
        <v>0</v>
      </c>
      <c r="AD434" s="20"/>
      <c r="AE434" s="23" t="n">
        <f aca="false">AC434-AD434</f>
        <v>0</v>
      </c>
      <c r="AF434" s="21" t="str">
        <f aca="false">IFERROR(AD434/AC434,"")</f>
        <v/>
      </c>
    </row>
    <row r="435" customFormat="false" ht="15" hidden="false" customHeight="true" outlineLevel="0" collapsed="false">
      <c r="A435" s="14" t="n">
        <v>655150</v>
      </c>
      <c r="B435" s="14" t="n">
        <v>496300</v>
      </c>
      <c r="C435" s="14" t="s">
        <v>3704</v>
      </c>
      <c r="D435" s="14" t="s">
        <v>3705</v>
      </c>
      <c r="E435" s="14" t="s">
        <v>3706</v>
      </c>
      <c r="F435" s="14" t="s">
        <v>3707</v>
      </c>
      <c r="G435" s="14" t="s">
        <v>3708</v>
      </c>
      <c r="H435" s="14" t="s">
        <v>3709</v>
      </c>
      <c r="I435" s="14"/>
      <c r="J435" s="14" t="s">
        <v>3710</v>
      </c>
      <c r="K435" s="14" t="s">
        <v>2297</v>
      </c>
      <c r="L435" s="14" t="s">
        <v>3711</v>
      </c>
      <c r="M435" s="14" t="s">
        <v>3712</v>
      </c>
      <c r="N435" s="14" t="s">
        <v>70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2" t="n">
        <f aca="false">AB435*(1+$L$3)</f>
        <v>0</v>
      </c>
      <c r="AD435" s="20"/>
      <c r="AE435" s="23" t="n">
        <f aca="false">AC435-AD435</f>
        <v>0</v>
      </c>
      <c r="AF435" s="21" t="str">
        <f aca="false">IFERROR(AD435/AC435,"")</f>
        <v/>
      </c>
    </row>
    <row r="436" customFormat="false" ht="15" hidden="false" customHeight="true" outlineLevel="0" collapsed="false">
      <c r="A436" s="14" t="n">
        <v>654776</v>
      </c>
      <c r="B436" s="14" t="n">
        <v>495927</v>
      </c>
      <c r="C436" s="14" t="s">
        <v>3713</v>
      </c>
      <c r="D436" s="14" t="s">
        <v>3714</v>
      </c>
      <c r="E436" s="14" t="s">
        <v>3714</v>
      </c>
      <c r="F436" s="14" t="s">
        <v>3715</v>
      </c>
      <c r="G436" s="14" t="s">
        <v>3716</v>
      </c>
      <c r="H436" s="14" t="s">
        <v>3717</v>
      </c>
      <c r="I436" s="14"/>
      <c r="J436" s="14" t="s">
        <v>664</v>
      </c>
      <c r="K436" s="14" t="s">
        <v>604</v>
      </c>
      <c r="L436" s="14" t="s">
        <v>3718</v>
      </c>
      <c r="M436" s="14" t="s">
        <v>3719</v>
      </c>
      <c r="N436" s="14" t="s">
        <v>70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/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2" t="n">
        <f aca="false">AB436*(1+$L$3)</f>
        <v>0</v>
      </c>
      <c r="AD436" s="20"/>
      <c r="AE436" s="23" t="n">
        <f aca="false">AC436-AD436</f>
        <v>0</v>
      </c>
      <c r="AF436" s="21" t="str">
        <f aca="false">IFERROR(AD436/AC436,"")</f>
        <v/>
      </c>
    </row>
    <row r="437" customFormat="false" ht="15" hidden="false" customHeight="true" outlineLevel="0" collapsed="false">
      <c r="A437" s="14" t="n">
        <v>646570</v>
      </c>
      <c r="B437" s="14" t="n">
        <v>487908</v>
      </c>
      <c r="C437" s="14" t="s">
        <v>3720</v>
      </c>
      <c r="D437" s="14" t="s">
        <v>3721</v>
      </c>
      <c r="E437" s="14" t="s">
        <v>3722</v>
      </c>
      <c r="F437" s="14" t="s">
        <v>3723</v>
      </c>
      <c r="G437" s="14" t="s">
        <v>3724</v>
      </c>
      <c r="H437" s="14" t="s">
        <v>3725</v>
      </c>
      <c r="I437" s="14"/>
      <c r="J437" s="14" t="s">
        <v>47</v>
      </c>
      <c r="K437" s="14" t="s">
        <v>48</v>
      </c>
      <c r="L437" s="14" t="s">
        <v>188</v>
      </c>
      <c r="M437" s="14" t="s">
        <v>3726</v>
      </c>
      <c r="N437" s="14" t="s">
        <v>51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2" t="n">
        <f aca="false">AB437*(1+$L$3)</f>
        <v>0</v>
      </c>
      <c r="AD437" s="20"/>
      <c r="AE437" s="23" t="n">
        <f aca="false">AC437-AD437</f>
        <v>0</v>
      </c>
      <c r="AF437" s="21" t="str">
        <f aca="false">IFERROR(AD437/AC437,"")</f>
        <v/>
      </c>
    </row>
    <row r="438" customFormat="false" ht="15" hidden="false" customHeight="true" outlineLevel="0" collapsed="false">
      <c r="A438" s="14" t="n">
        <v>635439</v>
      </c>
      <c r="B438" s="14" t="n">
        <v>481906</v>
      </c>
      <c r="C438" s="14" t="s">
        <v>3727</v>
      </c>
      <c r="D438" s="14" t="s">
        <v>3728</v>
      </c>
      <c r="E438" s="14" t="s">
        <v>3729</v>
      </c>
      <c r="F438" s="14" t="s">
        <v>3730</v>
      </c>
      <c r="G438" s="14" t="s">
        <v>3731</v>
      </c>
      <c r="H438" s="14" t="s">
        <v>3732</v>
      </c>
      <c r="I438" s="14" t="s">
        <v>65</v>
      </c>
      <c r="J438" s="14" t="s">
        <v>3733</v>
      </c>
      <c r="K438" s="14" t="s">
        <v>307</v>
      </c>
      <c r="L438" s="14" t="s">
        <v>3734</v>
      </c>
      <c r="M438" s="14" t="s">
        <v>3735</v>
      </c>
      <c r="N438" s="14" t="s">
        <v>70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2" t="n">
        <f aca="false">AB438*(1+$L$3)</f>
        <v>0</v>
      </c>
      <c r="AD438" s="20"/>
      <c r="AE438" s="23" t="n">
        <f aca="false">AC438-AD438</f>
        <v>0</v>
      </c>
      <c r="AF438" s="21" t="str">
        <f aca="false">IFERROR(AD438/AC438,"")</f>
        <v/>
      </c>
    </row>
    <row r="439" customFormat="false" ht="15" hidden="false" customHeight="true" outlineLevel="0" collapsed="false">
      <c r="A439" s="14" t="n">
        <v>661914</v>
      </c>
      <c r="B439" s="14" t="n">
        <v>502937</v>
      </c>
      <c r="C439" s="14" t="s">
        <v>3736</v>
      </c>
      <c r="D439" s="14" t="s">
        <v>3737</v>
      </c>
      <c r="E439" s="14" t="s">
        <v>3738</v>
      </c>
      <c r="F439" s="14" t="s">
        <v>3739</v>
      </c>
      <c r="G439" s="14" t="s">
        <v>3740</v>
      </c>
      <c r="H439" s="14" t="s">
        <v>3741</v>
      </c>
      <c r="I439" s="14"/>
      <c r="J439" s="14" t="s">
        <v>3742</v>
      </c>
      <c r="K439" s="14" t="s">
        <v>48</v>
      </c>
      <c r="L439" s="14" t="s">
        <v>3743</v>
      </c>
      <c r="M439" s="14" t="s">
        <v>3744</v>
      </c>
      <c r="N439" s="14" t="s">
        <v>70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2" t="n">
        <f aca="false">AB439*(1+$L$3)</f>
        <v>0</v>
      </c>
      <c r="AD439" s="20"/>
      <c r="AE439" s="23" t="n">
        <f aca="false">AC439-AD439</f>
        <v>0</v>
      </c>
      <c r="AF439" s="21" t="str">
        <f aca="false">IFERROR(AD439/AC439,"")</f>
        <v/>
      </c>
    </row>
    <row r="440" customFormat="false" ht="15" hidden="false" customHeight="true" outlineLevel="0" collapsed="false">
      <c r="A440" s="14"/>
      <c r="B440" s="14"/>
      <c r="C440" s="14" t="s">
        <v>3745</v>
      </c>
      <c r="D440" s="14" t="s">
        <v>3746</v>
      </c>
      <c r="E440" s="14" t="s">
        <v>3747</v>
      </c>
      <c r="F440" s="14"/>
      <c r="G440" s="14"/>
      <c r="H440" s="14" t="s">
        <v>3748</v>
      </c>
      <c r="I440" s="14" t="s">
        <v>3749</v>
      </c>
      <c r="J440" s="14" t="s">
        <v>3750</v>
      </c>
      <c r="K440" s="14" t="s">
        <v>307</v>
      </c>
      <c r="L440" s="14" t="s">
        <v>3751</v>
      </c>
      <c r="M440" s="14" t="s">
        <v>3752</v>
      </c>
      <c r="N440" s="14" t="s">
        <v>70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2" t="n">
        <f aca="false">AB440*(1+$L$3)</f>
        <v>0</v>
      </c>
      <c r="AD440" s="20"/>
      <c r="AE440" s="23" t="n">
        <f aca="false">AC440-AD440</f>
        <v>0</v>
      </c>
      <c r="AF440" s="21" t="str">
        <f aca="false">IFERROR(AD440/AC440,"")</f>
        <v/>
      </c>
    </row>
    <row r="441" customFormat="false" ht="15" hidden="false" customHeight="true" outlineLevel="0" collapsed="false">
      <c r="A441" s="14"/>
      <c r="B441" s="14"/>
      <c r="C441" s="14" t="s">
        <v>3753</v>
      </c>
      <c r="D441" s="14" t="s">
        <v>3754</v>
      </c>
      <c r="E441" s="14" t="s">
        <v>3755</v>
      </c>
      <c r="F441" s="14"/>
      <c r="G441" s="14"/>
      <c r="H441" s="14" t="s">
        <v>3756</v>
      </c>
      <c r="I441" s="14"/>
      <c r="J441" s="14" t="s">
        <v>306</v>
      </c>
      <c r="K441" s="14" t="s">
        <v>307</v>
      </c>
      <c r="L441" s="14" t="s">
        <v>2178</v>
      </c>
      <c r="M441" s="14" t="s">
        <v>3752</v>
      </c>
      <c r="N441" s="14" t="s">
        <v>70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2" t="n">
        <f aca="false">AB441*(1+$L$3)</f>
        <v>0</v>
      </c>
      <c r="AD441" s="20"/>
      <c r="AE441" s="23" t="n">
        <f aca="false">AC441-AD441</f>
        <v>0</v>
      </c>
      <c r="AF441" s="21" t="str">
        <f aca="false">IFERROR(AD441/AC441,"")</f>
        <v/>
      </c>
    </row>
    <row r="442" customFormat="false" ht="15" hidden="false" customHeight="true" outlineLevel="0" collapsed="false">
      <c r="A442" s="14"/>
      <c r="B442" s="14"/>
      <c r="C442" s="14" t="s">
        <v>3757</v>
      </c>
      <c r="D442" s="14" t="s">
        <v>3758</v>
      </c>
      <c r="E442" s="14" t="s">
        <v>3759</v>
      </c>
      <c r="F442" s="14"/>
      <c r="G442" s="14"/>
      <c r="H442" s="14" t="s">
        <v>3760</v>
      </c>
      <c r="I442" s="14"/>
      <c r="J442" s="14" t="s">
        <v>837</v>
      </c>
      <c r="K442" s="14" t="s">
        <v>307</v>
      </c>
      <c r="L442" s="14" t="s">
        <v>838</v>
      </c>
      <c r="M442" s="14" t="s">
        <v>3752</v>
      </c>
      <c r="N442" s="14" t="s">
        <v>70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2" t="n">
        <f aca="false">AB442*(1+$L$3)</f>
        <v>0</v>
      </c>
      <c r="AD442" s="20"/>
      <c r="AE442" s="23" t="n">
        <f aca="false">AC442-AD442</f>
        <v>0</v>
      </c>
      <c r="AF442" s="21" t="str">
        <f aca="false">IFERROR(AD442/AC442,"")</f>
        <v/>
      </c>
    </row>
    <row r="443" customFormat="false" ht="15" hidden="false" customHeight="true" outlineLevel="0" collapsed="false">
      <c r="A443" s="14" t="n">
        <v>661922</v>
      </c>
      <c r="B443" s="14" t="n">
        <v>502945</v>
      </c>
      <c r="C443" s="14" t="s">
        <v>3761</v>
      </c>
      <c r="D443" s="14" t="s">
        <v>3762</v>
      </c>
      <c r="E443" s="14" t="s">
        <v>1277</v>
      </c>
      <c r="F443" s="14" t="s">
        <v>3763</v>
      </c>
      <c r="G443" s="14" t="s">
        <v>1279</v>
      </c>
      <c r="H443" s="14" t="s">
        <v>3764</v>
      </c>
      <c r="I443" s="14" t="s">
        <v>3765</v>
      </c>
      <c r="J443" s="14" t="s">
        <v>306</v>
      </c>
      <c r="K443" s="14" t="s">
        <v>307</v>
      </c>
      <c r="L443" s="14" t="s">
        <v>2178</v>
      </c>
      <c r="M443" s="14" t="s">
        <v>1284</v>
      </c>
      <c r="N443" s="14" t="s">
        <v>70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2" t="n">
        <f aca="false">AB443*(1+$L$3)</f>
        <v>0</v>
      </c>
      <c r="AD443" s="20"/>
      <c r="AE443" s="23" t="n">
        <f aca="false">AC443-AD443</f>
        <v>0</v>
      </c>
      <c r="AF443" s="21" t="str">
        <f aca="false">IFERROR(AD443/AC443,"")</f>
        <v/>
      </c>
    </row>
    <row r="444" customFormat="false" ht="15" hidden="false" customHeight="true" outlineLevel="0" collapsed="false">
      <c r="A444" s="14" t="n">
        <v>661115</v>
      </c>
      <c r="B444" s="14" t="n">
        <v>502133</v>
      </c>
      <c r="C444" s="14" t="s">
        <v>3766</v>
      </c>
      <c r="D444" s="14" t="s">
        <v>3767</v>
      </c>
      <c r="E444" s="14" t="s">
        <v>3768</v>
      </c>
      <c r="F444" s="14" t="s">
        <v>3769</v>
      </c>
      <c r="G444" s="14" t="s">
        <v>3770</v>
      </c>
      <c r="H444" s="14" t="s">
        <v>3771</v>
      </c>
      <c r="I444" s="14" t="s">
        <v>3772</v>
      </c>
      <c r="J444" s="14" t="s">
        <v>407</v>
      </c>
      <c r="K444" s="14" t="s">
        <v>408</v>
      </c>
      <c r="L444" s="14" t="s">
        <v>3773</v>
      </c>
      <c r="M444" s="14" t="s">
        <v>3774</v>
      </c>
      <c r="N444" s="14" t="s">
        <v>70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2" t="n">
        <f aca="false">AB444*(1+$L$3)</f>
        <v>0</v>
      </c>
      <c r="AD444" s="20"/>
      <c r="AE444" s="23" t="n">
        <f aca="false">AC444-AD444</f>
        <v>0</v>
      </c>
      <c r="AF444" s="21" t="str">
        <f aca="false">IFERROR(AD444/AC444,"")</f>
        <v/>
      </c>
    </row>
    <row r="445" customFormat="false" ht="15" hidden="false" customHeight="true" outlineLevel="0" collapsed="false">
      <c r="A445" s="14" t="n">
        <v>661147</v>
      </c>
      <c r="B445" s="14" t="n">
        <v>502167</v>
      </c>
      <c r="C445" s="14" t="s">
        <v>3775</v>
      </c>
      <c r="D445" s="14" t="s">
        <v>3776</v>
      </c>
      <c r="E445" s="14" t="s">
        <v>3777</v>
      </c>
      <c r="F445" s="14" t="s">
        <v>3778</v>
      </c>
      <c r="G445" s="14" t="s">
        <v>3779</v>
      </c>
      <c r="H445" s="14" t="s">
        <v>3780</v>
      </c>
      <c r="I445" s="14" t="s">
        <v>3781</v>
      </c>
      <c r="J445" s="14" t="s">
        <v>489</v>
      </c>
      <c r="K445" s="14" t="s">
        <v>307</v>
      </c>
      <c r="L445" s="14" t="s">
        <v>3782</v>
      </c>
      <c r="M445" s="14" t="s">
        <v>3783</v>
      </c>
      <c r="N445" s="14" t="s">
        <v>70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/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2" t="n">
        <f aca="false">AB445*(1+$L$3)</f>
        <v>0</v>
      </c>
      <c r="AD445" s="20"/>
      <c r="AE445" s="23" t="n">
        <f aca="false">AC445-AD445</f>
        <v>0</v>
      </c>
      <c r="AF445" s="21" t="str">
        <f aca="false">IFERROR(AD445/AC445,"")</f>
        <v/>
      </c>
    </row>
    <row r="446" customFormat="false" ht="15" hidden="false" customHeight="true" outlineLevel="0" collapsed="false">
      <c r="A446" s="14"/>
      <c r="B446" s="14"/>
      <c r="C446" s="14" t="s">
        <v>3784</v>
      </c>
      <c r="D446" s="14" t="s">
        <v>3785</v>
      </c>
      <c r="E446" s="14" t="s">
        <v>3786</v>
      </c>
      <c r="F446" s="14"/>
      <c r="G446" s="14"/>
      <c r="H446" s="14" t="s">
        <v>3787</v>
      </c>
      <c r="I446" s="14" t="s">
        <v>2235</v>
      </c>
      <c r="J446" s="14" t="s">
        <v>3788</v>
      </c>
      <c r="K446" s="14" t="s">
        <v>67</v>
      </c>
      <c r="L446" s="14" t="s">
        <v>3789</v>
      </c>
      <c r="M446" s="14" t="s">
        <v>3752</v>
      </c>
      <c r="N446" s="14" t="s">
        <v>70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2" t="n">
        <f aca="false">AB446*(1+$L$3)</f>
        <v>0</v>
      </c>
      <c r="AD446" s="20"/>
      <c r="AE446" s="23" t="n">
        <f aca="false">AC446-AD446</f>
        <v>0</v>
      </c>
      <c r="AF446" s="21" t="str">
        <f aca="false">IFERROR(AD446/AC446,"")</f>
        <v/>
      </c>
    </row>
    <row r="447" customFormat="false" ht="15" hidden="false" customHeight="true" outlineLevel="0" collapsed="false">
      <c r="A447" s="14"/>
      <c r="B447" s="14"/>
      <c r="C447" s="14" t="s">
        <v>3790</v>
      </c>
      <c r="D447" s="14" t="s">
        <v>3791</v>
      </c>
      <c r="E447" s="14" t="s">
        <v>3792</v>
      </c>
      <c r="F447" s="14"/>
      <c r="G447" s="14"/>
      <c r="H447" s="14" t="s">
        <v>3793</v>
      </c>
      <c r="I447" s="14"/>
      <c r="J447" s="14" t="s">
        <v>998</v>
      </c>
      <c r="K447" s="14" t="s">
        <v>999</v>
      </c>
      <c r="L447" s="14" t="s">
        <v>3794</v>
      </c>
      <c r="M447" s="14" t="s">
        <v>3752</v>
      </c>
      <c r="N447" s="14" t="s">
        <v>70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2" t="n">
        <f aca="false">AB447*(1+$L$3)</f>
        <v>0</v>
      </c>
      <c r="AD447" s="20"/>
      <c r="AE447" s="23" t="n">
        <f aca="false">AC447-AD447</f>
        <v>0</v>
      </c>
      <c r="AF447" s="21" t="str">
        <f aca="false">IFERROR(AD447/AC447,"")</f>
        <v/>
      </c>
    </row>
    <row r="448" customFormat="false" ht="15" hidden="false" customHeight="true" outlineLevel="0" collapsed="false">
      <c r="A448" s="14" t="n">
        <v>660766</v>
      </c>
      <c r="B448" s="14" t="n">
        <v>501779</v>
      </c>
      <c r="C448" s="14" t="s">
        <v>3795</v>
      </c>
      <c r="D448" s="14" t="s">
        <v>3796</v>
      </c>
      <c r="E448" s="14" t="s">
        <v>3797</v>
      </c>
      <c r="F448" s="14" t="s">
        <v>3798</v>
      </c>
      <c r="G448" s="14" t="s">
        <v>3799</v>
      </c>
      <c r="H448" s="14" t="s">
        <v>3800</v>
      </c>
      <c r="I448" s="14" t="s">
        <v>3801</v>
      </c>
      <c r="J448" s="14" t="s">
        <v>3802</v>
      </c>
      <c r="K448" s="14" t="s">
        <v>1715</v>
      </c>
      <c r="L448" s="14" t="s">
        <v>3803</v>
      </c>
      <c r="M448" s="14" t="s">
        <v>3804</v>
      </c>
      <c r="N448" s="14" t="s">
        <v>70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2" t="n">
        <f aca="false">AB448*(1+$L$3)</f>
        <v>0</v>
      </c>
      <c r="AD448" s="20"/>
      <c r="AE448" s="23" t="n">
        <f aca="false">AC448-AD448</f>
        <v>0</v>
      </c>
      <c r="AF448" s="21" t="str">
        <f aca="false">IFERROR(AD448/AC448,"")</f>
        <v/>
      </c>
    </row>
    <row r="449" customFormat="false" ht="15" hidden="false" customHeight="true" outlineLevel="0" collapsed="false">
      <c r="A449" s="14"/>
      <c r="B449" s="14"/>
      <c r="C449" s="14" t="s">
        <v>3805</v>
      </c>
      <c r="D449" s="14" t="s">
        <v>3806</v>
      </c>
      <c r="E449" s="14" t="s">
        <v>3807</v>
      </c>
      <c r="F449" s="14"/>
      <c r="G449" s="14"/>
      <c r="H449" s="14" t="s">
        <v>3808</v>
      </c>
      <c r="I449" s="14"/>
      <c r="J449" s="14" t="s">
        <v>489</v>
      </c>
      <c r="K449" s="14" t="s">
        <v>307</v>
      </c>
      <c r="L449" s="14" t="s">
        <v>3809</v>
      </c>
      <c r="M449" s="14" t="s">
        <v>3752</v>
      </c>
      <c r="N449" s="14" t="s">
        <v>70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2" t="n">
        <f aca="false">AB449*(1+$L$3)</f>
        <v>0</v>
      </c>
      <c r="AD449" s="20"/>
      <c r="AE449" s="23" t="n">
        <f aca="false">AC449-AD449</f>
        <v>0</v>
      </c>
      <c r="AF449" s="21" t="str">
        <f aca="false">IFERROR(AD449/AC449,"")</f>
        <v/>
      </c>
    </row>
    <row r="450" customFormat="false" ht="15" hidden="false" customHeight="true" outlineLevel="0" collapsed="false">
      <c r="A450" s="14" t="n">
        <v>660769</v>
      </c>
      <c r="B450" s="14" t="n">
        <v>501782</v>
      </c>
      <c r="C450" s="14" t="s">
        <v>3810</v>
      </c>
      <c r="D450" s="14" t="s">
        <v>3811</v>
      </c>
      <c r="E450" s="14" t="s">
        <v>3812</v>
      </c>
      <c r="F450" s="14" t="s">
        <v>3813</v>
      </c>
      <c r="G450" s="14" t="s">
        <v>3814</v>
      </c>
      <c r="H450" s="14" t="s">
        <v>3815</v>
      </c>
      <c r="I450" s="14"/>
      <c r="J450" s="14" t="s">
        <v>3816</v>
      </c>
      <c r="K450" s="14" t="s">
        <v>557</v>
      </c>
      <c r="L450" s="14" t="s">
        <v>3817</v>
      </c>
      <c r="M450" s="14" t="s">
        <v>3818</v>
      </c>
      <c r="N450" s="14" t="s">
        <v>70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2" t="n">
        <f aca="false">AB450*(1+$L$3)</f>
        <v>0</v>
      </c>
      <c r="AD450" s="20"/>
      <c r="AE450" s="23" t="n">
        <f aca="false">AC450-AD450</f>
        <v>0</v>
      </c>
      <c r="AF450" s="21" t="str">
        <f aca="false">IFERROR(AD450/AC450,"")</f>
        <v/>
      </c>
    </row>
    <row r="451" customFormat="false" ht="15" hidden="false" customHeight="true" outlineLevel="0" collapsed="false">
      <c r="A451" s="14" t="n">
        <v>660694</v>
      </c>
      <c r="B451" s="14"/>
      <c r="C451" s="14" t="s">
        <v>3819</v>
      </c>
      <c r="D451" s="14" t="s">
        <v>3820</v>
      </c>
      <c r="E451" s="14" t="s">
        <v>3821</v>
      </c>
      <c r="F451" s="14" t="s">
        <v>3822</v>
      </c>
      <c r="G451" s="14" t="s">
        <v>3823</v>
      </c>
      <c r="H451" s="14" t="s">
        <v>3824</v>
      </c>
      <c r="I451" s="14" t="s">
        <v>3825</v>
      </c>
      <c r="J451" s="14" t="s">
        <v>3826</v>
      </c>
      <c r="K451" s="14" t="s">
        <v>604</v>
      </c>
      <c r="L451" s="14" t="s">
        <v>3827</v>
      </c>
      <c r="M451" s="14" t="s">
        <v>3828</v>
      </c>
      <c r="N451" s="14" t="s">
        <v>70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2" t="n">
        <f aca="false">AB451*(1+$L$3)</f>
        <v>0</v>
      </c>
      <c r="AD451" s="20"/>
      <c r="AE451" s="23" t="n">
        <f aca="false">AC451-AD451</f>
        <v>0</v>
      </c>
      <c r="AF451" s="21" t="str">
        <f aca="false">IFERROR(AD451/AC451,"")</f>
        <v/>
      </c>
    </row>
    <row r="452" customFormat="false" ht="15" hidden="false" customHeight="true" outlineLevel="0" collapsed="false">
      <c r="A452" s="14" t="n">
        <v>660774</v>
      </c>
      <c r="B452" s="14" t="n">
        <v>501787</v>
      </c>
      <c r="C452" s="14" t="s">
        <v>3829</v>
      </c>
      <c r="D452" s="14" t="s">
        <v>3830</v>
      </c>
      <c r="E452" s="14" t="s">
        <v>3831</v>
      </c>
      <c r="F452" s="14"/>
      <c r="G452" s="14" t="s">
        <v>1474</v>
      </c>
      <c r="H452" s="14" t="s">
        <v>3832</v>
      </c>
      <c r="I452" s="14"/>
      <c r="J452" s="14" t="s">
        <v>679</v>
      </c>
      <c r="K452" s="14" t="s">
        <v>307</v>
      </c>
      <c r="L452" s="14" t="s">
        <v>939</v>
      </c>
      <c r="M452" s="14" t="s">
        <v>1479</v>
      </c>
      <c r="N452" s="14" t="s">
        <v>70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2" t="n">
        <f aca="false">AB452*(1+$L$3)</f>
        <v>0</v>
      </c>
      <c r="AD452" s="20"/>
      <c r="AE452" s="23" t="n">
        <f aca="false">AC452-AD452</f>
        <v>0</v>
      </c>
      <c r="AF452" s="21" t="str">
        <f aca="false">IFERROR(AD452/AC452,"")</f>
        <v/>
      </c>
    </row>
    <row r="453" customFormat="false" ht="15" hidden="false" customHeight="true" outlineLevel="0" collapsed="false">
      <c r="A453" s="14" t="n">
        <v>660727</v>
      </c>
      <c r="B453" s="14" t="n">
        <v>501740</v>
      </c>
      <c r="C453" s="14" t="s">
        <v>3833</v>
      </c>
      <c r="D453" s="14" t="s">
        <v>3834</v>
      </c>
      <c r="E453" s="14" t="s">
        <v>3835</v>
      </c>
      <c r="F453" s="14"/>
      <c r="G453" s="14" t="s">
        <v>3836</v>
      </c>
      <c r="H453" s="14" t="s">
        <v>3837</v>
      </c>
      <c r="I453" s="14" t="s">
        <v>3838</v>
      </c>
      <c r="J453" s="14" t="s">
        <v>3839</v>
      </c>
      <c r="K453" s="14" t="s">
        <v>3840</v>
      </c>
      <c r="L453" s="14" t="s">
        <v>3841</v>
      </c>
      <c r="M453" s="14" t="s">
        <v>3842</v>
      </c>
      <c r="N453" s="14" t="s">
        <v>70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2" t="n">
        <f aca="false">AB453*(1+$L$3)</f>
        <v>0</v>
      </c>
      <c r="AD453" s="20"/>
      <c r="AE453" s="23" t="n">
        <f aca="false">AC453-AD453</f>
        <v>0</v>
      </c>
      <c r="AF453" s="21" t="str">
        <f aca="false">IFERROR(AD453/AC453,"")</f>
        <v/>
      </c>
    </row>
    <row r="454" customFormat="false" ht="15" hidden="false" customHeight="true" outlineLevel="0" collapsed="false">
      <c r="A454" s="14" t="n">
        <v>660668</v>
      </c>
      <c r="B454" s="14" t="n">
        <v>501681</v>
      </c>
      <c r="C454" s="14" t="s">
        <v>3843</v>
      </c>
      <c r="D454" s="14" t="s">
        <v>3844</v>
      </c>
      <c r="E454" s="14" t="s">
        <v>3845</v>
      </c>
      <c r="F454" s="14" t="s">
        <v>3846</v>
      </c>
      <c r="G454" s="14" t="s">
        <v>3847</v>
      </c>
      <c r="H454" s="14" t="s">
        <v>3848</v>
      </c>
      <c r="I454" s="14"/>
      <c r="J454" s="14" t="s">
        <v>306</v>
      </c>
      <c r="K454" s="14" t="s">
        <v>307</v>
      </c>
      <c r="L454" s="14" t="s">
        <v>3520</v>
      </c>
      <c r="M454" s="14" t="s">
        <v>3849</v>
      </c>
      <c r="N454" s="14" t="s">
        <v>70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2" t="n">
        <f aca="false">AB454*(1+$L$3)</f>
        <v>0</v>
      </c>
      <c r="AD454" s="20"/>
      <c r="AE454" s="23" t="n">
        <f aca="false">AC454-AD454</f>
        <v>0</v>
      </c>
      <c r="AF454" s="21" t="str">
        <f aca="false">IFERROR(AD454/AC454,"")</f>
        <v/>
      </c>
    </row>
    <row r="455" customFormat="false" ht="15" hidden="false" customHeight="true" outlineLevel="0" collapsed="false">
      <c r="A455" s="14" t="n">
        <v>660655</v>
      </c>
      <c r="B455" s="14" t="n">
        <v>501668</v>
      </c>
      <c r="C455" s="14" t="s">
        <v>3850</v>
      </c>
      <c r="D455" s="14" t="s">
        <v>3851</v>
      </c>
      <c r="E455" s="14" t="s">
        <v>3852</v>
      </c>
      <c r="F455" s="14" t="s">
        <v>3853</v>
      </c>
      <c r="G455" s="14" t="s">
        <v>3854</v>
      </c>
      <c r="H455" s="14" t="s">
        <v>3855</v>
      </c>
      <c r="I455" s="14"/>
      <c r="J455" s="14" t="s">
        <v>3856</v>
      </c>
      <c r="K455" s="14" t="s">
        <v>932</v>
      </c>
      <c r="L455" s="14" t="s">
        <v>3857</v>
      </c>
      <c r="M455" s="14" t="s">
        <v>3858</v>
      </c>
      <c r="N455" s="14" t="s">
        <v>70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2" t="n">
        <f aca="false">AB455*(1+$L$3)</f>
        <v>0</v>
      </c>
      <c r="AD455" s="20"/>
      <c r="AE455" s="23" t="n">
        <f aca="false">AC455-AD455</f>
        <v>0</v>
      </c>
      <c r="AF455" s="21" t="str">
        <f aca="false">IFERROR(AD455/AC455,"")</f>
        <v/>
      </c>
    </row>
    <row r="456" customFormat="false" ht="15" hidden="false" customHeight="true" outlineLevel="0" collapsed="false">
      <c r="A456" s="14" t="n">
        <v>660648</v>
      </c>
      <c r="B456" s="14" t="n">
        <v>501661</v>
      </c>
      <c r="C456" s="14" t="s">
        <v>3859</v>
      </c>
      <c r="D456" s="14" t="s">
        <v>3860</v>
      </c>
      <c r="E456" s="14" t="s">
        <v>3861</v>
      </c>
      <c r="F456" s="14"/>
      <c r="G456" s="14" t="s">
        <v>3862</v>
      </c>
      <c r="H456" s="14" t="s">
        <v>3863</v>
      </c>
      <c r="I456" s="14"/>
      <c r="J456" s="14" t="s">
        <v>1528</v>
      </c>
      <c r="K456" s="14" t="s">
        <v>1160</v>
      </c>
      <c r="L456" s="14" t="s">
        <v>3864</v>
      </c>
      <c r="M456" s="14" t="s">
        <v>3865</v>
      </c>
      <c r="N456" s="14" t="s">
        <v>70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2" t="n">
        <f aca="false">AB456*(1+$L$3)</f>
        <v>0</v>
      </c>
      <c r="AD456" s="20"/>
      <c r="AE456" s="23" t="n">
        <f aca="false">AC456-AD456</f>
        <v>0</v>
      </c>
      <c r="AF456" s="21" t="str">
        <f aca="false">IFERROR(AD456/AC456,"")</f>
        <v/>
      </c>
    </row>
    <row r="457" customFormat="false" ht="15" hidden="false" customHeight="true" outlineLevel="0" collapsed="false">
      <c r="A457" s="14" t="n">
        <v>660535</v>
      </c>
      <c r="B457" s="14" t="n">
        <v>501544</v>
      </c>
      <c r="C457" s="14" t="s">
        <v>3866</v>
      </c>
      <c r="D457" s="14" t="s">
        <v>3867</v>
      </c>
      <c r="E457" s="14" t="s">
        <v>3868</v>
      </c>
      <c r="F457" s="14" t="s">
        <v>3869</v>
      </c>
      <c r="G457" s="14" t="s">
        <v>3870</v>
      </c>
      <c r="H457" s="14" t="s">
        <v>3871</v>
      </c>
      <c r="I457" s="14" t="s">
        <v>3872</v>
      </c>
      <c r="J457" s="14" t="s">
        <v>2193</v>
      </c>
      <c r="K457" s="14" t="s">
        <v>307</v>
      </c>
      <c r="L457" s="14" t="s">
        <v>3873</v>
      </c>
      <c r="M457" s="14" t="s">
        <v>3874</v>
      </c>
      <c r="N457" s="14" t="s">
        <v>70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2" t="n">
        <f aca="false">AB457*(1+$L$3)</f>
        <v>0</v>
      </c>
      <c r="AD457" s="20"/>
      <c r="AE457" s="23" t="n">
        <f aca="false">AC457-AD457</f>
        <v>0</v>
      </c>
      <c r="AF457" s="21" t="str">
        <f aca="false">IFERROR(AD457/AC457,"")</f>
        <v/>
      </c>
    </row>
    <row r="458" customFormat="false" ht="15" hidden="false" customHeight="true" outlineLevel="0" collapsed="false">
      <c r="A458" s="14" t="n">
        <v>660539</v>
      </c>
      <c r="B458" s="14" t="n">
        <v>501548</v>
      </c>
      <c r="C458" s="14" t="s">
        <v>3875</v>
      </c>
      <c r="D458" s="14" t="s">
        <v>3876</v>
      </c>
      <c r="E458" s="14" t="s">
        <v>3877</v>
      </c>
      <c r="F458" s="14" t="s">
        <v>3878</v>
      </c>
      <c r="G458" s="14" t="s">
        <v>3879</v>
      </c>
      <c r="H458" s="14" t="s">
        <v>3880</v>
      </c>
      <c r="I458" s="14"/>
      <c r="J458" s="14" t="s">
        <v>566</v>
      </c>
      <c r="K458" s="14" t="s">
        <v>48</v>
      </c>
      <c r="L458" s="14" t="s">
        <v>3881</v>
      </c>
      <c r="M458" s="14" t="s">
        <v>3882</v>
      </c>
      <c r="N458" s="14" t="s">
        <v>70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2" t="n">
        <f aca="false">AB458*(1+$L$3)</f>
        <v>0</v>
      </c>
      <c r="AD458" s="20"/>
      <c r="AE458" s="23" t="n">
        <f aca="false">AC458-AD458</f>
        <v>0</v>
      </c>
      <c r="AF458" s="21" t="str">
        <f aca="false">IFERROR(AD458/AC458,"")</f>
        <v/>
      </c>
    </row>
    <row r="459" customFormat="false" ht="15" hidden="false" customHeight="true" outlineLevel="0" collapsed="false">
      <c r="A459" s="14" t="n">
        <v>660633</v>
      </c>
      <c r="B459" s="14" t="n">
        <v>501643</v>
      </c>
      <c r="C459" s="14" t="s">
        <v>3883</v>
      </c>
      <c r="D459" s="14" t="s">
        <v>3884</v>
      </c>
      <c r="E459" s="14" t="s">
        <v>3885</v>
      </c>
      <c r="F459" s="14" t="s">
        <v>3886</v>
      </c>
      <c r="G459" s="14" t="s">
        <v>3887</v>
      </c>
      <c r="H459" s="14" t="s">
        <v>3888</v>
      </c>
      <c r="I459" s="14"/>
      <c r="J459" s="14" t="s">
        <v>407</v>
      </c>
      <c r="K459" s="14" t="s">
        <v>408</v>
      </c>
      <c r="L459" s="14" t="s">
        <v>523</v>
      </c>
      <c r="M459" s="14" t="s">
        <v>3889</v>
      </c>
      <c r="N459" s="14" t="s">
        <v>70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2" t="n">
        <f aca="false">AB459*(1+$L$3)</f>
        <v>0</v>
      </c>
      <c r="AD459" s="20"/>
      <c r="AE459" s="23" t="n">
        <f aca="false">AC459-AD459</f>
        <v>0</v>
      </c>
      <c r="AF459" s="21" t="str">
        <f aca="false">IFERROR(AD459/AC459,"")</f>
        <v/>
      </c>
    </row>
    <row r="460" customFormat="false" ht="15" hidden="false" customHeight="true" outlineLevel="0" collapsed="false">
      <c r="A460" s="14"/>
      <c r="B460" s="14"/>
      <c r="C460" s="14" t="s">
        <v>3890</v>
      </c>
      <c r="D460" s="14" t="s">
        <v>3891</v>
      </c>
      <c r="E460" s="14" t="s">
        <v>3892</v>
      </c>
      <c r="F460" s="14"/>
      <c r="G460" s="14"/>
      <c r="H460" s="14" t="s">
        <v>3893</v>
      </c>
      <c r="I460" s="14"/>
      <c r="J460" s="14" t="s">
        <v>1528</v>
      </c>
      <c r="K460" s="14" t="s">
        <v>1160</v>
      </c>
      <c r="L460" s="14" t="s">
        <v>3894</v>
      </c>
      <c r="M460" s="14" t="s">
        <v>3752</v>
      </c>
      <c r="N460" s="14" t="s">
        <v>70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2" t="n">
        <f aca="false">AB460*(1+$L$3)</f>
        <v>0</v>
      </c>
      <c r="AD460" s="20"/>
      <c r="AE460" s="23" t="n">
        <f aca="false">AC460-AD460</f>
        <v>0</v>
      </c>
      <c r="AF460" s="21" t="str">
        <f aca="false">IFERROR(AD460/AC460,"")</f>
        <v/>
      </c>
    </row>
    <row r="461" customFormat="false" ht="15" hidden="false" customHeight="true" outlineLevel="0" collapsed="false">
      <c r="A461" s="14" t="n">
        <v>660618</v>
      </c>
      <c r="B461" s="14" t="n">
        <v>501627</v>
      </c>
      <c r="C461" s="14" t="s">
        <v>3895</v>
      </c>
      <c r="D461" s="14" t="s">
        <v>3896</v>
      </c>
      <c r="E461" s="14" t="s">
        <v>3897</v>
      </c>
      <c r="F461" s="14" t="s">
        <v>3898</v>
      </c>
      <c r="G461" s="14" t="s">
        <v>3899</v>
      </c>
      <c r="H461" s="14" t="s">
        <v>3900</v>
      </c>
      <c r="I461" s="14" t="s">
        <v>129</v>
      </c>
      <c r="J461" s="14" t="s">
        <v>1097</v>
      </c>
      <c r="K461" s="14" t="s">
        <v>67</v>
      </c>
      <c r="L461" s="14" t="s">
        <v>1151</v>
      </c>
      <c r="M461" s="14" t="s">
        <v>3901</v>
      </c>
      <c r="N461" s="14" t="s">
        <v>70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2" t="n">
        <f aca="false">AB461*(1+$L$3)</f>
        <v>0</v>
      </c>
      <c r="AD461" s="20"/>
      <c r="AE461" s="23" t="n">
        <f aca="false">AC461-AD461</f>
        <v>0</v>
      </c>
      <c r="AF461" s="21" t="str">
        <f aca="false">IFERROR(AD461/AC461,"")</f>
        <v/>
      </c>
    </row>
    <row r="462" customFormat="false" ht="15" hidden="false" customHeight="true" outlineLevel="0" collapsed="false">
      <c r="A462" s="14" t="n">
        <v>660551</v>
      </c>
      <c r="B462" s="14" t="n">
        <v>501560</v>
      </c>
      <c r="C462" s="14" t="s">
        <v>3902</v>
      </c>
      <c r="D462" s="14" t="s">
        <v>3903</v>
      </c>
      <c r="E462" s="14" t="s">
        <v>3904</v>
      </c>
      <c r="F462" s="14" t="s">
        <v>3905</v>
      </c>
      <c r="G462" s="14" t="s">
        <v>3906</v>
      </c>
      <c r="H462" s="14" t="s">
        <v>3907</v>
      </c>
      <c r="I462" s="14"/>
      <c r="J462" s="14" t="s">
        <v>3908</v>
      </c>
      <c r="K462" s="14" t="s">
        <v>932</v>
      </c>
      <c r="L462" s="14" t="s">
        <v>3909</v>
      </c>
      <c r="M462" s="14" t="s">
        <v>3910</v>
      </c>
      <c r="N462" s="14" t="s">
        <v>70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2" t="n">
        <f aca="false">AB462*(1+$L$3)</f>
        <v>0</v>
      </c>
      <c r="AD462" s="20"/>
      <c r="AE462" s="23" t="n">
        <f aca="false">AC462-AD462</f>
        <v>0</v>
      </c>
      <c r="AF462" s="21" t="str">
        <f aca="false">IFERROR(AD462/AC462,"")</f>
        <v/>
      </c>
    </row>
    <row r="463" customFormat="false" ht="15" hidden="false" customHeight="true" outlineLevel="0" collapsed="false">
      <c r="A463" s="14" t="n">
        <v>660565</v>
      </c>
      <c r="B463" s="14" t="n">
        <v>501574</v>
      </c>
      <c r="C463" s="14" t="s">
        <v>3911</v>
      </c>
      <c r="D463" s="14" t="s">
        <v>3912</v>
      </c>
      <c r="E463" s="14" t="s">
        <v>3913</v>
      </c>
      <c r="F463" s="14" t="s">
        <v>3914</v>
      </c>
      <c r="G463" s="14" t="s">
        <v>3915</v>
      </c>
      <c r="H463" s="14" t="s">
        <v>3916</v>
      </c>
      <c r="I463" s="14"/>
      <c r="J463" s="14" t="s">
        <v>3917</v>
      </c>
      <c r="K463" s="14" t="s">
        <v>1160</v>
      </c>
      <c r="L463" s="14" t="s">
        <v>3918</v>
      </c>
      <c r="M463" s="14" t="s">
        <v>3919</v>
      </c>
      <c r="N463" s="14" t="s">
        <v>70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2" t="n">
        <f aca="false">AB463*(1+$L$3)</f>
        <v>0</v>
      </c>
      <c r="AD463" s="20"/>
      <c r="AE463" s="23" t="n">
        <f aca="false">AC463-AD463</f>
        <v>0</v>
      </c>
      <c r="AF463" s="21" t="str">
        <f aca="false">IFERROR(AD463/AC463,"")</f>
        <v/>
      </c>
    </row>
    <row r="464" customFormat="false" ht="15" hidden="false" customHeight="true" outlineLevel="0" collapsed="false">
      <c r="A464" s="14" t="n">
        <v>660512</v>
      </c>
      <c r="B464" s="14" t="n">
        <v>501520</v>
      </c>
      <c r="C464" s="14" t="s">
        <v>3920</v>
      </c>
      <c r="D464" s="14" t="s">
        <v>3921</v>
      </c>
      <c r="E464" s="14" t="s">
        <v>3922</v>
      </c>
      <c r="F464" s="14"/>
      <c r="G464" s="14" t="s">
        <v>3923</v>
      </c>
      <c r="H464" s="14" t="s">
        <v>3924</v>
      </c>
      <c r="I464" s="14"/>
      <c r="J464" s="14" t="s">
        <v>1794</v>
      </c>
      <c r="K464" s="14" t="s">
        <v>48</v>
      </c>
      <c r="L464" s="14" t="s">
        <v>1795</v>
      </c>
      <c r="M464" s="14" t="s">
        <v>3925</v>
      </c>
      <c r="N464" s="14" t="s">
        <v>70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2" t="n">
        <f aca="false">AB464*(1+$L$3)</f>
        <v>0</v>
      </c>
      <c r="AD464" s="20"/>
      <c r="AE464" s="23" t="n">
        <f aca="false">AC464-AD464</f>
        <v>0</v>
      </c>
      <c r="AF464" s="21" t="str">
        <f aca="false">IFERROR(AD464/AC464,"")</f>
        <v/>
      </c>
    </row>
    <row r="465" customFormat="false" ht="15" hidden="false" customHeight="true" outlineLevel="0" collapsed="false">
      <c r="A465" s="14" t="n">
        <v>660445</v>
      </c>
      <c r="B465" s="14" t="n">
        <v>501454</v>
      </c>
      <c r="C465" s="14" t="s">
        <v>3926</v>
      </c>
      <c r="D465" s="14" t="s">
        <v>3927</v>
      </c>
      <c r="E465" s="14" t="s">
        <v>3928</v>
      </c>
      <c r="F465" s="14"/>
      <c r="G465" s="14" t="s">
        <v>3929</v>
      </c>
      <c r="H465" s="14" t="s">
        <v>3930</v>
      </c>
      <c r="I465" s="14"/>
      <c r="J465" s="14" t="s">
        <v>3931</v>
      </c>
      <c r="K465" s="14" t="s">
        <v>604</v>
      </c>
      <c r="L465" s="14" t="s">
        <v>3932</v>
      </c>
      <c r="M465" s="14" t="s">
        <v>3933</v>
      </c>
      <c r="N465" s="14" t="s">
        <v>70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2" t="n">
        <f aca="false">AB465*(1+$L$3)</f>
        <v>0</v>
      </c>
      <c r="AD465" s="20"/>
      <c r="AE465" s="23" t="n">
        <f aca="false">AC465-AD465</f>
        <v>0</v>
      </c>
      <c r="AF465" s="21" t="str">
        <f aca="false">IFERROR(AD465/AC465,"")</f>
        <v/>
      </c>
    </row>
    <row r="466" customFormat="false" ht="15" hidden="false" customHeight="true" outlineLevel="0" collapsed="false">
      <c r="A466" s="14"/>
      <c r="B466" s="14"/>
      <c r="C466" s="14" t="s">
        <v>3934</v>
      </c>
      <c r="D466" s="14" t="s">
        <v>3935</v>
      </c>
      <c r="E466" s="14" t="s">
        <v>3936</v>
      </c>
      <c r="F466" s="14" t="s">
        <v>3937</v>
      </c>
      <c r="G466" s="14" t="s">
        <v>3938</v>
      </c>
      <c r="H466" s="14" t="s">
        <v>3939</v>
      </c>
      <c r="I466" s="14"/>
      <c r="J466" s="14" t="s">
        <v>3940</v>
      </c>
      <c r="K466" s="14" t="s">
        <v>67</v>
      </c>
      <c r="L466" s="14" t="s">
        <v>3941</v>
      </c>
      <c r="M466" s="14" t="s">
        <v>3942</v>
      </c>
      <c r="N466" s="14" t="s">
        <v>70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2" t="n">
        <f aca="false">AB466*(1+$L$3)</f>
        <v>0</v>
      </c>
      <c r="AD466" s="20"/>
      <c r="AE466" s="23" t="n">
        <f aca="false">AC466-AD466</f>
        <v>0</v>
      </c>
      <c r="AF466" s="21" t="str">
        <f aca="false">IFERROR(AD466/AC466,"")</f>
        <v/>
      </c>
    </row>
    <row r="467" customFormat="false" ht="15" hidden="false" customHeight="true" outlineLevel="0" collapsed="false">
      <c r="A467" s="14" t="n">
        <v>660041</v>
      </c>
      <c r="B467" s="14" t="n">
        <v>501045</v>
      </c>
      <c r="C467" s="14" t="s">
        <v>3943</v>
      </c>
      <c r="D467" s="14" t="s">
        <v>3944</v>
      </c>
      <c r="E467" s="14" t="s">
        <v>3945</v>
      </c>
      <c r="F467" s="14" t="s">
        <v>3946</v>
      </c>
      <c r="G467" s="14" t="s">
        <v>3947</v>
      </c>
      <c r="H467" s="14" t="s">
        <v>3948</v>
      </c>
      <c r="I467" s="14" t="s">
        <v>1674</v>
      </c>
      <c r="J467" s="14" t="s">
        <v>239</v>
      </c>
      <c r="K467" s="14" t="s">
        <v>67</v>
      </c>
      <c r="L467" s="14" t="s">
        <v>3949</v>
      </c>
      <c r="M467" s="14" t="s">
        <v>3950</v>
      </c>
      <c r="N467" s="14" t="s">
        <v>70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2" t="n">
        <f aca="false">AB467*(1+$L$3)</f>
        <v>0</v>
      </c>
      <c r="AD467" s="20"/>
      <c r="AE467" s="23" t="n">
        <f aca="false">AC467-AD467</f>
        <v>0</v>
      </c>
      <c r="AF467" s="21" t="str">
        <f aca="false">IFERROR(AD467/AC467,"")</f>
        <v/>
      </c>
    </row>
    <row r="468" customFormat="false" ht="15" hidden="false" customHeight="true" outlineLevel="0" collapsed="false">
      <c r="A468" s="14" t="n">
        <v>660352</v>
      </c>
      <c r="B468" s="14" t="n">
        <v>501361</v>
      </c>
      <c r="C468" s="14" t="s">
        <v>3951</v>
      </c>
      <c r="D468" s="14" t="s">
        <v>3952</v>
      </c>
      <c r="E468" s="14" t="s">
        <v>3953</v>
      </c>
      <c r="F468" s="14" t="s">
        <v>3954</v>
      </c>
      <c r="G468" s="14" t="s">
        <v>3955</v>
      </c>
      <c r="H468" s="14" t="s">
        <v>3956</v>
      </c>
      <c r="I468" s="14"/>
      <c r="J468" s="14" t="s">
        <v>3957</v>
      </c>
      <c r="K468" s="14" t="s">
        <v>604</v>
      </c>
      <c r="L468" s="14" t="s">
        <v>3958</v>
      </c>
      <c r="M468" s="14" t="s">
        <v>3959</v>
      </c>
      <c r="N468" s="14" t="s">
        <v>70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2" t="n">
        <f aca="false">AB468*(1+$L$3)</f>
        <v>0</v>
      </c>
      <c r="AD468" s="20"/>
      <c r="AE468" s="23" t="n">
        <f aca="false">AC468-AD468</f>
        <v>0</v>
      </c>
      <c r="AF468" s="21" t="str">
        <f aca="false">IFERROR(AD468/AC468,"")</f>
        <v/>
      </c>
    </row>
    <row r="469" customFormat="false" ht="15" hidden="false" customHeight="true" outlineLevel="0" collapsed="false">
      <c r="A469" s="14" t="n">
        <v>645656</v>
      </c>
      <c r="B469" s="14" t="n">
        <v>487037</v>
      </c>
      <c r="C469" s="14" t="s">
        <v>3960</v>
      </c>
      <c r="D469" s="14" t="s">
        <v>3961</v>
      </c>
      <c r="E469" s="14" t="s">
        <v>3962</v>
      </c>
      <c r="F469" s="14" t="s">
        <v>3963</v>
      </c>
      <c r="G469" s="14" t="s">
        <v>3964</v>
      </c>
      <c r="H469" s="14" t="s">
        <v>3965</v>
      </c>
      <c r="I469" s="14"/>
      <c r="J469" s="14" t="s">
        <v>407</v>
      </c>
      <c r="K469" s="14" t="s">
        <v>408</v>
      </c>
      <c r="L469" s="14" t="s">
        <v>3966</v>
      </c>
      <c r="M469" s="14" t="s">
        <v>3967</v>
      </c>
      <c r="N469" s="14" t="s">
        <v>70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2" t="n">
        <f aca="false">AB469*(1+$L$3)</f>
        <v>0</v>
      </c>
      <c r="AD469" s="20"/>
      <c r="AE469" s="23" t="n">
        <f aca="false">AC469-AD469</f>
        <v>0</v>
      </c>
      <c r="AF469" s="21" t="str">
        <f aca="false">IFERROR(AD469/AC469,"")</f>
        <v/>
      </c>
    </row>
    <row r="470" customFormat="false" ht="15" hidden="false" customHeight="true" outlineLevel="0" collapsed="false">
      <c r="A470" s="14" t="n">
        <v>660241</v>
      </c>
      <c r="B470" s="14" t="n">
        <v>501249</v>
      </c>
      <c r="C470" s="14" t="s">
        <v>3968</v>
      </c>
      <c r="D470" s="14" t="s">
        <v>3969</v>
      </c>
      <c r="E470" s="14" t="s">
        <v>3970</v>
      </c>
      <c r="F470" s="14" t="s">
        <v>3971</v>
      </c>
      <c r="G470" s="14" t="s">
        <v>3972</v>
      </c>
      <c r="H470" s="14" t="s">
        <v>3973</v>
      </c>
      <c r="I470" s="14"/>
      <c r="J470" s="14" t="s">
        <v>3974</v>
      </c>
      <c r="K470" s="14" t="s">
        <v>48</v>
      </c>
      <c r="L470" s="14" t="s">
        <v>3975</v>
      </c>
      <c r="M470" s="14" t="s">
        <v>3976</v>
      </c>
      <c r="N470" s="14" t="s">
        <v>70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2" t="n">
        <f aca="false">AB470*(1+$L$3)</f>
        <v>0</v>
      </c>
      <c r="AD470" s="20"/>
      <c r="AE470" s="23" t="n">
        <f aca="false">AC470-AD470</f>
        <v>0</v>
      </c>
      <c r="AF470" s="21" t="str">
        <f aca="false">IFERROR(AD470/AC470,"")</f>
        <v/>
      </c>
    </row>
    <row r="471" customFormat="false" ht="15" hidden="false" customHeight="true" outlineLevel="0" collapsed="false">
      <c r="A471" s="14"/>
      <c r="B471" s="14"/>
      <c r="C471" s="14" t="s">
        <v>3977</v>
      </c>
      <c r="D471" s="14" t="s">
        <v>3978</v>
      </c>
      <c r="E471" s="14" t="s">
        <v>3979</v>
      </c>
      <c r="F471" s="14"/>
      <c r="G471" s="14"/>
      <c r="H471" s="14" t="s">
        <v>3980</v>
      </c>
      <c r="I471" s="14"/>
      <c r="J471" s="14" t="s">
        <v>3981</v>
      </c>
      <c r="K471" s="14" t="s">
        <v>3982</v>
      </c>
      <c r="L471" s="14" t="s">
        <v>3983</v>
      </c>
      <c r="M471" s="14" t="s">
        <v>3752</v>
      </c>
      <c r="N471" s="14" t="s">
        <v>70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2" t="n">
        <f aca="false">AB471*(1+$L$3)</f>
        <v>0</v>
      </c>
      <c r="AD471" s="20"/>
      <c r="AE471" s="23" t="n">
        <f aca="false">AC471-AD471</f>
        <v>0</v>
      </c>
      <c r="AF471" s="21" t="str">
        <f aca="false">IFERROR(AD471/AC471,"")</f>
        <v/>
      </c>
    </row>
    <row r="472" customFormat="false" ht="15" hidden="false" customHeight="true" outlineLevel="0" collapsed="false">
      <c r="A472" s="14" t="n">
        <v>660131</v>
      </c>
      <c r="B472" s="14" t="n">
        <v>501139</v>
      </c>
      <c r="C472" s="14" t="s">
        <v>3984</v>
      </c>
      <c r="D472" s="14" t="s">
        <v>3985</v>
      </c>
      <c r="E472" s="14" t="s">
        <v>3986</v>
      </c>
      <c r="F472" s="14" t="s">
        <v>3987</v>
      </c>
      <c r="G472" s="14" t="s">
        <v>3988</v>
      </c>
      <c r="H472" s="14" t="s">
        <v>3989</v>
      </c>
      <c r="I472" s="14"/>
      <c r="J472" s="14" t="s">
        <v>3990</v>
      </c>
      <c r="K472" s="14" t="s">
        <v>981</v>
      </c>
      <c r="L472" s="14" t="s">
        <v>3991</v>
      </c>
      <c r="M472" s="14" t="s">
        <v>3992</v>
      </c>
      <c r="N472" s="14" t="s">
        <v>70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2" t="n">
        <f aca="false">AB472*(1+$L$3)</f>
        <v>0</v>
      </c>
      <c r="AD472" s="20"/>
      <c r="AE472" s="23" t="n">
        <f aca="false">AC472-AD472</f>
        <v>0</v>
      </c>
      <c r="AF472" s="21" t="str">
        <f aca="false">IFERROR(AD472/AC472,"")</f>
        <v/>
      </c>
    </row>
    <row r="473" customFormat="false" ht="15" hidden="false" customHeight="true" outlineLevel="0" collapsed="false">
      <c r="A473" s="14" t="n">
        <v>660301</v>
      </c>
      <c r="B473" s="14" t="n">
        <v>501309</v>
      </c>
      <c r="C473" s="14" t="s">
        <v>3993</v>
      </c>
      <c r="D473" s="14" t="s">
        <v>3994</v>
      </c>
      <c r="E473" s="14" t="s">
        <v>3995</v>
      </c>
      <c r="F473" s="14" t="s">
        <v>3996</v>
      </c>
      <c r="G473" s="14" t="s">
        <v>3997</v>
      </c>
      <c r="H473" s="14" t="s">
        <v>3998</v>
      </c>
      <c r="I473" s="14" t="s">
        <v>65</v>
      </c>
      <c r="J473" s="14" t="s">
        <v>1934</v>
      </c>
      <c r="K473" s="14" t="s">
        <v>307</v>
      </c>
      <c r="L473" s="14" t="s">
        <v>1935</v>
      </c>
      <c r="M473" s="14" t="s">
        <v>3999</v>
      </c>
      <c r="N473" s="14" t="s">
        <v>70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2" t="n">
        <f aca="false">AB473*(1+$L$3)</f>
        <v>0</v>
      </c>
      <c r="AD473" s="20"/>
      <c r="AE473" s="23" t="n">
        <f aca="false">AC473-AD473</f>
        <v>0</v>
      </c>
      <c r="AF473" s="21" t="str">
        <f aca="false">IFERROR(AD473/AC473,"")</f>
        <v/>
      </c>
    </row>
    <row r="474" customFormat="false" ht="15" hidden="false" customHeight="true" outlineLevel="0" collapsed="false">
      <c r="A474" s="14" t="n">
        <v>660310</v>
      </c>
      <c r="B474" s="14" t="n">
        <v>501318</v>
      </c>
      <c r="C474" s="14" t="s">
        <v>4000</v>
      </c>
      <c r="D474" s="14" t="s">
        <v>4001</v>
      </c>
      <c r="E474" s="14" t="s">
        <v>4002</v>
      </c>
      <c r="F474" s="14" t="s">
        <v>4003</v>
      </c>
      <c r="G474" s="14" t="s">
        <v>4004</v>
      </c>
      <c r="H474" s="14" t="s">
        <v>4005</v>
      </c>
      <c r="I474" s="14" t="s">
        <v>793</v>
      </c>
      <c r="J474" s="14" t="s">
        <v>4006</v>
      </c>
      <c r="K474" s="14" t="s">
        <v>307</v>
      </c>
      <c r="L474" s="14" t="s">
        <v>4007</v>
      </c>
      <c r="M474" s="14" t="s">
        <v>4008</v>
      </c>
      <c r="N474" s="14" t="s">
        <v>70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2" t="n">
        <f aca="false">AB474*(1+$L$3)</f>
        <v>0</v>
      </c>
      <c r="AD474" s="20"/>
      <c r="AE474" s="23" t="n">
        <f aca="false">AC474-AD474</f>
        <v>0</v>
      </c>
      <c r="AF474" s="21" t="str">
        <f aca="false">IFERROR(AD474/AC474,"")</f>
        <v/>
      </c>
    </row>
    <row r="475" customFormat="false" ht="15" hidden="false" customHeight="true" outlineLevel="0" collapsed="false">
      <c r="A475" s="14" t="n">
        <v>660231</v>
      </c>
      <c r="B475" s="14" t="n">
        <v>501239</v>
      </c>
      <c r="C475" s="14" t="s">
        <v>4009</v>
      </c>
      <c r="D475" s="14" t="s">
        <v>4010</v>
      </c>
      <c r="E475" s="14" t="s">
        <v>4011</v>
      </c>
      <c r="F475" s="14" t="s">
        <v>4012</v>
      </c>
      <c r="G475" s="14" t="s">
        <v>4013</v>
      </c>
      <c r="H475" s="14" t="s">
        <v>4014</v>
      </c>
      <c r="I475" s="14" t="s">
        <v>4015</v>
      </c>
      <c r="J475" s="14" t="s">
        <v>1934</v>
      </c>
      <c r="K475" s="14" t="s">
        <v>307</v>
      </c>
      <c r="L475" s="14" t="s">
        <v>1935</v>
      </c>
      <c r="M475" s="14" t="s">
        <v>4016</v>
      </c>
      <c r="N475" s="14" t="s">
        <v>70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2" t="n">
        <f aca="false">AB475*(1+$L$3)</f>
        <v>0</v>
      </c>
      <c r="AD475" s="20"/>
      <c r="AE475" s="23" t="n">
        <f aca="false">AC475-AD475</f>
        <v>0</v>
      </c>
      <c r="AF475" s="21" t="str">
        <f aca="false">IFERROR(AD475/AC475,"")</f>
        <v/>
      </c>
    </row>
    <row r="476" customFormat="false" ht="15" hidden="false" customHeight="true" outlineLevel="0" collapsed="false">
      <c r="A476" s="14" t="n">
        <v>660238</v>
      </c>
      <c r="B476" s="14" t="n">
        <v>501246</v>
      </c>
      <c r="C476" s="14" t="s">
        <v>4017</v>
      </c>
      <c r="D476" s="14" t="s">
        <v>4018</v>
      </c>
      <c r="E476" s="14" t="s">
        <v>4019</v>
      </c>
      <c r="F476" s="14" t="s">
        <v>4020</v>
      </c>
      <c r="G476" s="14" t="s">
        <v>4021</v>
      </c>
      <c r="H476" s="14" t="s">
        <v>4022</v>
      </c>
      <c r="I476" s="14"/>
      <c r="J476" s="14" t="s">
        <v>1714</v>
      </c>
      <c r="K476" s="14" t="s">
        <v>1715</v>
      </c>
      <c r="L476" s="14" t="s">
        <v>2557</v>
      </c>
      <c r="M476" s="14" t="s">
        <v>4023</v>
      </c>
      <c r="N476" s="14" t="s">
        <v>70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2" t="n">
        <f aca="false">AB476*(1+$L$3)</f>
        <v>0</v>
      </c>
      <c r="AD476" s="20"/>
      <c r="AE476" s="23" t="n">
        <f aca="false">AC476-AD476</f>
        <v>0</v>
      </c>
      <c r="AF476" s="21" t="str">
        <f aca="false">IFERROR(AD476/AC476,"")</f>
        <v/>
      </c>
    </row>
    <row r="477" customFormat="false" ht="15" hidden="false" customHeight="true" outlineLevel="0" collapsed="false">
      <c r="A477" s="14" t="n">
        <v>660228</v>
      </c>
      <c r="B477" s="14" t="n">
        <v>501236</v>
      </c>
      <c r="C477" s="14" t="s">
        <v>4024</v>
      </c>
      <c r="D477" s="14" t="s">
        <v>4025</v>
      </c>
      <c r="E477" s="14" t="s">
        <v>4026</v>
      </c>
      <c r="F477" s="14" t="s">
        <v>4027</v>
      </c>
      <c r="G477" s="14" t="s">
        <v>4028</v>
      </c>
      <c r="H477" s="14" t="s">
        <v>4029</v>
      </c>
      <c r="I477" s="14"/>
      <c r="J477" s="14" t="s">
        <v>1934</v>
      </c>
      <c r="K477" s="14" t="s">
        <v>307</v>
      </c>
      <c r="L477" s="14" t="s">
        <v>1935</v>
      </c>
      <c r="M477" s="14" t="s">
        <v>4030</v>
      </c>
      <c r="N477" s="14" t="s">
        <v>70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2" t="n">
        <f aca="false">AB477*(1+$L$3)</f>
        <v>0</v>
      </c>
      <c r="AD477" s="20"/>
      <c r="AE477" s="23" t="n">
        <f aca="false">AC477-AD477</f>
        <v>0</v>
      </c>
      <c r="AF477" s="21" t="str">
        <f aca="false">IFERROR(AD477/AC477,"")</f>
        <v/>
      </c>
    </row>
    <row r="478" customFormat="false" ht="15" hidden="false" customHeight="true" outlineLevel="0" collapsed="false">
      <c r="A478" s="14" t="n">
        <v>660239</v>
      </c>
      <c r="B478" s="14" t="n">
        <v>501247</v>
      </c>
      <c r="C478" s="14" t="s">
        <v>4031</v>
      </c>
      <c r="D478" s="14" t="s">
        <v>4032</v>
      </c>
      <c r="E478" s="14" t="s">
        <v>4033</v>
      </c>
      <c r="F478" s="14" t="s">
        <v>4034</v>
      </c>
      <c r="G478" s="14" t="s">
        <v>4035</v>
      </c>
      <c r="H478" s="14" t="s">
        <v>4036</v>
      </c>
      <c r="I478" s="14" t="s">
        <v>4037</v>
      </c>
      <c r="J478" s="14" t="s">
        <v>767</v>
      </c>
      <c r="K478" s="14" t="s">
        <v>1715</v>
      </c>
      <c r="L478" s="14" t="s">
        <v>4038</v>
      </c>
      <c r="M478" s="14" t="s">
        <v>4039</v>
      </c>
      <c r="N478" s="14" t="s">
        <v>70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2" t="n">
        <f aca="false">AB478*(1+$L$3)</f>
        <v>0</v>
      </c>
      <c r="AD478" s="20"/>
      <c r="AE478" s="23" t="n">
        <f aca="false">AC478-AD478</f>
        <v>0</v>
      </c>
      <c r="AF478" s="21" t="str">
        <f aca="false">IFERROR(AD478/AC478,"")</f>
        <v/>
      </c>
    </row>
    <row r="479" customFormat="false" ht="15" hidden="false" customHeight="true" outlineLevel="0" collapsed="false">
      <c r="A479" s="14" t="n">
        <v>660120</v>
      </c>
      <c r="B479" s="14" t="n">
        <v>501128</v>
      </c>
      <c r="C479" s="14" t="s">
        <v>4040</v>
      </c>
      <c r="D479" s="14" t="s">
        <v>4041</v>
      </c>
      <c r="E479" s="14" t="s">
        <v>4042</v>
      </c>
      <c r="F479" s="14" t="s">
        <v>4043</v>
      </c>
      <c r="G479" s="14" t="s">
        <v>4044</v>
      </c>
      <c r="H479" s="14" t="s">
        <v>4045</v>
      </c>
      <c r="I479" s="14" t="s">
        <v>793</v>
      </c>
      <c r="J479" s="14" t="s">
        <v>4046</v>
      </c>
      <c r="K479" s="14" t="s">
        <v>1545</v>
      </c>
      <c r="L479" s="14" t="s">
        <v>4047</v>
      </c>
      <c r="M479" s="14" t="s">
        <v>4048</v>
      </c>
      <c r="N479" s="14" t="s">
        <v>70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2" t="n">
        <f aca="false">AB479*(1+$L$3)</f>
        <v>0</v>
      </c>
      <c r="AD479" s="20"/>
      <c r="AE479" s="23" t="n">
        <f aca="false">AC479-AD479</f>
        <v>0</v>
      </c>
      <c r="AF479" s="21" t="str">
        <f aca="false">IFERROR(AD479/AC479,"")</f>
        <v/>
      </c>
    </row>
    <row r="480" customFormat="false" ht="15" hidden="false" customHeight="true" outlineLevel="0" collapsed="false">
      <c r="A480" s="14" t="n">
        <v>660016</v>
      </c>
      <c r="B480" s="14" t="n">
        <v>501020</v>
      </c>
      <c r="C480" s="14" t="s">
        <v>4049</v>
      </c>
      <c r="D480" s="14" t="s">
        <v>4050</v>
      </c>
      <c r="E480" s="14" t="s">
        <v>4051</v>
      </c>
      <c r="F480" s="14" t="s">
        <v>4052</v>
      </c>
      <c r="G480" s="14" t="s">
        <v>4053</v>
      </c>
      <c r="H480" s="14" t="s">
        <v>4054</v>
      </c>
      <c r="I480" s="14"/>
      <c r="J480" s="14" t="s">
        <v>3095</v>
      </c>
      <c r="K480" s="14" t="s">
        <v>557</v>
      </c>
      <c r="L480" s="14" t="s">
        <v>3096</v>
      </c>
      <c r="M480" s="14" t="s">
        <v>4055</v>
      </c>
      <c r="N480" s="14" t="s">
        <v>70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2" t="n">
        <f aca="false">AB480*(1+$L$3)</f>
        <v>0</v>
      </c>
      <c r="AD480" s="20"/>
      <c r="AE480" s="23" t="n">
        <f aca="false">AC480-AD480</f>
        <v>0</v>
      </c>
      <c r="AF480" s="21" t="str">
        <f aca="false">IFERROR(AD480/AC480,"")</f>
        <v/>
      </c>
    </row>
    <row r="481" customFormat="false" ht="15" hidden="false" customHeight="true" outlineLevel="0" collapsed="false">
      <c r="A481" s="14" t="n">
        <v>660029</v>
      </c>
      <c r="B481" s="14" t="n">
        <v>501033</v>
      </c>
      <c r="C481" s="14" t="s">
        <v>4056</v>
      </c>
      <c r="D481" s="14" t="s">
        <v>4057</v>
      </c>
      <c r="E481" s="14" t="s">
        <v>4058</v>
      </c>
      <c r="F481" s="14" t="s">
        <v>4059</v>
      </c>
      <c r="G481" s="14" t="s">
        <v>4060</v>
      </c>
      <c r="H481" s="14" t="s">
        <v>4061</v>
      </c>
      <c r="I481" s="14"/>
      <c r="J481" s="14" t="s">
        <v>556</v>
      </c>
      <c r="K481" s="14" t="s">
        <v>557</v>
      </c>
      <c r="L481" s="14" t="s">
        <v>4062</v>
      </c>
      <c r="M481" s="14" t="s">
        <v>4063</v>
      </c>
      <c r="N481" s="14" t="s">
        <v>70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2" t="n">
        <f aca="false">AB481*(1+$L$3)</f>
        <v>0</v>
      </c>
      <c r="AD481" s="20"/>
      <c r="AE481" s="23" t="n">
        <f aca="false">AC481-AD481</f>
        <v>0</v>
      </c>
      <c r="AF481" s="21" t="str">
        <f aca="false">IFERROR(AD481/AC481,"")</f>
        <v/>
      </c>
    </row>
    <row r="482" customFormat="false" ht="15" hidden="false" customHeight="true" outlineLevel="0" collapsed="false">
      <c r="A482" s="14" t="n">
        <v>660101</v>
      </c>
      <c r="B482" s="14" t="n">
        <v>501109</v>
      </c>
      <c r="C482" s="14" t="s">
        <v>4064</v>
      </c>
      <c r="D482" s="14" t="s">
        <v>4065</v>
      </c>
      <c r="E482" s="14" t="s">
        <v>4066</v>
      </c>
      <c r="F482" s="14" t="s">
        <v>4067</v>
      </c>
      <c r="G482" s="14" t="s">
        <v>4068</v>
      </c>
      <c r="H482" s="14" t="s">
        <v>4069</v>
      </c>
      <c r="I482" s="14"/>
      <c r="J482" s="14" t="s">
        <v>4070</v>
      </c>
      <c r="K482" s="14" t="s">
        <v>464</v>
      </c>
      <c r="L482" s="14" t="s">
        <v>4071</v>
      </c>
      <c r="M482" s="14" t="s">
        <v>4072</v>
      </c>
      <c r="N482" s="14" t="s">
        <v>70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2" t="n">
        <f aca="false">AB482*(1+$L$3)</f>
        <v>0</v>
      </c>
      <c r="AD482" s="20"/>
      <c r="AE482" s="23" t="n">
        <f aca="false">AC482-AD482</f>
        <v>0</v>
      </c>
      <c r="AF482" s="21" t="str">
        <f aca="false">IFERROR(AD482/AC482,"")</f>
        <v/>
      </c>
    </row>
    <row r="483" customFormat="false" ht="15" hidden="false" customHeight="true" outlineLevel="0" collapsed="false">
      <c r="A483" s="14" t="n">
        <v>660103</v>
      </c>
      <c r="B483" s="14" t="n">
        <v>501111</v>
      </c>
      <c r="C483" s="14" t="s">
        <v>4073</v>
      </c>
      <c r="D483" s="14" t="s">
        <v>4074</v>
      </c>
      <c r="E483" s="14" t="s">
        <v>4066</v>
      </c>
      <c r="F483" s="14" t="s">
        <v>4067</v>
      </c>
      <c r="G483" s="14" t="s">
        <v>4075</v>
      </c>
      <c r="H483" s="14" t="s">
        <v>4076</v>
      </c>
      <c r="I483" s="14" t="s">
        <v>4077</v>
      </c>
      <c r="J483" s="14" t="s">
        <v>2475</v>
      </c>
      <c r="K483" s="14" t="s">
        <v>464</v>
      </c>
      <c r="L483" s="14" t="s">
        <v>4071</v>
      </c>
      <c r="M483" s="14" t="s">
        <v>4078</v>
      </c>
      <c r="N483" s="14" t="s">
        <v>70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2" t="n">
        <f aca="false">AB483*(1+$L$3)</f>
        <v>0</v>
      </c>
      <c r="AD483" s="20"/>
      <c r="AE483" s="23" t="n">
        <f aca="false">AC483-AD483</f>
        <v>0</v>
      </c>
      <c r="AF483" s="21" t="str">
        <f aca="false">IFERROR(AD483/AC483,"")</f>
        <v/>
      </c>
    </row>
    <row r="484" customFormat="false" ht="15" hidden="false" customHeight="true" outlineLevel="0" collapsed="false">
      <c r="A484" s="14" t="n">
        <v>660210</v>
      </c>
      <c r="B484" s="14" t="n">
        <v>501218</v>
      </c>
      <c r="C484" s="14" t="s">
        <v>4079</v>
      </c>
      <c r="D484" s="14" t="s">
        <v>4080</v>
      </c>
      <c r="E484" s="14" t="s">
        <v>4081</v>
      </c>
      <c r="F484" s="14" t="s">
        <v>4082</v>
      </c>
      <c r="G484" s="14" t="s">
        <v>4083</v>
      </c>
      <c r="H484" s="14" t="s">
        <v>4084</v>
      </c>
      <c r="I484" s="14"/>
      <c r="J484" s="14" t="s">
        <v>4085</v>
      </c>
      <c r="K484" s="14" t="s">
        <v>67</v>
      </c>
      <c r="L484" s="14" t="s">
        <v>4086</v>
      </c>
      <c r="M484" s="14" t="s">
        <v>4087</v>
      </c>
      <c r="N484" s="14" t="s">
        <v>70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2" t="n">
        <f aca="false">AB484*(1+$L$3)</f>
        <v>0</v>
      </c>
      <c r="AD484" s="20"/>
      <c r="AE484" s="23" t="n">
        <f aca="false">AC484-AD484</f>
        <v>0</v>
      </c>
      <c r="AF484" s="21" t="str">
        <f aca="false">IFERROR(AD484/AC484,"")</f>
        <v/>
      </c>
    </row>
    <row r="485" customFormat="false" ht="15" hidden="false" customHeight="true" outlineLevel="0" collapsed="false">
      <c r="A485" s="14" t="n">
        <v>660033</v>
      </c>
      <c r="B485" s="14" t="n">
        <v>501037</v>
      </c>
      <c r="C485" s="14" t="s">
        <v>4088</v>
      </c>
      <c r="D485" s="14" t="s">
        <v>4089</v>
      </c>
      <c r="E485" s="14" t="s">
        <v>4090</v>
      </c>
      <c r="F485" s="14" t="s">
        <v>4091</v>
      </c>
      <c r="G485" s="14" t="s">
        <v>4092</v>
      </c>
      <c r="H485" s="14" t="s">
        <v>4093</v>
      </c>
      <c r="I485" s="14"/>
      <c r="J485" s="14" t="s">
        <v>306</v>
      </c>
      <c r="K485" s="14" t="s">
        <v>307</v>
      </c>
      <c r="L485" s="14" t="s">
        <v>4094</v>
      </c>
      <c r="M485" s="14" t="s">
        <v>4095</v>
      </c>
      <c r="N485" s="14" t="s">
        <v>70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2" t="n">
        <f aca="false">AB485*(1+$L$3)</f>
        <v>0</v>
      </c>
      <c r="AD485" s="20"/>
      <c r="AE485" s="23" t="n">
        <f aca="false">AC485-AD485</f>
        <v>0</v>
      </c>
      <c r="AF485" s="21" t="str">
        <f aca="false">IFERROR(AD485/AC485,"")</f>
        <v/>
      </c>
    </row>
    <row r="486" customFormat="false" ht="15" hidden="false" customHeight="true" outlineLevel="0" collapsed="false">
      <c r="A486" s="14" t="n">
        <v>660052</v>
      </c>
      <c r="B486" s="14" t="n">
        <v>501057</v>
      </c>
      <c r="C486" s="14" t="s">
        <v>4096</v>
      </c>
      <c r="D486" s="14" t="s">
        <v>4097</v>
      </c>
      <c r="E486" s="14" t="s">
        <v>4098</v>
      </c>
      <c r="F486" s="14" t="s">
        <v>4099</v>
      </c>
      <c r="G486" s="14" t="s">
        <v>4100</v>
      </c>
      <c r="H486" s="14" t="s">
        <v>4101</v>
      </c>
      <c r="I486" s="14"/>
      <c r="J486" s="14" t="s">
        <v>4102</v>
      </c>
      <c r="K486" s="14" t="s">
        <v>67</v>
      </c>
      <c r="L486" s="14" t="s">
        <v>4103</v>
      </c>
      <c r="M486" s="14" t="s">
        <v>4104</v>
      </c>
      <c r="N486" s="14" t="s">
        <v>70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2" t="n">
        <f aca="false">AB486*(1+$L$3)</f>
        <v>0</v>
      </c>
      <c r="AD486" s="20"/>
      <c r="AE486" s="23" t="n">
        <f aca="false">AC486-AD486</f>
        <v>0</v>
      </c>
      <c r="AF486" s="21" t="str">
        <f aca="false">IFERROR(AD486/AC486,"")</f>
        <v/>
      </c>
    </row>
    <row r="487" customFormat="false" ht="15" hidden="false" customHeight="true" outlineLevel="0" collapsed="false">
      <c r="A487" s="14"/>
      <c r="B487" s="14"/>
      <c r="C487" s="14" t="s">
        <v>4105</v>
      </c>
      <c r="D487" s="14" t="s">
        <v>4106</v>
      </c>
      <c r="E487" s="14" t="s">
        <v>1242</v>
      </c>
      <c r="F487" s="14"/>
      <c r="G487" s="14"/>
      <c r="H487" s="14" t="s">
        <v>4107</v>
      </c>
      <c r="I487" s="14"/>
      <c r="J487" s="14" t="s">
        <v>2138</v>
      </c>
      <c r="K487" s="14" t="s">
        <v>604</v>
      </c>
      <c r="L487" s="14" t="s">
        <v>2139</v>
      </c>
      <c r="M487" s="14" t="s">
        <v>3752</v>
      </c>
      <c r="N487" s="14" t="s">
        <v>70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2" t="n">
        <f aca="false">AB487*(1+$L$3)</f>
        <v>0</v>
      </c>
      <c r="AD487" s="20"/>
      <c r="AE487" s="23" t="n">
        <f aca="false">AC487-AD487</f>
        <v>0</v>
      </c>
      <c r="AF487" s="21" t="str">
        <f aca="false">IFERROR(AD487/AC487,"")</f>
        <v/>
      </c>
    </row>
    <row r="488" customFormat="false" ht="15" hidden="false" customHeight="true" outlineLevel="0" collapsed="false">
      <c r="A488" s="14" t="n">
        <v>660057</v>
      </c>
      <c r="B488" s="14" t="n">
        <v>501062</v>
      </c>
      <c r="C488" s="14" t="s">
        <v>4108</v>
      </c>
      <c r="D488" s="14" t="s">
        <v>4109</v>
      </c>
      <c r="E488" s="14" t="s">
        <v>4110</v>
      </c>
      <c r="F488" s="14" t="s">
        <v>4111</v>
      </c>
      <c r="G488" s="14" t="s">
        <v>4112</v>
      </c>
      <c r="H488" s="14" t="s">
        <v>4113</v>
      </c>
      <c r="I488" s="14"/>
      <c r="J488" s="14" t="s">
        <v>4114</v>
      </c>
      <c r="K488" s="14" t="s">
        <v>67</v>
      </c>
      <c r="L488" s="14" t="s">
        <v>4115</v>
      </c>
      <c r="M488" s="14" t="s">
        <v>4116</v>
      </c>
      <c r="N488" s="14" t="s">
        <v>70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2" t="n">
        <f aca="false">AB488*(1+$L$3)</f>
        <v>0</v>
      </c>
      <c r="AD488" s="20"/>
      <c r="AE488" s="23" t="n">
        <f aca="false">AC488-AD488</f>
        <v>0</v>
      </c>
      <c r="AF488" s="21" t="str">
        <f aca="false">IFERROR(AD488/AC488,"")</f>
        <v/>
      </c>
    </row>
    <row r="489" customFormat="false" ht="15" hidden="false" customHeight="true" outlineLevel="0" collapsed="false">
      <c r="A489" s="14" t="n">
        <v>659971</v>
      </c>
      <c r="B489" s="14" t="n">
        <v>500976</v>
      </c>
      <c r="C489" s="14" t="s">
        <v>4117</v>
      </c>
      <c r="D489" s="14" t="s">
        <v>4118</v>
      </c>
      <c r="E489" s="14" t="s">
        <v>4119</v>
      </c>
      <c r="F489" s="14" t="s">
        <v>4120</v>
      </c>
      <c r="G489" s="14" t="s">
        <v>3083</v>
      </c>
      <c r="H489" s="14" t="s">
        <v>4121</v>
      </c>
      <c r="I489" s="14" t="s">
        <v>1674</v>
      </c>
      <c r="J489" s="14" t="s">
        <v>3085</v>
      </c>
      <c r="K489" s="14" t="s">
        <v>3086</v>
      </c>
      <c r="L489" s="14" t="s">
        <v>3087</v>
      </c>
      <c r="M489" s="14" t="s">
        <v>3088</v>
      </c>
      <c r="N489" s="14" t="s">
        <v>70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2" t="n">
        <f aca="false">AB489*(1+$L$3)</f>
        <v>0</v>
      </c>
      <c r="AD489" s="20"/>
      <c r="AE489" s="23" t="n">
        <f aca="false">AC489-AD489</f>
        <v>0</v>
      </c>
      <c r="AF489" s="21" t="str">
        <f aca="false">IFERROR(AD489/AC489,"")</f>
        <v/>
      </c>
    </row>
    <row r="490" customFormat="false" ht="15" hidden="false" customHeight="true" outlineLevel="0" collapsed="false">
      <c r="A490" s="14"/>
      <c r="B490" s="14"/>
      <c r="C490" s="14" t="s">
        <v>4122</v>
      </c>
      <c r="D490" s="14" t="s">
        <v>4123</v>
      </c>
      <c r="E490" s="14" t="s">
        <v>4124</v>
      </c>
      <c r="F490" s="14"/>
      <c r="G490" s="14"/>
      <c r="H490" s="14" t="s">
        <v>3551</v>
      </c>
      <c r="I490" s="14" t="s">
        <v>159</v>
      </c>
      <c r="J490" s="14" t="s">
        <v>3068</v>
      </c>
      <c r="K490" s="14" t="s">
        <v>67</v>
      </c>
      <c r="L490" s="14" t="s">
        <v>3552</v>
      </c>
      <c r="M490" s="14" t="s">
        <v>3752</v>
      </c>
      <c r="N490" s="14" t="s">
        <v>70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2" t="n">
        <f aca="false">AB490*(1+$L$3)</f>
        <v>0</v>
      </c>
      <c r="AD490" s="20"/>
      <c r="AE490" s="23" t="n">
        <f aca="false">AC490-AD490</f>
        <v>0</v>
      </c>
      <c r="AF490" s="21" t="str">
        <f aca="false">IFERROR(AD490/AC490,"")</f>
        <v/>
      </c>
    </row>
    <row r="491" customFormat="false" ht="15" hidden="false" customHeight="true" outlineLevel="0" collapsed="false">
      <c r="A491" s="14" t="n">
        <v>659988</v>
      </c>
      <c r="B491" s="14" t="n">
        <v>500992</v>
      </c>
      <c r="C491" s="14" t="s">
        <v>4125</v>
      </c>
      <c r="D491" s="14" t="s">
        <v>4126</v>
      </c>
      <c r="E491" s="14" t="s">
        <v>4127</v>
      </c>
      <c r="F491" s="14" t="s">
        <v>4128</v>
      </c>
      <c r="G491" s="14" t="s">
        <v>4129</v>
      </c>
      <c r="H491" s="14" t="s">
        <v>4130</v>
      </c>
      <c r="I491" s="14" t="s">
        <v>4131</v>
      </c>
      <c r="J491" s="14" t="s">
        <v>4132</v>
      </c>
      <c r="K491" s="14" t="s">
        <v>67</v>
      </c>
      <c r="L491" s="14" t="s">
        <v>4133</v>
      </c>
      <c r="M491" s="14" t="s">
        <v>4134</v>
      </c>
      <c r="N491" s="14" t="s">
        <v>70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2" t="n">
        <f aca="false">AB491*(1+$L$3)</f>
        <v>0</v>
      </c>
      <c r="AD491" s="20"/>
      <c r="AE491" s="23" t="n">
        <f aca="false">AC491-AD491</f>
        <v>0</v>
      </c>
      <c r="AF491" s="21" t="str">
        <f aca="false">IFERROR(AD491/AC491,"")</f>
        <v/>
      </c>
    </row>
    <row r="492" customFormat="false" ht="15" hidden="false" customHeight="true" outlineLevel="0" collapsed="false">
      <c r="A492" s="14" t="n">
        <v>659997</v>
      </c>
      <c r="B492" s="14" t="n">
        <v>501001</v>
      </c>
      <c r="C492" s="14" t="s">
        <v>4135</v>
      </c>
      <c r="D492" s="14" t="s">
        <v>4136</v>
      </c>
      <c r="E492" s="14" t="s">
        <v>4137</v>
      </c>
      <c r="F492" s="14" t="s">
        <v>4138</v>
      </c>
      <c r="G492" s="14" t="s">
        <v>4139</v>
      </c>
      <c r="H492" s="14" t="s">
        <v>4140</v>
      </c>
      <c r="I492" s="14"/>
      <c r="J492" s="14" t="s">
        <v>4114</v>
      </c>
      <c r="K492" s="14" t="s">
        <v>67</v>
      </c>
      <c r="L492" s="14" t="s">
        <v>4141</v>
      </c>
      <c r="M492" s="14" t="s">
        <v>4142</v>
      </c>
      <c r="N492" s="14" t="s">
        <v>70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2" t="n">
        <f aca="false">AB492*(1+$L$3)</f>
        <v>0</v>
      </c>
      <c r="AD492" s="20"/>
      <c r="AE492" s="23" t="n">
        <f aca="false">AC492-AD492</f>
        <v>0</v>
      </c>
      <c r="AF492" s="21" t="str">
        <f aca="false">IFERROR(AD492/AC492,"")</f>
        <v/>
      </c>
    </row>
    <row r="493" customFormat="false" ht="15" hidden="false" customHeight="true" outlineLevel="0" collapsed="false">
      <c r="A493" s="14" t="n">
        <v>660002</v>
      </c>
      <c r="B493" s="14" t="n">
        <v>501006</v>
      </c>
      <c r="C493" s="14" t="s">
        <v>4143</v>
      </c>
      <c r="D493" s="14" t="s">
        <v>4144</v>
      </c>
      <c r="E493" s="14" t="s">
        <v>2561</v>
      </c>
      <c r="F493" s="14" t="s">
        <v>2562</v>
      </c>
      <c r="G493" s="14" t="s">
        <v>4145</v>
      </c>
      <c r="H493" s="14" t="s">
        <v>4146</v>
      </c>
      <c r="I493" s="14"/>
      <c r="J493" s="14" t="s">
        <v>4147</v>
      </c>
      <c r="K493" s="14" t="s">
        <v>1160</v>
      </c>
      <c r="L493" s="14" t="s">
        <v>4148</v>
      </c>
      <c r="M493" s="14" t="s">
        <v>4149</v>
      </c>
      <c r="N493" s="14" t="s">
        <v>70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2" t="n">
        <f aca="false">AB493*(1+$L$3)</f>
        <v>0</v>
      </c>
      <c r="AD493" s="20"/>
      <c r="AE493" s="23" t="n">
        <f aca="false">AC493-AD493</f>
        <v>0</v>
      </c>
      <c r="AF493" s="21" t="str">
        <f aca="false">IFERROR(AD493/AC493,"")</f>
        <v/>
      </c>
    </row>
    <row r="494" customFormat="false" ht="15" hidden="false" customHeight="true" outlineLevel="0" collapsed="false">
      <c r="A494" s="14" t="n">
        <v>659977</v>
      </c>
      <c r="B494" s="14" t="n">
        <v>500983</v>
      </c>
      <c r="C494" s="14" t="s">
        <v>4150</v>
      </c>
      <c r="D494" s="14" t="s">
        <v>4151</v>
      </c>
      <c r="E494" s="14" t="s">
        <v>4152</v>
      </c>
      <c r="F494" s="14" t="s">
        <v>4153</v>
      </c>
      <c r="G494" s="14" t="s">
        <v>4154</v>
      </c>
      <c r="H494" s="14" t="s">
        <v>4155</v>
      </c>
      <c r="I494" s="14"/>
      <c r="J494" s="14" t="s">
        <v>4156</v>
      </c>
      <c r="K494" s="14" t="s">
        <v>604</v>
      </c>
      <c r="L494" s="14" t="s">
        <v>4157</v>
      </c>
      <c r="M494" s="14" t="s">
        <v>4158</v>
      </c>
      <c r="N494" s="14" t="s">
        <v>70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2" t="n">
        <f aca="false">AB494*(1+$L$3)</f>
        <v>0</v>
      </c>
      <c r="AD494" s="20"/>
      <c r="AE494" s="23" t="n">
        <f aca="false">AC494-AD494</f>
        <v>0</v>
      </c>
      <c r="AF494" s="21" t="str">
        <f aca="false">IFERROR(AD494/AC494,"")</f>
        <v/>
      </c>
    </row>
    <row r="495" customFormat="false" ht="15" hidden="false" customHeight="true" outlineLevel="0" collapsed="false">
      <c r="A495" s="14"/>
      <c r="B495" s="14"/>
      <c r="C495" s="14" t="s">
        <v>4159</v>
      </c>
      <c r="D495" s="14" t="s">
        <v>4160</v>
      </c>
      <c r="E495" s="14" t="s">
        <v>4161</v>
      </c>
      <c r="F495" s="14"/>
      <c r="G495" s="14"/>
      <c r="H495" s="14" t="s">
        <v>4162</v>
      </c>
      <c r="I495" s="14"/>
      <c r="J495" s="14" t="s">
        <v>4163</v>
      </c>
      <c r="K495" s="14" t="s">
        <v>981</v>
      </c>
      <c r="L495" s="14" t="s">
        <v>4164</v>
      </c>
      <c r="M495" s="14" t="s">
        <v>3752</v>
      </c>
      <c r="N495" s="14" t="s">
        <v>70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2" t="n">
        <f aca="false">AB495*(1+$L$3)</f>
        <v>0</v>
      </c>
      <c r="AD495" s="20"/>
      <c r="AE495" s="23" t="n">
        <f aca="false">AC495-AD495</f>
        <v>0</v>
      </c>
      <c r="AF495" s="21" t="str">
        <f aca="false">IFERROR(AD495/AC495,"")</f>
        <v/>
      </c>
    </row>
    <row r="496" customFormat="false" ht="15" hidden="false" customHeight="true" outlineLevel="0" collapsed="false">
      <c r="A496" s="14"/>
      <c r="B496" s="14"/>
      <c r="C496" s="14" t="s">
        <v>4165</v>
      </c>
      <c r="D496" s="14" t="s">
        <v>4166</v>
      </c>
      <c r="E496" s="14" t="s">
        <v>4167</v>
      </c>
      <c r="F496" s="14"/>
      <c r="G496" s="14"/>
      <c r="H496" s="14" t="s">
        <v>4168</v>
      </c>
      <c r="I496" s="14"/>
      <c r="J496" s="14" t="s">
        <v>4169</v>
      </c>
      <c r="K496" s="14" t="s">
        <v>67</v>
      </c>
      <c r="L496" s="14" t="s">
        <v>4170</v>
      </c>
      <c r="M496" s="14" t="s">
        <v>3752</v>
      </c>
      <c r="N496" s="14" t="s">
        <v>70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2" t="n">
        <f aca="false">AB496*(1+$L$3)</f>
        <v>0</v>
      </c>
      <c r="AD496" s="20"/>
      <c r="AE496" s="23" t="n">
        <f aca="false">AC496-AD496</f>
        <v>0</v>
      </c>
      <c r="AF496" s="21" t="str">
        <f aca="false">IFERROR(AD496/AC496,"")</f>
        <v/>
      </c>
    </row>
    <row r="497" customFormat="false" ht="15" hidden="false" customHeight="true" outlineLevel="0" collapsed="false">
      <c r="A497" s="14"/>
      <c r="B497" s="14"/>
      <c r="C497" s="14" t="s">
        <v>4171</v>
      </c>
      <c r="D497" s="14" t="s">
        <v>4172</v>
      </c>
      <c r="E497" s="14" t="s">
        <v>4173</v>
      </c>
      <c r="F497" s="14"/>
      <c r="G497" s="14"/>
      <c r="H497" s="14" t="s">
        <v>4174</v>
      </c>
      <c r="I497" s="14" t="s">
        <v>1943</v>
      </c>
      <c r="J497" s="14" t="s">
        <v>4175</v>
      </c>
      <c r="K497" s="14" t="s">
        <v>67</v>
      </c>
      <c r="L497" s="14" t="s">
        <v>4176</v>
      </c>
      <c r="M497" s="14" t="s">
        <v>3752</v>
      </c>
      <c r="N497" s="14" t="s">
        <v>70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2" t="n">
        <f aca="false">AB497*(1+$L$3)</f>
        <v>0</v>
      </c>
      <c r="AD497" s="20"/>
      <c r="AE497" s="23" t="n">
        <f aca="false">AC497-AD497</f>
        <v>0</v>
      </c>
      <c r="AF497" s="21" t="str">
        <f aca="false">IFERROR(AD497/AC497,"")</f>
        <v/>
      </c>
    </row>
    <row r="498" customFormat="false" ht="15" hidden="false" customHeight="true" outlineLevel="0" collapsed="false">
      <c r="A498" s="14" t="n">
        <v>659949</v>
      </c>
      <c r="B498" s="14" t="n">
        <v>500954</v>
      </c>
      <c r="C498" s="14" t="s">
        <v>4177</v>
      </c>
      <c r="D498" s="14" t="s">
        <v>4178</v>
      </c>
      <c r="E498" s="14" t="s">
        <v>4179</v>
      </c>
      <c r="F498" s="14" t="s">
        <v>4180</v>
      </c>
      <c r="G498" s="14" t="s">
        <v>4181</v>
      </c>
      <c r="H498" s="14" t="s">
        <v>4182</v>
      </c>
      <c r="I498" s="14" t="s">
        <v>4183</v>
      </c>
      <c r="J498" s="14" t="s">
        <v>4184</v>
      </c>
      <c r="K498" s="14" t="s">
        <v>1900</v>
      </c>
      <c r="L498" s="14" t="s">
        <v>4185</v>
      </c>
      <c r="M498" s="14" t="s">
        <v>4186</v>
      </c>
      <c r="N498" s="14" t="s">
        <v>70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2" t="n">
        <f aca="false">AB498*(1+$L$3)</f>
        <v>0</v>
      </c>
      <c r="AD498" s="20"/>
      <c r="AE498" s="23" t="n">
        <f aca="false">AC498-AD498</f>
        <v>0</v>
      </c>
      <c r="AF498" s="21" t="str">
        <f aca="false">IFERROR(AD498/AC498,"")</f>
        <v/>
      </c>
    </row>
    <row r="499" customFormat="false" ht="15" hidden="false" customHeight="true" outlineLevel="0" collapsed="false">
      <c r="A499" s="14"/>
      <c r="B499" s="14"/>
      <c r="C499" s="14" t="s">
        <v>4187</v>
      </c>
      <c r="D499" s="14" t="s">
        <v>4188</v>
      </c>
      <c r="E499" s="14" t="s">
        <v>4189</v>
      </c>
      <c r="F499" s="14"/>
      <c r="G499" s="14"/>
      <c r="H499" s="14" t="s">
        <v>3084</v>
      </c>
      <c r="I499" s="14" t="s">
        <v>1034</v>
      </c>
      <c r="J499" s="14" t="s">
        <v>3085</v>
      </c>
      <c r="K499" s="14" t="s">
        <v>3086</v>
      </c>
      <c r="L499" s="14" t="s">
        <v>3087</v>
      </c>
      <c r="M499" s="14" t="s">
        <v>3752</v>
      </c>
      <c r="N499" s="14" t="s">
        <v>70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2" t="n">
        <f aca="false">AB499*(1+$L$3)</f>
        <v>0</v>
      </c>
      <c r="AD499" s="20"/>
      <c r="AE499" s="23" t="n">
        <f aca="false">AC499-AD499</f>
        <v>0</v>
      </c>
      <c r="AF499" s="21" t="str">
        <f aca="false">IFERROR(AD499/AC499,"")</f>
        <v/>
      </c>
    </row>
    <row r="500" customFormat="false" ht="15" hidden="false" customHeight="true" outlineLevel="0" collapsed="false">
      <c r="A500" s="14" t="n">
        <v>659872</v>
      </c>
      <c r="B500" s="14" t="n">
        <v>500878</v>
      </c>
      <c r="C500" s="14" t="s">
        <v>4190</v>
      </c>
      <c r="D500" s="14" t="s">
        <v>4191</v>
      </c>
      <c r="E500" s="14" t="s">
        <v>4192</v>
      </c>
      <c r="F500" s="14" t="s">
        <v>4193</v>
      </c>
      <c r="G500" s="14" t="s">
        <v>4194</v>
      </c>
      <c r="H500" s="14" t="s">
        <v>4195</v>
      </c>
      <c r="I500" s="14" t="s">
        <v>4196</v>
      </c>
      <c r="J500" s="14" t="s">
        <v>4197</v>
      </c>
      <c r="K500" s="14" t="s">
        <v>604</v>
      </c>
      <c r="L500" s="14" t="s">
        <v>1762</v>
      </c>
      <c r="M500" s="14" t="s">
        <v>4198</v>
      </c>
      <c r="N500" s="14" t="s">
        <v>70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2" t="n">
        <f aca="false">AB500*(1+$L$3)</f>
        <v>0</v>
      </c>
      <c r="AD500" s="20"/>
      <c r="AE500" s="23" t="n">
        <f aca="false">AC500-AD500</f>
        <v>0</v>
      </c>
      <c r="AF500" s="21" t="str">
        <f aca="false">IFERROR(AD500/AC500,"")</f>
        <v/>
      </c>
    </row>
    <row r="501" customFormat="false" ht="15" hidden="false" customHeight="true" outlineLevel="0" collapsed="false">
      <c r="A501" s="14"/>
      <c r="B501" s="14"/>
      <c r="C501" s="14" t="s">
        <v>4199</v>
      </c>
      <c r="D501" s="14" t="s">
        <v>4200</v>
      </c>
      <c r="E501" s="14" t="s">
        <v>4201</v>
      </c>
      <c r="F501" s="14"/>
      <c r="G501" s="14"/>
      <c r="H501" s="14" t="s">
        <v>4202</v>
      </c>
      <c r="I501" s="14"/>
      <c r="J501" s="14" t="s">
        <v>306</v>
      </c>
      <c r="K501" s="14" t="s">
        <v>307</v>
      </c>
      <c r="L501" s="14" t="s">
        <v>3460</v>
      </c>
      <c r="M501" s="14" t="s">
        <v>3752</v>
      </c>
      <c r="N501" s="14" t="s">
        <v>70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2" t="n">
        <f aca="false">AB501*(1+$L$3)</f>
        <v>0</v>
      </c>
      <c r="AD501" s="20"/>
      <c r="AE501" s="23" t="n">
        <f aca="false">AC501-AD501</f>
        <v>0</v>
      </c>
      <c r="AF501" s="21" t="str">
        <f aca="false">IFERROR(AD501/AC501,"")</f>
        <v/>
      </c>
    </row>
    <row r="502" customFormat="false" ht="15" hidden="false" customHeight="true" outlineLevel="0" collapsed="false">
      <c r="A502" s="14" t="n">
        <v>659936</v>
      </c>
      <c r="B502" s="14" t="n">
        <v>500941</v>
      </c>
      <c r="C502" s="14" t="s">
        <v>4203</v>
      </c>
      <c r="D502" s="14" t="s">
        <v>4204</v>
      </c>
      <c r="E502" s="14" t="s">
        <v>4205</v>
      </c>
      <c r="F502" s="14" t="s">
        <v>4206</v>
      </c>
      <c r="G502" s="14" t="s">
        <v>4207</v>
      </c>
      <c r="H502" s="14" t="s">
        <v>4208</v>
      </c>
      <c r="I502" s="14" t="s">
        <v>65</v>
      </c>
      <c r="J502" s="14" t="s">
        <v>306</v>
      </c>
      <c r="K502" s="14" t="s">
        <v>307</v>
      </c>
      <c r="L502" s="14" t="s">
        <v>4209</v>
      </c>
      <c r="M502" s="14" t="s">
        <v>4210</v>
      </c>
      <c r="N502" s="14" t="s">
        <v>70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2" t="n">
        <f aca="false">AB502*(1+$L$3)</f>
        <v>0</v>
      </c>
      <c r="AD502" s="20"/>
      <c r="AE502" s="23" t="n">
        <f aca="false">AC502-AD502</f>
        <v>0</v>
      </c>
      <c r="AF502" s="21" t="str">
        <f aca="false">IFERROR(AD502/AC502,"")</f>
        <v/>
      </c>
    </row>
    <row r="503" customFormat="false" ht="15" hidden="false" customHeight="true" outlineLevel="0" collapsed="false">
      <c r="A503" s="14"/>
      <c r="B503" s="14"/>
      <c r="C503" s="14" t="s">
        <v>4211</v>
      </c>
      <c r="D503" s="14" t="s">
        <v>4212</v>
      </c>
      <c r="E503" s="14" t="s">
        <v>4213</v>
      </c>
      <c r="F503" s="14"/>
      <c r="G503" s="14"/>
      <c r="H503" s="14" t="s">
        <v>4214</v>
      </c>
      <c r="I503" s="14" t="s">
        <v>955</v>
      </c>
      <c r="J503" s="14" t="s">
        <v>4215</v>
      </c>
      <c r="K503" s="14" t="s">
        <v>307</v>
      </c>
      <c r="L503" s="14" t="s">
        <v>4216</v>
      </c>
      <c r="M503" s="14" t="s">
        <v>3752</v>
      </c>
      <c r="N503" s="14" t="s">
        <v>70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2" t="n">
        <f aca="false">AB503*(1+$L$3)</f>
        <v>0</v>
      </c>
      <c r="AD503" s="20"/>
      <c r="AE503" s="23" t="n">
        <f aca="false">AC503-AD503</f>
        <v>0</v>
      </c>
      <c r="AF503" s="21" t="str">
        <f aca="false">IFERROR(AD503/AC503,"")</f>
        <v/>
      </c>
    </row>
    <row r="504" customFormat="false" ht="15" hidden="false" customHeight="true" outlineLevel="0" collapsed="false">
      <c r="A504" s="14" t="n">
        <v>659836</v>
      </c>
      <c r="B504" s="14" t="n">
        <v>500842</v>
      </c>
      <c r="C504" s="14" t="s">
        <v>4217</v>
      </c>
      <c r="D504" s="14" t="s">
        <v>4218</v>
      </c>
      <c r="E504" s="14" t="s">
        <v>4219</v>
      </c>
      <c r="F504" s="14" t="s">
        <v>4220</v>
      </c>
      <c r="G504" s="14" t="s">
        <v>4221</v>
      </c>
      <c r="H504" s="14" t="s">
        <v>4222</v>
      </c>
      <c r="I504" s="14"/>
      <c r="J504" s="14" t="s">
        <v>4223</v>
      </c>
      <c r="K504" s="14" t="s">
        <v>464</v>
      </c>
      <c r="L504" s="14" t="s">
        <v>4224</v>
      </c>
      <c r="M504" s="14" t="s">
        <v>4225</v>
      </c>
      <c r="N504" s="14" t="s">
        <v>70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2" t="n">
        <f aca="false">AB504*(1+$L$3)</f>
        <v>0</v>
      </c>
      <c r="AD504" s="20"/>
      <c r="AE504" s="23" t="n">
        <f aca="false">AC504-AD504</f>
        <v>0</v>
      </c>
      <c r="AF504" s="21" t="str">
        <f aca="false">IFERROR(AD504/AC504,"")</f>
        <v/>
      </c>
    </row>
    <row r="505" customFormat="false" ht="15" hidden="false" customHeight="true" outlineLevel="0" collapsed="false">
      <c r="A505" s="14" t="n">
        <v>235478</v>
      </c>
      <c r="B505" s="14" t="n">
        <v>233324</v>
      </c>
      <c r="C505" s="14" t="s">
        <v>4226</v>
      </c>
      <c r="D505" s="14" t="s">
        <v>4227</v>
      </c>
      <c r="E505" s="14" t="s">
        <v>4228</v>
      </c>
      <c r="F505" s="14" t="s">
        <v>4229</v>
      </c>
      <c r="G505" s="14" t="s">
        <v>4230</v>
      </c>
      <c r="H505" s="14" t="s">
        <v>4231</v>
      </c>
      <c r="I505" s="14"/>
      <c r="J505" s="14" t="s">
        <v>4232</v>
      </c>
      <c r="K505" s="14" t="s">
        <v>1715</v>
      </c>
      <c r="L505" s="14" t="s">
        <v>4233</v>
      </c>
      <c r="M505" s="14" t="s">
        <v>4234</v>
      </c>
      <c r="N505" s="14" t="s">
        <v>70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2" t="n">
        <f aca="false">AB505*(1+$L$3)</f>
        <v>0</v>
      </c>
      <c r="AD505" s="20"/>
      <c r="AE505" s="23" t="n">
        <f aca="false">AC505-AD505</f>
        <v>0</v>
      </c>
      <c r="AF505" s="21" t="str">
        <f aca="false">IFERROR(AD505/AC505,"")</f>
        <v/>
      </c>
    </row>
    <row r="506" customFormat="false" ht="15" hidden="false" customHeight="true" outlineLevel="0" collapsed="false">
      <c r="A506" s="14" t="n">
        <v>659591</v>
      </c>
      <c r="B506" s="14" t="n">
        <v>500597</v>
      </c>
      <c r="C506" s="14" t="s">
        <v>4235</v>
      </c>
      <c r="D506" s="14" t="s">
        <v>4236</v>
      </c>
      <c r="E506" s="14" t="s">
        <v>4237</v>
      </c>
      <c r="F506" s="14" t="s">
        <v>4238</v>
      </c>
      <c r="G506" s="14" t="s">
        <v>4239</v>
      </c>
      <c r="H506" s="14" t="s">
        <v>4240</v>
      </c>
      <c r="I506" s="14"/>
      <c r="J506" s="14" t="s">
        <v>556</v>
      </c>
      <c r="K506" s="14" t="s">
        <v>557</v>
      </c>
      <c r="L506" s="14" t="s">
        <v>4241</v>
      </c>
      <c r="M506" s="14" t="s">
        <v>4242</v>
      </c>
      <c r="N506" s="14" t="s">
        <v>70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2" t="n">
        <f aca="false">AB506*(1+$L$3)</f>
        <v>0</v>
      </c>
      <c r="AD506" s="20"/>
      <c r="AE506" s="23" t="n">
        <f aca="false">AC506-AD506</f>
        <v>0</v>
      </c>
      <c r="AF506" s="21" t="str">
        <f aca="false">IFERROR(AD506/AC506,"")</f>
        <v/>
      </c>
    </row>
    <row r="507" customFormat="false" ht="15" hidden="false" customHeight="true" outlineLevel="0" collapsed="false">
      <c r="A507" s="14" t="n">
        <v>659593</v>
      </c>
      <c r="B507" s="14" t="n">
        <v>500599</v>
      </c>
      <c r="C507" s="14" t="s">
        <v>4243</v>
      </c>
      <c r="D507" s="14" t="s">
        <v>4244</v>
      </c>
      <c r="E507" s="14" t="s">
        <v>4245</v>
      </c>
      <c r="F507" s="14" t="s">
        <v>4246</v>
      </c>
      <c r="G507" s="14" t="s">
        <v>4247</v>
      </c>
      <c r="H507" s="14" t="s">
        <v>4248</v>
      </c>
      <c r="I507" s="14"/>
      <c r="J507" s="14" t="s">
        <v>4249</v>
      </c>
      <c r="K507" s="14" t="s">
        <v>67</v>
      </c>
      <c r="L507" s="14" t="s">
        <v>4250</v>
      </c>
      <c r="M507" s="14" t="s">
        <v>4251</v>
      </c>
      <c r="N507" s="14" t="s">
        <v>70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2" t="n">
        <f aca="false">AB507*(1+$L$3)</f>
        <v>0</v>
      </c>
      <c r="AD507" s="20"/>
      <c r="AE507" s="23" t="n">
        <f aca="false">AC507-AD507</f>
        <v>0</v>
      </c>
      <c r="AF507" s="21" t="str">
        <f aca="false">IFERROR(AD507/AC507,"")</f>
        <v/>
      </c>
    </row>
    <row r="508" customFormat="false" ht="15" hidden="false" customHeight="true" outlineLevel="0" collapsed="false">
      <c r="A508" s="14" t="n">
        <v>659540</v>
      </c>
      <c r="B508" s="14" t="n">
        <v>500546</v>
      </c>
      <c r="C508" s="14" t="s">
        <v>4252</v>
      </c>
      <c r="D508" s="14" t="s">
        <v>4253</v>
      </c>
      <c r="E508" s="14" t="s">
        <v>4254</v>
      </c>
      <c r="F508" s="14" t="s">
        <v>4255</v>
      </c>
      <c r="G508" s="14" t="s">
        <v>4256</v>
      </c>
      <c r="H508" s="14" t="s">
        <v>4257</v>
      </c>
      <c r="I508" s="14" t="s">
        <v>4258</v>
      </c>
      <c r="J508" s="14" t="s">
        <v>4259</v>
      </c>
      <c r="K508" s="14" t="s">
        <v>67</v>
      </c>
      <c r="L508" s="14" t="s">
        <v>4260</v>
      </c>
      <c r="M508" s="14" t="s">
        <v>4261</v>
      </c>
      <c r="N508" s="14" t="s">
        <v>70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2" t="n">
        <f aca="false">AB508*(1+$L$3)</f>
        <v>0</v>
      </c>
      <c r="AD508" s="20"/>
      <c r="AE508" s="23" t="n">
        <f aca="false">AC508-AD508</f>
        <v>0</v>
      </c>
      <c r="AF508" s="21" t="str">
        <f aca="false">IFERROR(AD508/AC508,"")</f>
        <v/>
      </c>
    </row>
    <row r="509" customFormat="false" ht="15" hidden="false" customHeight="true" outlineLevel="0" collapsed="false">
      <c r="A509" s="14" t="n">
        <v>660237</v>
      </c>
      <c r="B509" s="14" t="n">
        <v>501245</v>
      </c>
      <c r="C509" s="14" t="s">
        <v>4262</v>
      </c>
      <c r="D509" s="14" t="s">
        <v>4263</v>
      </c>
      <c r="E509" s="14" t="s">
        <v>4264</v>
      </c>
      <c r="F509" s="14" t="s">
        <v>4265</v>
      </c>
      <c r="G509" s="14" t="s">
        <v>4266</v>
      </c>
      <c r="H509" s="14" t="s">
        <v>4267</v>
      </c>
      <c r="I509" s="14"/>
      <c r="J509" s="14" t="s">
        <v>306</v>
      </c>
      <c r="K509" s="14" t="s">
        <v>307</v>
      </c>
      <c r="L509" s="14" t="s">
        <v>4268</v>
      </c>
      <c r="M509" s="14" t="s">
        <v>4269</v>
      </c>
      <c r="N509" s="14" t="s">
        <v>70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2" t="n">
        <f aca="false">AB509*(1+$L$3)</f>
        <v>0</v>
      </c>
      <c r="AD509" s="20"/>
      <c r="AE509" s="23" t="n">
        <f aca="false">AC509-AD509</f>
        <v>0</v>
      </c>
      <c r="AF509" s="21" t="str">
        <f aca="false">IFERROR(AD509/AC509,"")</f>
        <v/>
      </c>
    </row>
    <row r="510" customFormat="false" ht="15" hidden="false" customHeight="true" outlineLevel="0" collapsed="false">
      <c r="A510" s="14" t="n">
        <v>659553</v>
      </c>
      <c r="B510" s="14" t="n">
        <v>500559</v>
      </c>
      <c r="C510" s="14" t="s">
        <v>4270</v>
      </c>
      <c r="D510" s="14" t="s">
        <v>4271</v>
      </c>
      <c r="E510" s="14" t="s">
        <v>4272</v>
      </c>
      <c r="F510" s="14" t="s">
        <v>4273</v>
      </c>
      <c r="G510" s="14" t="s">
        <v>4274</v>
      </c>
      <c r="H510" s="14" t="s">
        <v>4275</v>
      </c>
      <c r="I510" s="14"/>
      <c r="J510" s="14" t="s">
        <v>4276</v>
      </c>
      <c r="K510" s="14" t="s">
        <v>932</v>
      </c>
      <c r="L510" s="14" t="s">
        <v>4277</v>
      </c>
      <c r="M510" s="14" t="s">
        <v>4278</v>
      </c>
      <c r="N510" s="14" t="s">
        <v>70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2" t="n">
        <f aca="false">AB510*(1+$L$3)</f>
        <v>0</v>
      </c>
      <c r="AD510" s="20"/>
      <c r="AE510" s="23" t="n">
        <f aca="false">AC510-AD510</f>
        <v>0</v>
      </c>
      <c r="AF510" s="21" t="str">
        <f aca="false">IFERROR(AD510/AC510,"")</f>
        <v/>
      </c>
    </row>
    <row r="511" customFormat="false" ht="15" hidden="false" customHeight="true" outlineLevel="0" collapsed="false">
      <c r="A511" s="14" t="n">
        <v>659557</v>
      </c>
      <c r="B511" s="14" t="n">
        <v>500563</v>
      </c>
      <c r="C511" s="14" t="s">
        <v>4279</v>
      </c>
      <c r="D511" s="14" t="s">
        <v>4280</v>
      </c>
      <c r="E511" s="14" t="s">
        <v>4281</v>
      </c>
      <c r="F511" s="14" t="s">
        <v>4282</v>
      </c>
      <c r="G511" s="14" t="s">
        <v>4283</v>
      </c>
      <c r="H511" s="14" t="s">
        <v>4284</v>
      </c>
      <c r="I511" s="14"/>
      <c r="J511" s="14" t="s">
        <v>306</v>
      </c>
      <c r="K511" s="14" t="s">
        <v>307</v>
      </c>
      <c r="L511" s="14" t="s">
        <v>4285</v>
      </c>
      <c r="M511" s="14" t="s">
        <v>4286</v>
      </c>
      <c r="N511" s="14" t="s">
        <v>70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2" t="n">
        <f aca="false">AB511*(1+$L$3)</f>
        <v>0</v>
      </c>
      <c r="AD511" s="20"/>
      <c r="AE511" s="23" t="n">
        <f aca="false">AC511-AD511</f>
        <v>0</v>
      </c>
      <c r="AF511" s="21" t="str">
        <f aca="false">IFERROR(AD511/AC511,"")</f>
        <v/>
      </c>
    </row>
    <row r="512" customFormat="false" ht="15" hidden="false" customHeight="true" outlineLevel="0" collapsed="false">
      <c r="A512" s="14" t="n">
        <v>659543</v>
      </c>
      <c r="B512" s="14" t="n">
        <v>500549</v>
      </c>
      <c r="C512" s="14" t="s">
        <v>4287</v>
      </c>
      <c r="D512" s="14" t="s">
        <v>4288</v>
      </c>
      <c r="E512" s="14" t="s">
        <v>4289</v>
      </c>
      <c r="F512" s="14" t="s">
        <v>4290</v>
      </c>
      <c r="G512" s="14" t="s">
        <v>4291</v>
      </c>
      <c r="H512" s="14" t="s">
        <v>4292</v>
      </c>
      <c r="I512" s="14"/>
      <c r="J512" s="14" t="s">
        <v>4259</v>
      </c>
      <c r="K512" s="14" t="s">
        <v>67</v>
      </c>
      <c r="L512" s="14" t="s">
        <v>4260</v>
      </c>
      <c r="M512" s="14" t="s">
        <v>4293</v>
      </c>
      <c r="N512" s="14" t="s">
        <v>70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2" t="n">
        <f aca="false">AB512*(1+$L$3)</f>
        <v>0</v>
      </c>
      <c r="AD512" s="20"/>
      <c r="AE512" s="23" t="n">
        <f aca="false">AC512-AD512</f>
        <v>0</v>
      </c>
      <c r="AF512" s="21" t="str">
        <f aca="false">IFERROR(AD512/AC512,"")</f>
        <v/>
      </c>
    </row>
    <row r="513" customFormat="false" ht="15" hidden="false" customHeight="true" outlineLevel="0" collapsed="false">
      <c r="A513" s="14" t="n">
        <v>659522</v>
      </c>
      <c r="B513" s="14" t="n">
        <v>500528</v>
      </c>
      <c r="C513" s="14" t="s">
        <v>4294</v>
      </c>
      <c r="D513" s="14" t="s">
        <v>4295</v>
      </c>
      <c r="E513" s="14" t="s">
        <v>4296</v>
      </c>
      <c r="F513" s="14" t="s">
        <v>4297</v>
      </c>
      <c r="G513" s="14" t="s">
        <v>4298</v>
      </c>
      <c r="H513" s="14" t="s">
        <v>4299</v>
      </c>
      <c r="I513" s="14"/>
      <c r="J513" s="14" t="s">
        <v>556</v>
      </c>
      <c r="K513" s="14" t="s">
        <v>557</v>
      </c>
      <c r="L513" s="14" t="s">
        <v>1960</v>
      </c>
      <c r="M513" s="14" t="s">
        <v>4300</v>
      </c>
      <c r="N513" s="14" t="s">
        <v>70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2" t="n">
        <f aca="false">AB513*(1+$L$3)</f>
        <v>0</v>
      </c>
      <c r="AD513" s="20"/>
      <c r="AE513" s="23" t="n">
        <f aca="false">AC513-AD513</f>
        <v>0</v>
      </c>
      <c r="AF513" s="21" t="str">
        <f aca="false">IFERROR(AD513/AC513,"")</f>
        <v/>
      </c>
    </row>
    <row r="514" customFormat="false" ht="15" hidden="false" customHeight="true" outlineLevel="0" collapsed="false">
      <c r="A514" s="14" t="n">
        <v>659457</v>
      </c>
      <c r="B514" s="14" t="n">
        <v>500460</v>
      </c>
      <c r="C514" s="14" t="s">
        <v>4301</v>
      </c>
      <c r="D514" s="14" t="s">
        <v>4302</v>
      </c>
      <c r="E514" s="14" t="s">
        <v>4303</v>
      </c>
      <c r="F514" s="14" t="s">
        <v>4304</v>
      </c>
      <c r="G514" s="14" t="s">
        <v>4305</v>
      </c>
      <c r="H514" s="14" t="s">
        <v>4306</v>
      </c>
      <c r="I514" s="14" t="s">
        <v>4307</v>
      </c>
      <c r="J514" s="14" t="s">
        <v>4308</v>
      </c>
      <c r="K514" s="14" t="s">
        <v>67</v>
      </c>
      <c r="L514" s="14" t="s">
        <v>4309</v>
      </c>
      <c r="M514" s="14" t="s">
        <v>4310</v>
      </c>
      <c r="N514" s="14" t="s">
        <v>70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2" t="n">
        <f aca="false">AB514*(1+$L$3)</f>
        <v>0</v>
      </c>
      <c r="AD514" s="20"/>
      <c r="AE514" s="23" t="n">
        <f aca="false">AC514-AD514</f>
        <v>0</v>
      </c>
      <c r="AF514" s="21" t="str">
        <f aca="false">IFERROR(AD514/AC514,"")</f>
        <v/>
      </c>
    </row>
    <row r="515" customFormat="false" ht="15" hidden="false" customHeight="true" outlineLevel="0" collapsed="false">
      <c r="A515" s="14" t="n">
        <v>659503</v>
      </c>
      <c r="B515" s="14" t="n">
        <v>500508</v>
      </c>
      <c r="C515" s="14" t="s">
        <v>4311</v>
      </c>
      <c r="D515" s="14" t="s">
        <v>4312</v>
      </c>
      <c r="E515" s="14" t="s">
        <v>4313</v>
      </c>
      <c r="F515" s="14" t="s">
        <v>4314</v>
      </c>
      <c r="G515" s="14" t="s">
        <v>4315</v>
      </c>
      <c r="H515" s="14" t="s">
        <v>4316</v>
      </c>
      <c r="I515" s="14"/>
      <c r="J515" s="14" t="s">
        <v>4317</v>
      </c>
      <c r="K515" s="14" t="s">
        <v>464</v>
      </c>
      <c r="L515" s="14" t="s">
        <v>4318</v>
      </c>
      <c r="M515" s="14" t="s">
        <v>4319</v>
      </c>
      <c r="N515" s="14" t="s">
        <v>70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2" t="n">
        <f aca="false">AB515*(1+$L$3)</f>
        <v>0</v>
      </c>
      <c r="AD515" s="20"/>
      <c r="AE515" s="23" t="n">
        <f aca="false">AC515-AD515</f>
        <v>0</v>
      </c>
      <c r="AF515" s="21" t="str">
        <f aca="false">IFERROR(AD515/AC515,"")</f>
        <v/>
      </c>
    </row>
    <row r="516" customFormat="false" ht="15" hidden="false" customHeight="true" outlineLevel="0" collapsed="false">
      <c r="A516" s="14" t="n">
        <v>659490</v>
      </c>
      <c r="B516" s="14" t="n">
        <v>500493</v>
      </c>
      <c r="C516" s="14" t="s">
        <v>4320</v>
      </c>
      <c r="D516" s="14" t="s">
        <v>4321</v>
      </c>
      <c r="E516" s="14" t="s">
        <v>4322</v>
      </c>
      <c r="F516" s="14" t="s">
        <v>4323</v>
      </c>
      <c r="G516" s="14" t="s">
        <v>4324</v>
      </c>
      <c r="H516" s="14" t="s">
        <v>4325</v>
      </c>
      <c r="I516" s="14" t="s">
        <v>4326</v>
      </c>
      <c r="J516" s="14" t="s">
        <v>3120</v>
      </c>
      <c r="K516" s="14" t="s">
        <v>67</v>
      </c>
      <c r="L516" s="14" t="s">
        <v>1977</v>
      </c>
      <c r="M516" s="14" t="s">
        <v>4327</v>
      </c>
      <c r="N516" s="14" t="s">
        <v>70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2" t="n">
        <f aca="false">AB516*(1+$L$3)</f>
        <v>0</v>
      </c>
      <c r="AD516" s="20"/>
      <c r="AE516" s="23" t="n">
        <f aca="false">AC516-AD516</f>
        <v>0</v>
      </c>
      <c r="AF516" s="21" t="str">
        <f aca="false">IFERROR(AD516/AC516,"")</f>
        <v/>
      </c>
    </row>
    <row r="517" customFormat="false" ht="15" hidden="false" customHeight="true" outlineLevel="0" collapsed="false">
      <c r="A517" s="14"/>
      <c r="B517" s="14"/>
      <c r="C517" s="14" t="s">
        <v>4328</v>
      </c>
      <c r="D517" s="14" t="s">
        <v>4329</v>
      </c>
      <c r="E517" s="14" t="s">
        <v>4330</v>
      </c>
      <c r="F517" s="14"/>
      <c r="G517" s="14"/>
      <c r="H517" s="14" t="s">
        <v>4331</v>
      </c>
      <c r="I517" s="14"/>
      <c r="J517" s="14" t="s">
        <v>77</v>
      </c>
      <c r="K517" s="14" t="s">
        <v>48</v>
      </c>
      <c r="L517" s="14" t="s">
        <v>86</v>
      </c>
      <c r="M517" s="14" t="s">
        <v>3752</v>
      </c>
      <c r="N517" s="14" t="s">
        <v>51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2" t="n">
        <f aca="false">AB517*(1+$L$3)</f>
        <v>0</v>
      </c>
      <c r="AD517" s="20"/>
      <c r="AE517" s="23" t="n">
        <f aca="false">AC517-AD517</f>
        <v>0</v>
      </c>
      <c r="AF517" s="21" t="str">
        <f aca="false">IFERROR(AD517/AC517,"")</f>
        <v/>
      </c>
    </row>
    <row r="518" customFormat="false" ht="15" hidden="false" customHeight="true" outlineLevel="0" collapsed="false">
      <c r="A518" s="14" t="n">
        <v>659474</v>
      </c>
      <c r="B518" s="14" t="n">
        <v>500477</v>
      </c>
      <c r="C518" s="14" t="s">
        <v>4332</v>
      </c>
      <c r="D518" s="14" t="s">
        <v>4333</v>
      </c>
      <c r="E518" s="14" t="s">
        <v>4334</v>
      </c>
      <c r="F518" s="14" t="s">
        <v>4335</v>
      </c>
      <c r="G518" s="14" t="s">
        <v>4336</v>
      </c>
      <c r="H518" s="14" t="s">
        <v>4337</v>
      </c>
      <c r="I518" s="14"/>
      <c r="J518" s="14" t="s">
        <v>1642</v>
      </c>
      <c r="K518" s="14" t="s">
        <v>464</v>
      </c>
      <c r="L518" s="14" t="s">
        <v>4338</v>
      </c>
      <c r="M518" s="14" t="s">
        <v>4339</v>
      </c>
      <c r="N518" s="14" t="s">
        <v>70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2" t="n">
        <f aca="false">AB518*(1+$L$3)</f>
        <v>0</v>
      </c>
      <c r="AD518" s="20"/>
      <c r="AE518" s="23" t="n">
        <f aca="false">AC518-AD518</f>
        <v>0</v>
      </c>
      <c r="AF518" s="21" t="str">
        <f aca="false">IFERROR(AD518/AC518,"")</f>
        <v/>
      </c>
    </row>
    <row r="519" customFormat="false" ht="15" hidden="false" customHeight="true" outlineLevel="0" collapsed="false">
      <c r="A519" s="14" t="n">
        <v>659472</v>
      </c>
      <c r="B519" s="14" t="n">
        <v>500475</v>
      </c>
      <c r="C519" s="14" t="s">
        <v>4340</v>
      </c>
      <c r="D519" s="14" t="s">
        <v>4341</v>
      </c>
      <c r="E519" s="14" t="s">
        <v>4342</v>
      </c>
      <c r="F519" s="14" t="s">
        <v>4343</v>
      </c>
      <c r="G519" s="14" t="s">
        <v>4344</v>
      </c>
      <c r="H519" s="14" t="s">
        <v>4345</v>
      </c>
      <c r="I519" s="14"/>
      <c r="J519" s="14" t="s">
        <v>776</v>
      </c>
      <c r="K519" s="14" t="s">
        <v>709</v>
      </c>
      <c r="L519" s="14" t="s">
        <v>4346</v>
      </c>
      <c r="M519" s="14" t="s">
        <v>4347</v>
      </c>
      <c r="N519" s="14" t="s">
        <v>70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2" t="n">
        <f aca="false">AB519*(1+$L$3)</f>
        <v>0</v>
      </c>
      <c r="AD519" s="20"/>
      <c r="AE519" s="23" t="n">
        <f aca="false">AC519-AD519</f>
        <v>0</v>
      </c>
      <c r="AF519" s="21" t="str">
        <f aca="false">IFERROR(AD519/AC519,"")</f>
        <v/>
      </c>
    </row>
    <row r="520" customFormat="false" ht="15" hidden="false" customHeight="true" outlineLevel="0" collapsed="false">
      <c r="A520" s="14" t="n">
        <v>659592</v>
      </c>
      <c r="B520" s="14" t="n">
        <v>500598</v>
      </c>
      <c r="C520" s="14" t="s">
        <v>4348</v>
      </c>
      <c r="D520" s="14" t="s">
        <v>4349</v>
      </c>
      <c r="E520" s="14" t="s">
        <v>4350</v>
      </c>
      <c r="F520" s="14" t="s">
        <v>4351</v>
      </c>
      <c r="G520" s="14" t="s">
        <v>4352</v>
      </c>
      <c r="H520" s="14" t="s">
        <v>4353</v>
      </c>
      <c r="I520" s="14" t="s">
        <v>4354</v>
      </c>
      <c r="J520" s="14" t="s">
        <v>4355</v>
      </c>
      <c r="K520" s="14" t="s">
        <v>67</v>
      </c>
      <c r="L520" s="14" t="s">
        <v>4356</v>
      </c>
      <c r="M520" s="14" t="s">
        <v>4357</v>
      </c>
      <c r="N520" s="14" t="s">
        <v>70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2" t="n">
        <f aca="false">AB520*(1+$L$3)</f>
        <v>0</v>
      </c>
      <c r="AD520" s="20"/>
      <c r="AE520" s="23" t="n">
        <f aca="false">AC520-AD520</f>
        <v>0</v>
      </c>
      <c r="AF520" s="21" t="str">
        <f aca="false">IFERROR(AD520/AC520,"")</f>
        <v/>
      </c>
    </row>
    <row r="521" customFormat="false" ht="15" hidden="false" customHeight="true" outlineLevel="0" collapsed="false">
      <c r="A521" s="14" t="n">
        <v>659426</v>
      </c>
      <c r="B521" s="14" t="n">
        <v>500421</v>
      </c>
      <c r="C521" s="14" t="s">
        <v>4358</v>
      </c>
      <c r="D521" s="14" t="s">
        <v>4359</v>
      </c>
      <c r="E521" s="14" t="s">
        <v>4360</v>
      </c>
      <c r="F521" s="14" t="s">
        <v>4361</v>
      </c>
      <c r="G521" s="14" t="s">
        <v>4362</v>
      </c>
      <c r="H521" s="14" t="s">
        <v>4363</v>
      </c>
      <c r="I521" s="14" t="s">
        <v>276</v>
      </c>
      <c r="J521" s="14" t="s">
        <v>4364</v>
      </c>
      <c r="K521" s="14" t="s">
        <v>2610</v>
      </c>
      <c r="L521" s="14" t="s">
        <v>4365</v>
      </c>
      <c r="M521" s="14" t="s">
        <v>4366</v>
      </c>
      <c r="N521" s="14" t="s">
        <v>70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2" t="n">
        <f aca="false">AB521*(1+$L$3)</f>
        <v>0</v>
      </c>
      <c r="AD521" s="20"/>
      <c r="AE521" s="23" t="n">
        <f aca="false">AC521-AD521</f>
        <v>0</v>
      </c>
      <c r="AF521" s="21" t="str">
        <f aca="false">IFERROR(AD521/AC521,"")</f>
        <v/>
      </c>
    </row>
    <row r="522" customFormat="false" ht="15" hidden="false" customHeight="true" outlineLevel="0" collapsed="false">
      <c r="A522" s="14"/>
      <c r="B522" s="14"/>
      <c r="C522" s="14" t="s">
        <v>4367</v>
      </c>
      <c r="D522" s="14" t="s">
        <v>4368</v>
      </c>
      <c r="E522" s="14" t="s">
        <v>4369</v>
      </c>
      <c r="F522" s="14"/>
      <c r="G522" s="14"/>
      <c r="H522" s="14" t="s">
        <v>4370</v>
      </c>
      <c r="I522" s="14"/>
      <c r="J522" s="14" t="s">
        <v>3200</v>
      </c>
      <c r="K522" s="14" t="s">
        <v>999</v>
      </c>
      <c r="L522" s="14" t="s">
        <v>4371</v>
      </c>
      <c r="M522" s="14" t="s">
        <v>3752</v>
      </c>
      <c r="N522" s="14" t="s">
        <v>70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2" t="n">
        <f aca="false">AB522*(1+$L$3)</f>
        <v>0</v>
      </c>
      <c r="AD522" s="20"/>
      <c r="AE522" s="23" t="n">
        <f aca="false">AC522-AD522</f>
        <v>0</v>
      </c>
      <c r="AF522" s="21" t="str">
        <f aca="false">IFERROR(AD522/AC522,"")</f>
        <v/>
      </c>
    </row>
    <row r="523" customFormat="false" ht="15" hidden="false" customHeight="true" outlineLevel="0" collapsed="false">
      <c r="A523" s="14"/>
      <c r="B523" s="14"/>
      <c r="C523" s="14" t="s">
        <v>4372</v>
      </c>
      <c r="D523" s="14" t="s">
        <v>4373</v>
      </c>
      <c r="E523" s="14" t="s">
        <v>4374</v>
      </c>
      <c r="F523" s="14"/>
      <c r="G523" s="14"/>
      <c r="H523" s="14" t="s">
        <v>4375</v>
      </c>
      <c r="I523" s="14" t="s">
        <v>4376</v>
      </c>
      <c r="J523" s="14" t="s">
        <v>489</v>
      </c>
      <c r="K523" s="14" t="s">
        <v>307</v>
      </c>
      <c r="L523" s="14" t="s">
        <v>4377</v>
      </c>
      <c r="M523" s="14" t="s">
        <v>3752</v>
      </c>
      <c r="N523" s="14" t="s">
        <v>70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2" t="n">
        <f aca="false">AB523*(1+$L$3)</f>
        <v>0</v>
      </c>
      <c r="AD523" s="20"/>
      <c r="AE523" s="23" t="n">
        <f aca="false">AC523-AD523</f>
        <v>0</v>
      </c>
      <c r="AF523" s="21" t="str">
        <f aca="false">IFERROR(AD523/AC523,"")</f>
        <v/>
      </c>
    </row>
    <row r="524" customFormat="false" ht="15" hidden="false" customHeight="true" outlineLevel="0" collapsed="false">
      <c r="A524" s="14"/>
      <c r="B524" s="14"/>
      <c r="C524" s="14" t="s">
        <v>4378</v>
      </c>
      <c r="D524" s="14" t="s">
        <v>4379</v>
      </c>
      <c r="E524" s="14" t="s">
        <v>4380</v>
      </c>
      <c r="F524" s="14"/>
      <c r="G524" s="14"/>
      <c r="H524" s="14" t="s">
        <v>4381</v>
      </c>
      <c r="I524" s="14"/>
      <c r="J524" s="14" t="s">
        <v>489</v>
      </c>
      <c r="K524" s="14" t="s">
        <v>307</v>
      </c>
      <c r="L524" s="14" t="s">
        <v>3782</v>
      </c>
      <c r="M524" s="14" t="s">
        <v>3752</v>
      </c>
      <c r="N524" s="14" t="s">
        <v>70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2" t="n">
        <f aca="false">AB524*(1+$L$3)</f>
        <v>0</v>
      </c>
      <c r="AD524" s="20"/>
      <c r="AE524" s="23" t="n">
        <f aca="false">AC524-AD524</f>
        <v>0</v>
      </c>
      <c r="AF524" s="21" t="str">
        <f aca="false">IFERROR(AD524/AC524,"")</f>
        <v/>
      </c>
    </row>
    <row r="525" customFormat="false" ht="15" hidden="false" customHeight="true" outlineLevel="0" collapsed="false">
      <c r="A525" s="14" t="n">
        <v>659406</v>
      </c>
      <c r="B525" s="14" t="n">
        <v>500401</v>
      </c>
      <c r="C525" s="14" t="s">
        <v>4382</v>
      </c>
      <c r="D525" s="14" t="s">
        <v>4383</v>
      </c>
      <c r="E525" s="14" t="s">
        <v>4384</v>
      </c>
      <c r="F525" s="14" t="s">
        <v>4385</v>
      </c>
      <c r="G525" s="14" t="s">
        <v>4386</v>
      </c>
      <c r="H525" s="14" t="s">
        <v>4387</v>
      </c>
      <c r="I525" s="14"/>
      <c r="J525" s="14" t="s">
        <v>4388</v>
      </c>
      <c r="K525" s="14" t="s">
        <v>67</v>
      </c>
      <c r="L525" s="14" t="s">
        <v>4389</v>
      </c>
      <c r="M525" s="14" t="s">
        <v>4390</v>
      </c>
      <c r="N525" s="14" t="s">
        <v>70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2" t="n">
        <f aca="false">AB525*(1+$L$3)</f>
        <v>0</v>
      </c>
      <c r="AD525" s="20"/>
      <c r="AE525" s="23" t="n">
        <f aca="false">AC525-AD525</f>
        <v>0</v>
      </c>
      <c r="AF525" s="21" t="str">
        <f aca="false">IFERROR(AD525/AC525,"")</f>
        <v/>
      </c>
    </row>
    <row r="526" customFormat="false" ht="15" hidden="false" customHeight="true" outlineLevel="0" collapsed="false">
      <c r="A526" s="14" t="n">
        <v>659401</v>
      </c>
      <c r="B526" s="14" t="n">
        <v>500396</v>
      </c>
      <c r="C526" s="14" t="s">
        <v>4391</v>
      </c>
      <c r="D526" s="14" t="s">
        <v>4392</v>
      </c>
      <c r="E526" s="14" t="s">
        <v>4393</v>
      </c>
      <c r="F526" s="14" t="s">
        <v>4394</v>
      </c>
      <c r="G526" s="14" t="s">
        <v>4395</v>
      </c>
      <c r="H526" s="14" t="s">
        <v>4396</v>
      </c>
      <c r="I526" s="14"/>
      <c r="J526" s="14" t="s">
        <v>4397</v>
      </c>
      <c r="K526" s="14" t="s">
        <v>1900</v>
      </c>
      <c r="L526" s="14" t="s">
        <v>4398</v>
      </c>
      <c r="M526" s="14" t="s">
        <v>4399</v>
      </c>
      <c r="N526" s="14" t="s">
        <v>70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2" t="n">
        <f aca="false">AB526*(1+$L$3)</f>
        <v>0</v>
      </c>
      <c r="AD526" s="20"/>
      <c r="AE526" s="23" t="n">
        <f aca="false">AC526-AD526</f>
        <v>0</v>
      </c>
      <c r="AF526" s="21" t="str">
        <f aca="false">IFERROR(AD526/AC526,"")</f>
        <v/>
      </c>
    </row>
    <row r="527" customFormat="false" ht="15" hidden="false" customHeight="true" outlineLevel="0" collapsed="false">
      <c r="A527" s="14" t="n">
        <v>659397</v>
      </c>
      <c r="B527" s="14" t="n">
        <v>500392</v>
      </c>
      <c r="C527" s="14" t="s">
        <v>4400</v>
      </c>
      <c r="D527" s="14" t="s">
        <v>4401</v>
      </c>
      <c r="E527" s="14" t="s">
        <v>4402</v>
      </c>
      <c r="F527" s="14" t="s">
        <v>4403</v>
      </c>
      <c r="G527" s="14" t="s">
        <v>4404</v>
      </c>
      <c r="H527" s="14" t="s">
        <v>4405</v>
      </c>
      <c r="I527" s="14"/>
      <c r="J527" s="14" t="s">
        <v>4184</v>
      </c>
      <c r="K527" s="14" t="s">
        <v>1900</v>
      </c>
      <c r="L527" s="14" t="s">
        <v>4406</v>
      </c>
      <c r="M527" s="14" t="s">
        <v>4407</v>
      </c>
      <c r="N527" s="14" t="s">
        <v>70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2" t="n">
        <f aca="false">AB527*(1+$L$3)</f>
        <v>0</v>
      </c>
      <c r="AD527" s="20"/>
      <c r="AE527" s="23" t="n">
        <f aca="false">AC527-AD527</f>
        <v>0</v>
      </c>
      <c r="AF527" s="21" t="str">
        <f aca="false">IFERROR(AD527/AC527,"")</f>
        <v/>
      </c>
    </row>
    <row r="528" customFormat="false" ht="15" hidden="false" customHeight="true" outlineLevel="0" collapsed="false">
      <c r="A528" s="14" t="n">
        <v>660203</v>
      </c>
      <c r="B528" s="14" t="n">
        <v>501211</v>
      </c>
      <c r="C528" s="14" t="s">
        <v>4408</v>
      </c>
      <c r="D528" s="14" t="s">
        <v>4409</v>
      </c>
      <c r="E528" s="14" t="s">
        <v>4410</v>
      </c>
      <c r="F528" s="14" t="s">
        <v>4411</v>
      </c>
      <c r="G528" s="14" t="s">
        <v>4412</v>
      </c>
      <c r="H528" s="14" t="s">
        <v>4413</v>
      </c>
      <c r="I528" s="14"/>
      <c r="J528" s="14" t="s">
        <v>489</v>
      </c>
      <c r="K528" s="14" t="s">
        <v>307</v>
      </c>
      <c r="L528" s="14" t="s">
        <v>4414</v>
      </c>
      <c r="M528" s="14" t="s">
        <v>4415</v>
      </c>
      <c r="N528" s="14" t="s">
        <v>70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2" t="n">
        <f aca="false">AB528*(1+$L$3)</f>
        <v>0</v>
      </c>
      <c r="AD528" s="20"/>
      <c r="AE528" s="23" t="n">
        <f aca="false">AC528-AD528</f>
        <v>0</v>
      </c>
      <c r="AF528" s="21" t="str">
        <f aca="false">IFERROR(AD528/AC528,"")</f>
        <v/>
      </c>
    </row>
    <row r="529" customFormat="false" ht="15" hidden="false" customHeight="true" outlineLevel="0" collapsed="false">
      <c r="A529" s="14" t="n">
        <v>659353</v>
      </c>
      <c r="B529" s="14" t="n">
        <v>500348</v>
      </c>
      <c r="C529" s="14" t="s">
        <v>4416</v>
      </c>
      <c r="D529" s="14" t="s">
        <v>4417</v>
      </c>
      <c r="E529" s="14" t="s">
        <v>4418</v>
      </c>
      <c r="F529" s="14" t="s">
        <v>4419</v>
      </c>
      <c r="G529" s="14" t="s">
        <v>4420</v>
      </c>
      <c r="H529" s="14" t="s">
        <v>4421</v>
      </c>
      <c r="I529" s="14"/>
      <c r="J529" s="14" t="s">
        <v>3286</v>
      </c>
      <c r="K529" s="14" t="s">
        <v>307</v>
      </c>
      <c r="L529" s="14" t="s">
        <v>4422</v>
      </c>
      <c r="M529" s="14" t="s">
        <v>4423</v>
      </c>
      <c r="N529" s="14" t="s">
        <v>70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2" t="n">
        <f aca="false">AB529*(1+$L$3)</f>
        <v>0</v>
      </c>
      <c r="AD529" s="20"/>
      <c r="AE529" s="23" t="n">
        <f aca="false">AC529-AD529</f>
        <v>0</v>
      </c>
      <c r="AF529" s="21" t="str">
        <f aca="false">IFERROR(AD529/AC529,"")</f>
        <v/>
      </c>
    </row>
    <row r="530" customFormat="false" ht="15" hidden="false" customHeight="true" outlineLevel="0" collapsed="false">
      <c r="A530" s="14" t="n">
        <v>659396</v>
      </c>
      <c r="B530" s="14" t="n">
        <v>500391</v>
      </c>
      <c r="C530" s="14" t="s">
        <v>4424</v>
      </c>
      <c r="D530" s="14" t="s">
        <v>4425</v>
      </c>
      <c r="E530" s="14" t="s">
        <v>4426</v>
      </c>
      <c r="F530" s="14" t="s">
        <v>4427</v>
      </c>
      <c r="G530" s="14" t="s">
        <v>4428</v>
      </c>
      <c r="H530" s="14" t="s">
        <v>4429</v>
      </c>
      <c r="I530" s="14" t="s">
        <v>2774</v>
      </c>
      <c r="J530" s="14" t="s">
        <v>2709</v>
      </c>
      <c r="K530" s="14" t="s">
        <v>67</v>
      </c>
      <c r="L530" s="14" t="s">
        <v>2710</v>
      </c>
      <c r="M530" s="14" t="s">
        <v>4430</v>
      </c>
      <c r="N530" s="14" t="s">
        <v>70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2" t="n">
        <f aca="false">AB530*(1+$L$3)</f>
        <v>0</v>
      </c>
      <c r="AD530" s="20"/>
      <c r="AE530" s="23" t="n">
        <f aca="false">AC530-AD530</f>
        <v>0</v>
      </c>
      <c r="AF530" s="21" t="str">
        <f aca="false">IFERROR(AD530/AC530,"")</f>
        <v/>
      </c>
    </row>
    <row r="531" customFormat="false" ht="15" hidden="false" customHeight="true" outlineLevel="0" collapsed="false">
      <c r="A531" s="14" t="n">
        <v>659307</v>
      </c>
      <c r="B531" s="14" t="n">
        <v>500304</v>
      </c>
      <c r="C531" s="14" t="s">
        <v>4431</v>
      </c>
      <c r="D531" s="14" t="s">
        <v>4432</v>
      </c>
      <c r="E531" s="14" t="s">
        <v>4433</v>
      </c>
      <c r="F531" s="14" t="s">
        <v>4434</v>
      </c>
      <c r="G531" s="14" t="s">
        <v>4435</v>
      </c>
      <c r="H531" s="14" t="s">
        <v>4436</v>
      </c>
      <c r="I531" s="14" t="s">
        <v>4437</v>
      </c>
      <c r="J531" s="14" t="s">
        <v>3145</v>
      </c>
      <c r="K531" s="14" t="s">
        <v>67</v>
      </c>
      <c r="L531" s="14" t="s">
        <v>4438</v>
      </c>
      <c r="M531" s="14" t="s">
        <v>4439</v>
      </c>
      <c r="N531" s="14" t="s">
        <v>70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2" t="n">
        <f aca="false">AB531*(1+$L$3)</f>
        <v>0</v>
      </c>
      <c r="AD531" s="20"/>
      <c r="AE531" s="23" t="n">
        <f aca="false">AC531-AD531</f>
        <v>0</v>
      </c>
      <c r="AF531" s="21" t="str">
        <f aca="false">IFERROR(AD531/AC531,"")</f>
        <v/>
      </c>
    </row>
    <row r="532" customFormat="false" ht="15" hidden="false" customHeight="true" outlineLevel="0" collapsed="false">
      <c r="A532" s="14" t="n">
        <v>661781</v>
      </c>
      <c r="B532" s="14" t="n">
        <v>502805</v>
      </c>
      <c r="C532" s="14" t="s">
        <v>4440</v>
      </c>
      <c r="D532" s="14" t="s">
        <v>4441</v>
      </c>
      <c r="E532" s="14" t="s">
        <v>4442</v>
      </c>
      <c r="F532" s="14" t="s">
        <v>4443</v>
      </c>
      <c r="G532" s="14" t="s">
        <v>4444</v>
      </c>
      <c r="H532" s="14" t="s">
        <v>4445</v>
      </c>
      <c r="I532" s="14"/>
      <c r="J532" s="14" t="s">
        <v>4446</v>
      </c>
      <c r="K532" s="14" t="s">
        <v>48</v>
      </c>
      <c r="L532" s="14" t="s">
        <v>1468</v>
      </c>
      <c r="M532" s="14" t="s">
        <v>4447</v>
      </c>
      <c r="N532" s="14" t="s">
        <v>70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 t="n">
        <v>5</v>
      </c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2" t="n">
        <f aca="false">AB532*(1+$L$3)</f>
        <v>0</v>
      </c>
      <c r="AD532" s="20"/>
      <c r="AE532" s="23" t="n">
        <f aca="false">AC532-AD532</f>
        <v>0</v>
      </c>
      <c r="AF532" s="21" t="str">
        <f aca="false">IFERROR(AD532/AC532,"")</f>
        <v/>
      </c>
    </row>
    <row r="533" customFormat="false" ht="15" hidden="false" customHeight="true" outlineLevel="0" collapsed="false">
      <c r="A533" s="14"/>
      <c r="B533" s="14"/>
      <c r="C533" s="14" t="s">
        <v>4448</v>
      </c>
      <c r="D533" s="14" t="s">
        <v>4449</v>
      </c>
      <c r="E533" s="14" t="s">
        <v>4450</v>
      </c>
      <c r="F533" s="14"/>
      <c r="G533" s="14"/>
      <c r="H533" s="14" t="s">
        <v>4451</v>
      </c>
      <c r="I533" s="14"/>
      <c r="J533" s="14" t="s">
        <v>1633</v>
      </c>
      <c r="K533" s="14" t="s">
        <v>67</v>
      </c>
      <c r="L533" s="14" t="s">
        <v>4452</v>
      </c>
      <c r="M533" s="14" t="s">
        <v>3752</v>
      </c>
      <c r="N533" s="14" t="s">
        <v>70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2" t="n">
        <f aca="false">AB533*(1+$L$3)</f>
        <v>0</v>
      </c>
      <c r="AD533" s="20"/>
      <c r="AE533" s="23" t="n">
        <f aca="false">AC533-AD533</f>
        <v>0</v>
      </c>
      <c r="AF533" s="21" t="str">
        <f aca="false">IFERROR(AD533/AC533,"")</f>
        <v/>
      </c>
    </row>
    <row r="534" customFormat="false" ht="15" hidden="false" customHeight="true" outlineLevel="0" collapsed="false">
      <c r="A534" s="14"/>
      <c r="B534" s="14"/>
      <c r="C534" s="14" t="s">
        <v>4453</v>
      </c>
      <c r="D534" s="14" t="s">
        <v>4454</v>
      </c>
      <c r="E534" s="14" t="s">
        <v>4455</v>
      </c>
      <c r="F534" s="14"/>
      <c r="G534" s="14"/>
      <c r="H534" s="14" t="s">
        <v>4456</v>
      </c>
      <c r="I534" s="14" t="s">
        <v>4457</v>
      </c>
      <c r="J534" s="14" t="s">
        <v>306</v>
      </c>
      <c r="K534" s="14" t="s">
        <v>307</v>
      </c>
      <c r="L534" s="14" t="s">
        <v>308</v>
      </c>
      <c r="M534" s="14" t="s">
        <v>3752</v>
      </c>
      <c r="N534" s="14" t="s">
        <v>70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2" t="n">
        <f aca="false">AB534*(1+$L$3)</f>
        <v>0</v>
      </c>
      <c r="AD534" s="20"/>
      <c r="AE534" s="23" t="n">
        <f aca="false">AC534-AD534</f>
        <v>0</v>
      </c>
      <c r="AF534" s="21" t="str">
        <f aca="false">IFERROR(AD534/AC534,"")</f>
        <v/>
      </c>
    </row>
    <row r="535" customFormat="false" ht="15" hidden="false" customHeight="true" outlineLevel="0" collapsed="false">
      <c r="A535" s="14" t="n">
        <v>659832</v>
      </c>
      <c r="B535" s="14" t="n">
        <v>500838</v>
      </c>
      <c r="C535" s="14" t="s">
        <v>4458</v>
      </c>
      <c r="D535" s="14" t="s">
        <v>4459</v>
      </c>
      <c r="E535" s="14" t="s">
        <v>4460</v>
      </c>
      <c r="F535" s="14" t="s">
        <v>4461</v>
      </c>
      <c r="G535" s="14" t="s">
        <v>4462</v>
      </c>
      <c r="H535" s="14" t="s">
        <v>4463</v>
      </c>
      <c r="I535" s="14"/>
      <c r="J535" s="14" t="s">
        <v>2905</v>
      </c>
      <c r="K535" s="14" t="s">
        <v>2316</v>
      </c>
      <c r="L535" s="14" t="s">
        <v>4464</v>
      </c>
      <c r="M535" s="14" t="s">
        <v>4465</v>
      </c>
      <c r="N535" s="14" t="s">
        <v>70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2" t="n">
        <f aca="false">AB535*(1+$L$3)</f>
        <v>0</v>
      </c>
      <c r="AD535" s="20"/>
      <c r="AE535" s="23" t="n">
        <f aca="false">AC535-AD535</f>
        <v>0</v>
      </c>
      <c r="AF535" s="21" t="str">
        <f aca="false">IFERROR(AD535/AC535,"")</f>
        <v/>
      </c>
    </row>
    <row r="536" customFormat="false" ht="15" hidden="false" customHeight="true" outlineLevel="0" collapsed="false">
      <c r="A536" s="14"/>
      <c r="B536" s="14"/>
      <c r="C536" s="14" t="s">
        <v>4466</v>
      </c>
      <c r="D536" s="14" t="s">
        <v>4467</v>
      </c>
      <c r="E536" s="14" t="s">
        <v>4468</v>
      </c>
      <c r="F536" s="14"/>
      <c r="G536" s="14"/>
      <c r="H536" s="14" t="s">
        <v>4469</v>
      </c>
      <c r="I536" s="14" t="s">
        <v>4470</v>
      </c>
      <c r="J536" s="14" t="s">
        <v>248</v>
      </c>
      <c r="K536" s="14" t="s">
        <v>249</v>
      </c>
      <c r="L536" s="14" t="s">
        <v>4471</v>
      </c>
      <c r="M536" s="14" t="s">
        <v>3752</v>
      </c>
      <c r="N536" s="14" t="s">
        <v>70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2" t="n">
        <f aca="false">AB536*(1+$L$3)</f>
        <v>0</v>
      </c>
      <c r="AD536" s="20"/>
      <c r="AE536" s="23" t="n">
        <f aca="false">AC536-AD536</f>
        <v>0</v>
      </c>
      <c r="AF536" s="21" t="str">
        <f aca="false">IFERROR(AD536/AC536,"")</f>
        <v/>
      </c>
    </row>
    <row r="537" customFormat="false" ht="15" hidden="false" customHeight="true" outlineLevel="0" collapsed="false">
      <c r="A537" s="14" t="n">
        <v>659092</v>
      </c>
      <c r="B537" s="14" t="n">
        <v>500085</v>
      </c>
      <c r="C537" s="14" t="s">
        <v>4472</v>
      </c>
      <c r="D537" s="14" t="s">
        <v>4473</v>
      </c>
      <c r="E537" s="14" t="s">
        <v>4474</v>
      </c>
      <c r="F537" s="14" t="s">
        <v>4475</v>
      </c>
      <c r="G537" s="14" t="s">
        <v>4476</v>
      </c>
      <c r="H537" s="14" t="s">
        <v>4477</v>
      </c>
      <c r="I537" s="14"/>
      <c r="J537" s="14" t="s">
        <v>566</v>
      </c>
      <c r="K537" s="14" t="s">
        <v>48</v>
      </c>
      <c r="L537" s="14" t="s">
        <v>1432</v>
      </c>
      <c r="M537" s="14" t="s">
        <v>4478</v>
      </c>
      <c r="N537" s="14" t="s">
        <v>70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2" t="n">
        <f aca="false">AB537*(1+$L$3)</f>
        <v>0</v>
      </c>
      <c r="AD537" s="20"/>
      <c r="AE537" s="23" t="n">
        <f aca="false">AC537-AD537</f>
        <v>0</v>
      </c>
      <c r="AF537" s="21" t="str">
        <f aca="false">IFERROR(AD537/AC537,"")</f>
        <v/>
      </c>
    </row>
    <row r="538" customFormat="false" ht="15" hidden="false" customHeight="true" outlineLevel="0" collapsed="false">
      <c r="A538" s="14"/>
      <c r="B538" s="14"/>
      <c r="C538" s="14" t="s">
        <v>4479</v>
      </c>
      <c r="D538" s="14" t="s">
        <v>4480</v>
      </c>
      <c r="E538" s="14" t="s">
        <v>4481</v>
      </c>
      <c r="F538" s="14"/>
      <c r="G538" s="14"/>
      <c r="H538" s="14" t="s">
        <v>4482</v>
      </c>
      <c r="I538" s="14"/>
      <c r="J538" s="14" t="s">
        <v>268</v>
      </c>
      <c r="K538" s="14" t="s">
        <v>48</v>
      </c>
      <c r="L538" s="14" t="s">
        <v>1468</v>
      </c>
      <c r="M538" s="14" t="s">
        <v>3752</v>
      </c>
      <c r="N538" s="14" t="s">
        <v>70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2" t="n">
        <f aca="false">AB538*(1+$L$3)</f>
        <v>0</v>
      </c>
      <c r="AD538" s="20"/>
      <c r="AE538" s="23" t="n">
        <f aca="false">AC538-AD538</f>
        <v>0</v>
      </c>
      <c r="AF538" s="21" t="str">
        <f aca="false">IFERROR(AD538/AC538,"")</f>
        <v/>
      </c>
    </row>
    <row r="539" customFormat="false" ht="15" hidden="false" customHeight="true" outlineLevel="0" collapsed="false">
      <c r="A539" s="14"/>
      <c r="B539" s="14"/>
      <c r="C539" s="14" t="s">
        <v>4483</v>
      </c>
      <c r="D539" s="14" t="s">
        <v>4484</v>
      </c>
      <c r="E539" s="14" t="s">
        <v>4481</v>
      </c>
      <c r="F539" s="14"/>
      <c r="G539" s="14"/>
      <c r="H539" s="14" t="s">
        <v>4485</v>
      </c>
      <c r="I539" s="14"/>
      <c r="J539" s="14" t="s">
        <v>4486</v>
      </c>
      <c r="K539" s="14" t="s">
        <v>48</v>
      </c>
      <c r="L539" s="14" t="s">
        <v>1468</v>
      </c>
      <c r="M539" s="14" t="s">
        <v>3752</v>
      </c>
      <c r="N539" s="14" t="s">
        <v>70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2" t="n">
        <f aca="false">AB539*(1+$L$3)</f>
        <v>0</v>
      </c>
      <c r="AD539" s="20"/>
      <c r="AE539" s="23" t="n">
        <f aca="false">AC539-AD539</f>
        <v>0</v>
      </c>
      <c r="AF539" s="21" t="str">
        <f aca="false">IFERROR(AD539/AC539,"")</f>
        <v/>
      </c>
    </row>
    <row r="540" customFormat="false" ht="15" hidden="false" customHeight="true" outlineLevel="0" collapsed="false">
      <c r="A540" s="14" t="n">
        <v>659051</v>
      </c>
      <c r="B540" s="14" t="n">
        <v>500043</v>
      </c>
      <c r="C540" s="14" t="s">
        <v>4487</v>
      </c>
      <c r="D540" s="14" t="s">
        <v>4488</v>
      </c>
      <c r="E540" s="14" t="s">
        <v>4489</v>
      </c>
      <c r="F540" s="14" t="s">
        <v>4490</v>
      </c>
      <c r="G540" s="14" t="s">
        <v>4491</v>
      </c>
      <c r="H540" s="14" t="s">
        <v>4492</v>
      </c>
      <c r="I540" s="14"/>
      <c r="J540" s="14" t="s">
        <v>2306</v>
      </c>
      <c r="K540" s="14" t="s">
        <v>67</v>
      </c>
      <c r="L540" s="14" t="s">
        <v>2307</v>
      </c>
      <c r="M540" s="14" t="s">
        <v>4493</v>
      </c>
      <c r="N540" s="14" t="s">
        <v>70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2" t="n">
        <f aca="false">AB540*(1+$L$3)</f>
        <v>0</v>
      </c>
      <c r="AD540" s="20"/>
      <c r="AE540" s="23" t="n">
        <f aca="false">AC540-AD540</f>
        <v>0</v>
      </c>
      <c r="AF540" s="21" t="str">
        <f aca="false">IFERROR(AD540/AC540,"")</f>
        <v/>
      </c>
    </row>
    <row r="541" customFormat="false" ht="15" hidden="false" customHeight="true" outlineLevel="0" collapsed="false">
      <c r="A541" s="14" t="n">
        <v>658856</v>
      </c>
      <c r="B541" s="14" t="n">
        <v>499847</v>
      </c>
      <c r="C541" s="14" t="s">
        <v>4494</v>
      </c>
      <c r="D541" s="14" t="s">
        <v>4495</v>
      </c>
      <c r="E541" s="14" t="s">
        <v>4496</v>
      </c>
      <c r="F541" s="14" t="s">
        <v>4497</v>
      </c>
      <c r="G541" s="14" t="s">
        <v>4498</v>
      </c>
      <c r="H541" s="14" t="s">
        <v>4499</v>
      </c>
      <c r="I541" s="14"/>
      <c r="J541" s="14" t="s">
        <v>4500</v>
      </c>
      <c r="K541" s="14" t="s">
        <v>1160</v>
      </c>
      <c r="L541" s="14" t="s">
        <v>4501</v>
      </c>
      <c r="M541" s="14" t="s">
        <v>4502</v>
      </c>
      <c r="N541" s="14" t="s">
        <v>70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2" t="n">
        <f aca="false">AB541*(1+$L$3)</f>
        <v>0</v>
      </c>
      <c r="AD541" s="20"/>
      <c r="AE541" s="23" t="n">
        <f aca="false">AC541-AD541</f>
        <v>0</v>
      </c>
      <c r="AF541" s="21" t="str">
        <f aca="false">IFERROR(AD541/AC541,"")</f>
        <v/>
      </c>
    </row>
    <row r="542" customFormat="false" ht="15" hidden="false" customHeight="true" outlineLevel="0" collapsed="false">
      <c r="A542" s="14" t="n">
        <v>658880</v>
      </c>
      <c r="B542" s="14" t="n">
        <v>499871</v>
      </c>
      <c r="C542" s="14" t="s">
        <v>4503</v>
      </c>
      <c r="D542" s="14" t="s">
        <v>4504</v>
      </c>
      <c r="E542" s="14" t="s">
        <v>2638</v>
      </c>
      <c r="F542" s="14" t="s">
        <v>4505</v>
      </c>
      <c r="G542" s="14" t="s">
        <v>4506</v>
      </c>
      <c r="H542" s="14" t="s">
        <v>4507</v>
      </c>
      <c r="I542" s="14" t="s">
        <v>793</v>
      </c>
      <c r="J542" s="14" t="s">
        <v>1528</v>
      </c>
      <c r="K542" s="14" t="s">
        <v>1160</v>
      </c>
      <c r="L542" s="14" t="s">
        <v>3864</v>
      </c>
      <c r="M542" s="14" t="s">
        <v>4508</v>
      </c>
      <c r="N542" s="14" t="s">
        <v>70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2" t="n">
        <f aca="false">AB542*(1+$L$3)</f>
        <v>0</v>
      </c>
      <c r="AD542" s="20"/>
      <c r="AE542" s="23" t="n">
        <f aca="false">AC542-AD542</f>
        <v>0</v>
      </c>
      <c r="AF542" s="21" t="str">
        <f aca="false">IFERROR(AD542/AC542,"")</f>
        <v/>
      </c>
    </row>
    <row r="543" customFormat="false" ht="15" hidden="false" customHeight="true" outlineLevel="0" collapsed="false">
      <c r="A543" s="14" t="n">
        <v>658897</v>
      </c>
      <c r="B543" s="14" t="n">
        <v>499888</v>
      </c>
      <c r="C543" s="14" t="s">
        <v>4509</v>
      </c>
      <c r="D543" s="14" t="s">
        <v>4510</v>
      </c>
      <c r="E543" s="14" t="s">
        <v>4511</v>
      </c>
      <c r="F543" s="14" t="s">
        <v>4512</v>
      </c>
      <c r="G543" s="14" t="s">
        <v>4513</v>
      </c>
      <c r="H543" s="14" t="s">
        <v>4514</v>
      </c>
      <c r="I543" s="14"/>
      <c r="J543" s="14" t="s">
        <v>862</v>
      </c>
      <c r="K543" s="14" t="s">
        <v>48</v>
      </c>
      <c r="L543" s="14" t="s">
        <v>1177</v>
      </c>
      <c r="M543" s="14" t="s">
        <v>4515</v>
      </c>
      <c r="N543" s="14" t="s">
        <v>70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2" t="n">
        <f aca="false">AB543*(1+$L$3)</f>
        <v>0</v>
      </c>
      <c r="AD543" s="20"/>
      <c r="AE543" s="23" t="n">
        <f aca="false">AC543-AD543</f>
        <v>0</v>
      </c>
      <c r="AF543" s="21" t="str">
        <f aca="false">IFERROR(AD543/AC543,"")</f>
        <v/>
      </c>
    </row>
    <row r="544" customFormat="false" ht="15" hidden="false" customHeight="true" outlineLevel="0" collapsed="false">
      <c r="A544" s="14" t="n">
        <v>658898</v>
      </c>
      <c r="B544" s="14" t="n">
        <v>499889</v>
      </c>
      <c r="C544" s="14" t="s">
        <v>4516</v>
      </c>
      <c r="D544" s="14" t="s">
        <v>4517</v>
      </c>
      <c r="E544" s="14" t="s">
        <v>4518</v>
      </c>
      <c r="F544" s="14" t="s">
        <v>4519</v>
      </c>
      <c r="G544" s="14" t="s">
        <v>4520</v>
      </c>
      <c r="H544" s="14" t="s">
        <v>4521</v>
      </c>
      <c r="I544" s="14" t="s">
        <v>2226</v>
      </c>
      <c r="J544" s="14" t="s">
        <v>4522</v>
      </c>
      <c r="K544" s="14" t="s">
        <v>67</v>
      </c>
      <c r="L544" s="14" t="s">
        <v>4523</v>
      </c>
      <c r="M544" s="14" t="s">
        <v>4524</v>
      </c>
      <c r="N544" s="14" t="s">
        <v>70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2" t="n">
        <f aca="false">AB544*(1+$L$3)</f>
        <v>0</v>
      </c>
      <c r="AD544" s="20"/>
      <c r="AE544" s="23" t="n">
        <f aca="false">AC544-AD544</f>
        <v>0</v>
      </c>
      <c r="AF544" s="21" t="str">
        <f aca="false">IFERROR(AD544/AC544,"")</f>
        <v/>
      </c>
    </row>
    <row r="545" customFormat="false" ht="15" hidden="false" customHeight="true" outlineLevel="0" collapsed="false">
      <c r="A545" s="14"/>
      <c r="B545" s="14"/>
      <c r="C545" s="14" t="s">
        <v>4525</v>
      </c>
      <c r="D545" s="14" t="s">
        <v>4526</v>
      </c>
      <c r="E545" s="14" t="s">
        <v>4527</v>
      </c>
      <c r="F545" s="14" t="s">
        <v>4528</v>
      </c>
      <c r="G545" s="14" t="s">
        <v>4529</v>
      </c>
      <c r="H545" s="14" t="s">
        <v>4530</v>
      </c>
      <c r="I545" s="14"/>
      <c r="J545" s="14" t="s">
        <v>4531</v>
      </c>
      <c r="K545" s="14" t="s">
        <v>1026</v>
      </c>
      <c r="L545" s="14" t="s">
        <v>4532</v>
      </c>
      <c r="M545" s="14" t="s">
        <v>4533</v>
      </c>
      <c r="N545" s="14" t="s">
        <v>70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2" t="n">
        <f aca="false">AB545*(1+$L$3)</f>
        <v>0</v>
      </c>
      <c r="AD545" s="20"/>
      <c r="AE545" s="23" t="n">
        <f aca="false">AC545-AD545</f>
        <v>0</v>
      </c>
      <c r="AF545" s="21" t="str">
        <f aca="false">IFERROR(AD545/AC545,"")</f>
        <v/>
      </c>
    </row>
    <row r="546" customFormat="false" ht="15" hidden="false" customHeight="true" outlineLevel="0" collapsed="false">
      <c r="A546" s="14" t="n">
        <v>658817</v>
      </c>
      <c r="B546" s="14" t="n">
        <v>499807</v>
      </c>
      <c r="C546" s="14" t="s">
        <v>4534</v>
      </c>
      <c r="D546" s="14" t="s">
        <v>4535</v>
      </c>
      <c r="E546" s="14" t="s">
        <v>3150</v>
      </c>
      <c r="F546" s="14" t="s">
        <v>4536</v>
      </c>
      <c r="G546" s="14" t="s">
        <v>4537</v>
      </c>
      <c r="H546" s="14" t="s">
        <v>4538</v>
      </c>
      <c r="I546" s="14"/>
      <c r="J546" s="14" t="s">
        <v>47</v>
      </c>
      <c r="K546" s="14" t="s">
        <v>48</v>
      </c>
      <c r="L546" s="14" t="s">
        <v>4539</v>
      </c>
      <c r="M546" s="14" t="s">
        <v>4540</v>
      </c>
      <c r="N546" s="14" t="s">
        <v>70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2" t="n">
        <f aca="false">AB546*(1+$L$3)</f>
        <v>0</v>
      </c>
      <c r="AD546" s="20"/>
      <c r="AE546" s="23" t="n">
        <f aca="false">AC546-AD546</f>
        <v>0</v>
      </c>
      <c r="AF546" s="21" t="str">
        <f aca="false">IFERROR(AD546/AC546,"")</f>
        <v/>
      </c>
    </row>
    <row r="547" customFormat="false" ht="15" hidden="false" customHeight="true" outlineLevel="0" collapsed="false">
      <c r="A547" s="14" t="n">
        <v>658903</v>
      </c>
      <c r="B547" s="14" t="n">
        <v>499894</v>
      </c>
      <c r="C547" s="14" t="s">
        <v>4541</v>
      </c>
      <c r="D547" s="14" t="s">
        <v>4542</v>
      </c>
      <c r="E547" s="14" t="s">
        <v>4543</v>
      </c>
      <c r="F547" s="14" t="s">
        <v>4544</v>
      </c>
      <c r="G547" s="14" t="s">
        <v>4545</v>
      </c>
      <c r="H547" s="14" t="s">
        <v>4546</v>
      </c>
      <c r="I547" s="14" t="s">
        <v>1569</v>
      </c>
      <c r="J547" s="14" t="s">
        <v>4547</v>
      </c>
      <c r="K547" s="14" t="s">
        <v>2316</v>
      </c>
      <c r="L547" s="14" t="s">
        <v>4548</v>
      </c>
      <c r="M547" s="14" t="s">
        <v>4549</v>
      </c>
      <c r="N547" s="14" t="s">
        <v>70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2" t="n">
        <f aca="false">AB547*(1+$L$3)</f>
        <v>0</v>
      </c>
      <c r="AD547" s="20"/>
      <c r="AE547" s="23" t="n">
        <f aca="false">AC547-AD547</f>
        <v>0</v>
      </c>
      <c r="AF547" s="21" t="str">
        <f aca="false">IFERROR(AD547/AC547,"")</f>
        <v/>
      </c>
    </row>
    <row r="548" customFormat="false" ht="15" hidden="false" customHeight="true" outlineLevel="0" collapsed="false">
      <c r="A548" s="14" t="n">
        <v>658724</v>
      </c>
      <c r="B548" s="14" t="n">
        <v>499716</v>
      </c>
      <c r="C548" s="14" t="s">
        <v>4550</v>
      </c>
      <c r="D548" s="14" t="s">
        <v>4551</v>
      </c>
      <c r="E548" s="14" t="s">
        <v>4552</v>
      </c>
      <c r="F548" s="14" t="s">
        <v>4553</v>
      </c>
      <c r="G548" s="14" t="s">
        <v>4554</v>
      </c>
      <c r="H548" s="14" t="s">
        <v>4555</v>
      </c>
      <c r="I548" s="14"/>
      <c r="J548" s="14" t="s">
        <v>862</v>
      </c>
      <c r="K548" s="14" t="s">
        <v>48</v>
      </c>
      <c r="L548" s="14" t="s">
        <v>1177</v>
      </c>
      <c r="M548" s="14" t="s">
        <v>4556</v>
      </c>
      <c r="N548" s="14" t="s">
        <v>70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2" t="n">
        <f aca="false">AB548*(1+$L$3)</f>
        <v>0</v>
      </c>
      <c r="AD548" s="20"/>
      <c r="AE548" s="23" t="n">
        <f aca="false">AC548-AD548</f>
        <v>0</v>
      </c>
      <c r="AF548" s="21" t="str">
        <f aca="false">IFERROR(AD548/AC548,"")</f>
        <v/>
      </c>
    </row>
    <row r="549" customFormat="false" ht="15" hidden="false" customHeight="true" outlineLevel="0" collapsed="false">
      <c r="A549" s="14" t="n">
        <v>658716</v>
      </c>
      <c r="B549" s="14" t="n">
        <v>499708</v>
      </c>
      <c r="C549" s="14" t="s">
        <v>4557</v>
      </c>
      <c r="D549" s="14" t="s">
        <v>4558</v>
      </c>
      <c r="E549" s="14" t="s">
        <v>4559</v>
      </c>
      <c r="F549" s="14" t="s">
        <v>4560</v>
      </c>
      <c r="G549" s="14" t="s">
        <v>4561</v>
      </c>
      <c r="H549" s="14" t="s">
        <v>4562</v>
      </c>
      <c r="I549" s="14"/>
      <c r="J549" s="14" t="s">
        <v>1299</v>
      </c>
      <c r="K549" s="14" t="s">
        <v>48</v>
      </c>
      <c r="L549" s="14" t="s">
        <v>1300</v>
      </c>
      <c r="M549" s="14" t="s">
        <v>4563</v>
      </c>
      <c r="N549" s="14" t="s">
        <v>70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2" t="n">
        <f aca="false">AB549*(1+$L$3)</f>
        <v>0</v>
      </c>
      <c r="AD549" s="20"/>
      <c r="AE549" s="23" t="n">
        <f aca="false">AC549-AD549</f>
        <v>0</v>
      </c>
      <c r="AF549" s="21" t="str">
        <f aca="false">IFERROR(AD549/AC549,"")</f>
        <v/>
      </c>
    </row>
    <row r="550" customFormat="false" ht="15" hidden="false" customHeight="true" outlineLevel="0" collapsed="false">
      <c r="A550" s="14" t="n">
        <v>658725</v>
      </c>
      <c r="B550" s="14" t="n">
        <v>499717</v>
      </c>
      <c r="C550" s="14" t="s">
        <v>4564</v>
      </c>
      <c r="D550" s="14" t="s">
        <v>4565</v>
      </c>
      <c r="E550" s="14" t="s">
        <v>4566</v>
      </c>
      <c r="F550" s="14" t="s">
        <v>4567</v>
      </c>
      <c r="G550" s="14" t="s">
        <v>4568</v>
      </c>
      <c r="H550" s="14" t="s">
        <v>4569</v>
      </c>
      <c r="I550" s="14"/>
      <c r="J550" s="14" t="s">
        <v>4570</v>
      </c>
      <c r="K550" s="14" t="s">
        <v>67</v>
      </c>
      <c r="L550" s="14" t="s">
        <v>4571</v>
      </c>
      <c r="M550" s="14" t="s">
        <v>4572</v>
      </c>
      <c r="N550" s="14" t="s">
        <v>70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2" t="n">
        <f aca="false">AB550*(1+$L$3)</f>
        <v>0</v>
      </c>
      <c r="AD550" s="20"/>
      <c r="AE550" s="23" t="n">
        <f aca="false">AC550-AD550</f>
        <v>0</v>
      </c>
      <c r="AF550" s="21" t="str">
        <f aca="false">IFERROR(AD550/AC550,"")</f>
        <v/>
      </c>
    </row>
    <row r="551" customFormat="false" ht="15" hidden="false" customHeight="true" outlineLevel="0" collapsed="false">
      <c r="A551" s="14" t="n">
        <v>658690</v>
      </c>
      <c r="B551" s="14" t="n">
        <v>499683</v>
      </c>
      <c r="C551" s="14" t="s">
        <v>4573</v>
      </c>
      <c r="D551" s="14" t="s">
        <v>4574</v>
      </c>
      <c r="E551" s="14" t="s">
        <v>4575</v>
      </c>
      <c r="F551" s="14" t="s">
        <v>4576</v>
      </c>
      <c r="G551" s="14" t="s">
        <v>4577</v>
      </c>
      <c r="H551" s="14" t="s">
        <v>4578</v>
      </c>
      <c r="I551" s="14"/>
      <c r="J551" s="14" t="s">
        <v>1142</v>
      </c>
      <c r="K551" s="14" t="s">
        <v>557</v>
      </c>
      <c r="L551" s="14" t="s">
        <v>1143</v>
      </c>
      <c r="M551" s="14" t="s">
        <v>4579</v>
      </c>
      <c r="N551" s="14" t="s">
        <v>70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2" t="n">
        <f aca="false">AB551*(1+$L$3)</f>
        <v>0</v>
      </c>
      <c r="AD551" s="20"/>
      <c r="AE551" s="23" t="n">
        <f aca="false">AC551-AD551</f>
        <v>0</v>
      </c>
      <c r="AF551" s="21" t="str">
        <f aca="false">IFERROR(AD551/AC551,"")</f>
        <v/>
      </c>
    </row>
    <row r="552" customFormat="false" ht="15" hidden="false" customHeight="true" outlineLevel="0" collapsed="false">
      <c r="A552" s="14" t="n">
        <v>658617</v>
      </c>
      <c r="B552" s="14" t="n">
        <v>499625</v>
      </c>
      <c r="C552" s="14" t="s">
        <v>4580</v>
      </c>
      <c r="D552" s="14" t="s">
        <v>4581</v>
      </c>
      <c r="E552" s="14" t="s">
        <v>4582</v>
      </c>
      <c r="F552" s="14" t="s">
        <v>4583</v>
      </c>
      <c r="G552" s="14" t="s">
        <v>4584</v>
      </c>
      <c r="H552" s="14" t="s">
        <v>4585</v>
      </c>
      <c r="I552" s="14"/>
      <c r="J552" s="14" t="s">
        <v>556</v>
      </c>
      <c r="K552" s="14" t="s">
        <v>557</v>
      </c>
      <c r="L552" s="14" t="s">
        <v>4586</v>
      </c>
      <c r="M552" s="14" t="s">
        <v>4587</v>
      </c>
      <c r="N552" s="14" t="s">
        <v>70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2" t="n">
        <f aca="false">AB552*(1+$L$3)</f>
        <v>0</v>
      </c>
      <c r="AD552" s="20"/>
      <c r="AE552" s="23" t="n">
        <f aca="false">AC552-AD552</f>
        <v>0</v>
      </c>
      <c r="AF552" s="21" t="str">
        <f aca="false">IFERROR(AD552/AC552,"")</f>
        <v/>
      </c>
    </row>
    <row r="553" customFormat="false" ht="15" hidden="false" customHeight="true" outlineLevel="0" collapsed="false">
      <c r="A553" s="14" t="n">
        <v>658495</v>
      </c>
      <c r="B553" s="14" t="n">
        <v>499509</v>
      </c>
      <c r="C553" s="14" t="s">
        <v>4588</v>
      </c>
      <c r="D553" s="14" t="s">
        <v>4589</v>
      </c>
      <c r="E553" s="14" t="s">
        <v>1394</v>
      </c>
      <c r="F553" s="14" t="s">
        <v>4590</v>
      </c>
      <c r="G553" s="14" t="s">
        <v>4591</v>
      </c>
      <c r="H553" s="14" t="s">
        <v>4592</v>
      </c>
      <c r="I553" s="14"/>
      <c r="J553" s="14" t="s">
        <v>4593</v>
      </c>
      <c r="K553" s="14" t="s">
        <v>307</v>
      </c>
      <c r="L553" s="14" t="s">
        <v>4594</v>
      </c>
      <c r="M553" s="14" t="s">
        <v>4595</v>
      </c>
      <c r="N553" s="14" t="s">
        <v>70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2" t="n">
        <f aca="false">AB553*(1+$L$3)</f>
        <v>0</v>
      </c>
      <c r="AD553" s="20"/>
      <c r="AE553" s="23" t="n">
        <f aca="false">AC553-AD553</f>
        <v>0</v>
      </c>
      <c r="AF553" s="21" t="str">
        <f aca="false">IFERROR(AD553/AC553,"")</f>
        <v/>
      </c>
    </row>
    <row r="554" customFormat="false" ht="15" hidden="false" customHeight="true" outlineLevel="0" collapsed="false">
      <c r="A554" s="14" t="n">
        <v>658496</v>
      </c>
      <c r="B554" s="14" t="n">
        <v>499510</v>
      </c>
      <c r="C554" s="14" t="s">
        <v>4596</v>
      </c>
      <c r="D554" s="14" t="s">
        <v>4589</v>
      </c>
      <c r="E554" s="14" t="s">
        <v>1394</v>
      </c>
      <c r="F554" s="14" t="s">
        <v>4597</v>
      </c>
      <c r="G554" s="14" t="s">
        <v>4591</v>
      </c>
      <c r="H554" s="14" t="s">
        <v>4598</v>
      </c>
      <c r="I554" s="14" t="s">
        <v>4599</v>
      </c>
      <c r="J554" s="14" t="s">
        <v>1934</v>
      </c>
      <c r="K554" s="14" t="s">
        <v>307</v>
      </c>
      <c r="L554" s="14" t="s">
        <v>4600</v>
      </c>
      <c r="M554" s="14" t="s">
        <v>4595</v>
      </c>
      <c r="N554" s="14" t="s">
        <v>70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2" t="n">
        <f aca="false">AB554*(1+$L$3)</f>
        <v>0</v>
      </c>
      <c r="AD554" s="20"/>
      <c r="AE554" s="23" t="n">
        <f aca="false">AC554-AD554</f>
        <v>0</v>
      </c>
      <c r="AF554" s="21" t="str">
        <f aca="false">IFERROR(AD554/AC554,"")</f>
        <v/>
      </c>
    </row>
    <row r="555" customFormat="false" ht="15" hidden="false" customHeight="true" outlineLevel="0" collapsed="false">
      <c r="A555" s="14" t="n">
        <v>658538</v>
      </c>
      <c r="B555" s="14" t="n">
        <v>499544</v>
      </c>
      <c r="C555" s="14" t="s">
        <v>4601</v>
      </c>
      <c r="D555" s="14" t="s">
        <v>4602</v>
      </c>
      <c r="E555" s="14" t="s">
        <v>4603</v>
      </c>
      <c r="F555" s="14" t="s">
        <v>4604</v>
      </c>
      <c r="G555" s="14" t="s">
        <v>4605</v>
      </c>
      <c r="H555" s="14" t="s">
        <v>4606</v>
      </c>
      <c r="I555" s="14" t="s">
        <v>4607</v>
      </c>
      <c r="J555" s="14" t="s">
        <v>4608</v>
      </c>
      <c r="K555" s="14" t="s">
        <v>1715</v>
      </c>
      <c r="L555" s="14" t="s">
        <v>4609</v>
      </c>
      <c r="M555" s="14" t="s">
        <v>4610</v>
      </c>
      <c r="N555" s="14" t="s">
        <v>70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2" t="n">
        <f aca="false">AB555*(1+$L$3)</f>
        <v>0</v>
      </c>
      <c r="AD555" s="20"/>
      <c r="AE555" s="23" t="n">
        <f aca="false">AC555-AD555</f>
        <v>0</v>
      </c>
      <c r="AF555" s="21" t="str">
        <f aca="false">IFERROR(AD555/AC555,"")</f>
        <v/>
      </c>
    </row>
    <row r="556" customFormat="false" ht="15" hidden="false" customHeight="true" outlineLevel="0" collapsed="false">
      <c r="A556" s="14" t="n">
        <v>658513</v>
      </c>
      <c r="B556" s="14" t="n">
        <v>499530</v>
      </c>
      <c r="C556" s="14" t="s">
        <v>4611</v>
      </c>
      <c r="D556" s="14" t="s">
        <v>4612</v>
      </c>
      <c r="E556" s="14" t="s">
        <v>4613</v>
      </c>
      <c r="F556" s="14" t="s">
        <v>4614</v>
      </c>
      <c r="G556" s="14" t="s">
        <v>4615</v>
      </c>
      <c r="H556" s="14" t="s">
        <v>4616</v>
      </c>
      <c r="I556" s="14" t="s">
        <v>4617</v>
      </c>
      <c r="J556" s="14" t="s">
        <v>4608</v>
      </c>
      <c r="K556" s="14" t="s">
        <v>1715</v>
      </c>
      <c r="L556" s="14" t="s">
        <v>4618</v>
      </c>
      <c r="M556" s="14" t="s">
        <v>4619</v>
      </c>
      <c r="N556" s="14" t="s">
        <v>70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2" t="n">
        <f aca="false">AB556*(1+$L$3)</f>
        <v>0</v>
      </c>
      <c r="AD556" s="20"/>
      <c r="AE556" s="23" t="n">
        <f aca="false">AC556-AD556</f>
        <v>0</v>
      </c>
      <c r="AF556" s="21" t="str">
        <f aca="false">IFERROR(AD556/AC556,"")</f>
        <v/>
      </c>
    </row>
    <row r="557" customFormat="false" ht="15" hidden="false" customHeight="true" outlineLevel="0" collapsed="false">
      <c r="A557" s="14" t="n">
        <v>658502</v>
      </c>
      <c r="B557" s="14" t="n">
        <v>499517</v>
      </c>
      <c r="C557" s="14" t="s">
        <v>4620</v>
      </c>
      <c r="D557" s="14" t="s">
        <v>4621</v>
      </c>
      <c r="E557" s="14" t="s">
        <v>4622</v>
      </c>
      <c r="F557" s="14" t="s">
        <v>4623</v>
      </c>
      <c r="G557" s="14" t="s">
        <v>4624</v>
      </c>
      <c r="H557" s="14" t="s">
        <v>4625</v>
      </c>
      <c r="I557" s="14" t="s">
        <v>4626</v>
      </c>
      <c r="J557" s="14" t="s">
        <v>4627</v>
      </c>
      <c r="K557" s="14" t="s">
        <v>1715</v>
      </c>
      <c r="L557" s="14" t="s">
        <v>4628</v>
      </c>
      <c r="M557" s="14" t="s">
        <v>4629</v>
      </c>
      <c r="N557" s="14" t="s">
        <v>70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2" t="n">
        <f aca="false">AB557*(1+$L$3)</f>
        <v>0</v>
      </c>
      <c r="AD557" s="20"/>
      <c r="AE557" s="23" t="n">
        <f aca="false">AC557-AD557</f>
        <v>0</v>
      </c>
      <c r="AF557" s="21" t="str">
        <f aca="false">IFERROR(AD557/AC557,"")</f>
        <v/>
      </c>
    </row>
    <row r="558" customFormat="false" ht="15" hidden="false" customHeight="true" outlineLevel="0" collapsed="false">
      <c r="A558" s="14" t="n">
        <v>658585</v>
      </c>
      <c r="B558" s="14" t="n">
        <v>499593</v>
      </c>
      <c r="C558" s="14" t="s">
        <v>4630</v>
      </c>
      <c r="D558" s="14" t="s">
        <v>4631</v>
      </c>
      <c r="E558" s="14" t="s">
        <v>4632</v>
      </c>
      <c r="F558" s="14" t="s">
        <v>4633</v>
      </c>
      <c r="G558" s="14" t="s">
        <v>4634</v>
      </c>
      <c r="H558" s="14" t="s">
        <v>4635</v>
      </c>
      <c r="I558" s="14"/>
      <c r="J558" s="14" t="s">
        <v>1299</v>
      </c>
      <c r="K558" s="14" t="s">
        <v>48</v>
      </c>
      <c r="L558" s="14" t="s">
        <v>1300</v>
      </c>
      <c r="M558" s="14" t="s">
        <v>4636</v>
      </c>
      <c r="N558" s="14" t="s">
        <v>70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2" t="n">
        <f aca="false">AB558*(1+$L$3)</f>
        <v>0</v>
      </c>
      <c r="AD558" s="20"/>
      <c r="AE558" s="23" t="n">
        <f aca="false">AC558-AD558</f>
        <v>0</v>
      </c>
      <c r="AF558" s="21" t="str">
        <f aca="false">IFERROR(AD558/AC558,"")</f>
        <v/>
      </c>
    </row>
    <row r="559" customFormat="false" ht="15" hidden="false" customHeight="true" outlineLevel="0" collapsed="false">
      <c r="A559" s="14" t="n">
        <v>658509</v>
      </c>
      <c r="B559" s="14" t="n">
        <v>499526</v>
      </c>
      <c r="C559" s="14" t="s">
        <v>4637</v>
      </c>
      <c r="D559" s="14" t="s">
        <v>4638</v>
      </c>
      <c r="E559" s="14" t="s">
        <v>4639</v>
      </c>
      <c r="F559" s="14" t="s">
        <v>4640</v>
      </c>
      <c r="G559" s="14" t="s">
        <v>4641</v>
      </c>
      <c r="H559" s="14" t="s">
        <v>4642</v>
      </c>
      <c r="I559" s="14" t="s">
        <v>1281</v>
      </c>
      <c r="J559" s="14" t="s">
        <v>3434</v>
      </c>
      <c r="K559" s="14" t="s">
        <v>335</v>
      </c>
      <c r="L559" s="14" t="s">
        <v>4643</v>
      </c>
      <c r="M559" s="14" t="s">
        <v>4644</v>
      </c>
      <c r="N559" s="14" t="s">
        <v>70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2" t="n">
        <f aca="false">AB559*(1+$L$3)</f>
        <v>0</v>
      </c>
      <c r="AD559" s="20"/>
      <c r="AE559" s="23" t="n">
        <f aca="false">AC559-AD559</f>
        <v>0</v>
      </c>
      <c r="AF559" s="21" t="str">
        <f aca="false">IFERROR(AD559/AC559,"")</f>
        <v/>
      </c>
    </row>
    <row r="560" customFormat="false" ht="15" hidden="false" customHeight="true" outlineLevel="0" collapsed="false">
      <c r="A560" s="14" t="n">
        <v>658547</v>
      </c>
      <c r="B560" s="14" t="n">
        <v>499554</v>
      </c>
      <c r="C560" s="14" t="s">
        <v>4645</v>
      </c>
      <c r="D560" s="14" t="s">
        <v>4646</v>
      </c>
      <c r="E560" s="14" t="s">
        <v>4647</v>
      </c>
      <c r="F560" s="14" t="s">
        <v>4648</v>
      </c>
      <c r="G560" s="14" t="s">
        <v>4649</v>
      </c>
      <c r="H560" s="14" t="s">
        <v>4650</v>
      </c>
      <c r="I560" s="14"/>
      <c r="J560" s="14" t="s">
        <v>2306</v>
      </c>
      <c r="K560" s="14" t="s">
        <v>67</v>
      </c>
      <c r="L560" s="14" t="s">
        <v>2307</v>
      </c>
      <c r="M560" s="14" t="s">
        <v>4651</v>
      </c>
      <c r="N560" s="14" t="s">
        <v>70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2" t="n">
        <f aca="false">AB560*(1+$L$3)</f>
        <v>0</v>
      </c>
      <c r="AD560" s="20"/>
      <c r="AE560" s="23" t="n">
        <f aca="false">AC560-AD560</f>
        <v>0</v>
      </c>
      <c r="AF560" s="21" t="str">
        <f aca="false">IFERROR(AD560/AC560,"")</f>
        <v/>
      </c>
    </row>
    <row r="561" customFormat="false" ht="15" hidden="false" customHeight="true" outlineLevel="0" collapsed="false">
      <c r="A561" s="14" t="n">
        <v>658476</v>
      </c>
      <c r="B561" s="14" t="n">
        <v>499488</v>
      </c>
      <c r="C561" s="14" t="s">
        <v>4652</v>
      </c>
      <c r="D561" s="14" t="s">
        <v>4653</v>
      </c>
      <c r="E561" s="14" t="s">
        <v>4654</v>
      </c>
      <c r="F561" s="14" t="s">
        <v>4655</v>
      </c>
      <c r="G561" s="14" t="s">
        <v>4656</v>
      </c>
      <c r="H561" s="14" t="s">
        <v>4657</v>
      </c>
      <c r="I561" s="14"/>
      <c r="J561" s="14" t="s">
        <v>4658</v>
      </c>
      <c r="K561" s="14" t="s">
        <v>307</v>
      </c>
      <c r="L561" s="14" t="s">
        <v>4659</v>
      </c>
      <c r="M561" s="14" t="s">
        <v>4660</v>
      </c>
      <c r="N561" s="14" t="s">
        <v>70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2" t="n">
        <f aca="false">AB561*(1+$L$3)</f>
        <v>0</v>
      </c>
      <c r="AD561" s="20"/>
      <c r="AE561" s="23" t="n">
        <f aca="false">AC561-AD561</f>
        <v>0</v>
      </c>
      <c r="AF561" s="21" t="str">
        <f aca="false">IFERROR(AD561/AC561,"")</f>
        <v/>
      </c>
    </row>
    <row r="562" customFormat="false" ht="15" hidden="false" customHeight="true" outlineLevel="0" collapsed="false">
      <c r="A562" s="14" t="n">
        <v>660156</v>
      </c>
      <c r="B562" s="14" t="n">
        <v>501164</v>
      </c>
      <c r="C562" s="14" t="s">
        <v>4661</v>
      </c>
      <c r="D562" s="14" t="s">
        <v>4653</v>
      </c>
      <c r="E562" s="14" t="s">
        <v>4654</v>
      </c>
      <c r="F562" s="14" t="s">
        <v>4662</v>
      </c>
      <c r="G562" s="14" t="s">
        <v>4656</v>
      </c>
      <c r="H562" s="14" t="s">
        <v>4663</v>
      </c>
      <c r="I562" s="14" t="s">
        <v>4664</v>
      </c>
      <c r="J562" s="14" t="s">
        <v>4665</v>
      </c>
      <c r="K562" s="14" t="s">
        <v>307</v>
      </c>
      <c r="L562" s="14" t="s">
        <v>4666</v>
      </c>
      <c r="M562" s="14" t="s">
        <v>4660</v>
      </c>
      <c r="N562" s="14" t="s">
        <v>70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2" t="n">
        <f aca="false">AB562*(1+$L$3)</f>
        <v>0</v>
      </c>
      <c r="AD562" s="20"/>
      <c r="AE562" s="23" t="n">
        <f aca="false">AC562-AD562</f>
        <v>0</v>
      </c>
      <c r="AF562" s="21" t="str">
        <f aca="false">IFERROR(AD562/AC562,"")</f>
        <v/>
      </c>
    </row>
    <row r="563" customFormat="false" ht="15" hidden="false" customHeight="true" outlineLevel="0" collapsed="false">
      <c r="A563" s="14" t="n">
        <v>658469</v>
      </c>
      <c r="B563" s="14" t="n">
        <v>499481</v>
      </c>
      <c r="C563" s="14" t="s">
        <v>4667</v>
      </c>
      <c r="D563" s="14" t="s">
        <v>4668</v>
      </c>
      <c r="E563" s="14" t="s">
        <v>4669</v>
      </c>
      <c r="F563" s="14" t="s">
        <v>4670</v>
      </c>
      <c r="G563" s="14" t="s">
        <v>4671</v>
      </c>
      <c r="H563" s="14" t="s">
        <v>4672</v>
      </c>
      <c r="I563" s="14"/>
      <c r="J563" s="14" t="s">
        <v>4673</v>
      </c>
      <c r="K563" s="14" t="s">
        <v>1545</v>
      </c>
      <c r="L563" s="14" t="s">
        <v>4674</v>
      </c>
      <c r="M563" s="14" t="s">
        <v>4675</v>
      </c>
      <c r="N563" s="14" t="s">
        <v>70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2" t="n">
        <f aca="false">AB563*(1+$L$3)</f>
        <v>0</v>
      </c>
      <c r="AD563" s="20"/>
      <c r="AE563" s="23" t="n">
        <f aca="false">AC563-AD563</f>
        <v>0</v>
      </c>
      <c r="AF563" s="21" t="str">
        <f aca="false">IFERROR(AD563/AC563,"")</f>
        <v/>
      </c>
    </row>
    <row r="564" customFormat="false" ht="15" hidden="false" customHeight="true" outlineLevel="0" collapsed="false">
      <c r="A564" s="14" t="n">
        <v>658432</v>
      </c>
      <c r="B564" s="14" t="n">
        <v>499445</v>
      </c>
      <c r="C564" s="14" t="s">
        <v>4676</v>
      </c>
      <c r="D564" s="14" t="s">
        <v>4677</v>
      </c>
      <c r="E564" s="14" t="s">
        <v>4678</v>
      </c>
      <c r="F564" s="14" t="s">
        <v>4679</v>
      </c>
      <c r="G564" s="14" t="s">
        <v>4680</v>
      </c>
      <c r="H564" s="14" t="s">
        <v>4681</v>
      </c>
      <c r="I564" s="14" t="s">
        <v>2828</v>
      </c>
      <c r="J564" s="14" t="s">
        <v>1354</v>
      </c>
      <c r="K564" s="14" t="s">
        <v>67</v>
      </c>
      <c r="L564" s="14" t="s">
        <v>1355</v>
      </c>
      <c r="M564" s="14" t="s">
        <v>4682</v>
      </c>
      <c r="N564" s="14" t="s">
        <v>70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2" t="n">
        <f aca="false">AB564*(1+$L$3)</f>
        <v>0</v>
      </c>
      <c r="AD564" s="20"/>
      <c r="AE564" s="23" t="n">
        <f aca="false">AC564-AD564</f>
        <v>0</v>
      </c>
      <c r="AF564" s="21" t="str">
        <f aca="false">IFERROR(AD564/AC564,"")</f>
        <v/>
      </c>
    </row>
    <row r="565" customFormat="false" ht="15" hidden="false" customHeight="true" outlineLevel="0" collapsed="false">
      <c r="A565" s="14" t="n">
        <v>658420</v>
      </c>
      <c r="B565" s="14" t="n">
        <v>499433</v>
      </c>
      <c r="C565" s="14" t="s">
        <v>4683</v>
      </c>
      <c r="D565" s="14" t="s">
        <v>4684</v>
      </c>
      <c r="E565" s="14" t="s">
        <v>4685</v>
      </c>
      <c r="F565" s="14" t="s">
        <v>4686</v>
      </c>
      <c r="G565" s="14" t="s">
        <v>4687</v>
      </c>
      <c r="H565" s="14" t="s">
        <v>4688</v>
      </c>
      <c r="I565" s="14"/>
      <c r="J565" s="14" t="s">
        <v>1714</v>
      </c>
      <c r="K565" s="14" t="s">
        <v>1715</v>
      </c>
      <c r="L565" s="14" t="s">
        <v>4689</v>
      </c>
      <c r="M565" s="14" t="s">
        <v>4690</v>
      </c>
      <c r="N565" s="14" t="s">
        <v>70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2" t="n">
        <f aca="false">AB565*(1+$L$3)</f>
        <v>0</v>
      </c>
      <c r="AD565" s="20"/>
      <c r="AE565" s="23" t="n">
        <f aca="false">AC565-AD565</f>
        <v>0</v>
      </c>
      <c r="AF565" s="21" t="str">
        <f aca="false">IFERROR(AD565/AC565,"")</f>
        <v/>
      </c>
    </row>
    <row r="566" customFormat="false" ht="15" hidden="false" customHeight="true" outlineLevel="0" collapsed="false">
      <c r="A566" s="14" t="n">
        <v>658196</v>
      </c>
      <c r="B566" s="14" t="n">
        <v>499200</v>
      </c>
      <c r="C566" s="14" t="s">
        <v>4691</v>
      </c>
      <c r="D566" s="14" t="s">
        <v>4692</v>
      </c>
      <c r="E566" s="14" t="s">
        <v>4693</v>
      </c>
      <c r="F566" s="14" t="s">
        <v>4694</v>
      </c>
      <c r="G566" s="14" t="s">
        <v>4695</v>
      </c>
      <c r="H566" s="14" t="s">
        <v>4696</v>
      </c>
      <c r="I566" s="14"/>
      <c r="J566" s="14" t="s">
        <v>2306</v>
      </c>
      <c r="K566" s="14" t="s">
        <v>67</v>
      </c>
      <c r="L566" s="14" t="s">
        <v>2307</v>
      </c>
      <c r="M566" s="14" t="s">
        <v>4697</v>
      </c>
      <c r="N566" s="14" t="s">
        <v>70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2" t="n">
        <f aca="false">AB566*(1+$L$3)</f>
        <v>0</v>
      </c>
      <c r="AD566" s="20"/>
      <c r="AE566" s="23" t="n">
        <f aca="false">AC566-AD566</f>
        <v>0</v>
      </c>
      <c r="AF566" s="21" t="str">
        <f aca="false">IFERROR(AD566/AC566,"")</f>
        <v/>
      </c>
    </row>
    <row r="567" customFormat="false" ht="15" hidden="false" customHeight="true" outlineLevel="0" collapsed="false">
      <c r="A567" s="14"/>
      <c r="B567" s="14"/>
      <c r="C567" s="14" t="s">
        <v>4698</v>
      </c>
      <c r="D567" s="14" t="s">
        <v>4699</v>
      </c>
      <c r="E567" s="14" t="s">
        <v>4700</v>
      </c>
      <c r="F567" s="14"/>
      <c r="G567" s="14"/>
      <c r="H567" s="14" t="s">
        <v>4701</v>
      </c>
      <c r="I567" s="14"/>
      <c r="J567" s="14" t="s">
        <v>4702</v>
      </c>
      <c r="K567" s="14" t="s">
        <v>4703</v>
      </c>
      <c r="L567" s="14" t="s">
        <v>4704</v>
      </c>
      <c r="M567" s="14" t="s">
        <v>3752</v>
      </c>
      <c r="N567" s="14" t="s">
        <v>70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2" t="n">
        <f aca="false">AB567*(1+$L$3)</f>
        <v>0</v>
      </c>
      <c r="AD567" s="20"/>
      <c r="AE567" s="23" t="n">
        <f aca="false">AC567-AD567</f>
        <v>0</v>
      </c>
      <c r="AF567" s="21" t="str">
        <f aca="false">IFERROR(AD567/AC567,"")</f>
        <v/>
      </c>
    </row>
    <row r="568" customFormat="false" ht="15" hidden="false" customHeight="true" outlineLevel="0" collapsed="false">
      <c r="A568" s="14" t="n">
        <v>658271</v>
      </c>
      <c r="B568" s="14" t="n">
        <v>499285</v>
      </c>
      <c r="C568" s="14" t="s">
        <v>4705</v>
      </c>
      <c r="D568" s="14" t="s">
        <v>4706</v>
      </c>
      <c r="E568" s="14" t="s">
        <v>4707</v>
      </c>
      <c r="F568" s="14" t="s">
        <v>4708</v>
      </c>
      <c r="G568" s="14" t="s">
        <v>4709</v>
      </c>
      <c r="H568" s="14" t="s">
        <v>4710</v>
      </c>
      <c r="I568" s="14"/>
      <c r="J568" s="14" t="s">
        <v>4711</v>
      </c>
      <c r="K568" s="14" t="s">
        <v>932</v>
      </c>
      <c r="L568" s="14" t="s">
        <v>4712</v>
      </c>
      <c r="M568" s="14" t="s">
        <v>4713</v>
      </c>
      <c r="N568" s="14" t="s">
        <v>70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2" t="n">
        <f aca="false">AB568*(1+$L$3)</f>
        <v>0</v>
      </c>
      <c r="AD568" s="20"/>
      <c r="AE568" s="23" t="n">
        <f aca="false">AC568-AD568</f>
        <v>0</v>
      </c>
      <c r="AF568" s="21" t="str">
        <f aca="false">IFERROR(AD568/AC568,"")</f>
        <v/>
      </c>
    </row>
    <row r="569" customFormat="false" ht="15" hidden="false" customHeight="true" outlineLevel="0" collapsed="false">
      <c r="A569" s="14" t="n">
        <v>658262</v>
      </c>
      <c r="B569" s="14" t="n">
        <v>499273</v>
      </c>
      <c r="C569" s="14" t="s">
        <v>4714</v>
      </c>
      <c r="D569" s="14" t="s">
        <v>4715</v>
      </c>
      <c r="E569" s="14" t="s">
        <v>4716</v>
      </c>
      <c r="F569" s="14" t="s">
        <v>4717</v>
      </c>
      <c r="G569" s="14" t="s">
        <v>4718</v>
      </c>
      <c r="H569" s="14" t="s">
        <v>4719</v>
      </c>
      <c r="I569" s="14"/>
      <c r="J569" s="14" t="s">
        <v>4702</v>
      </c>
      <c r="K569" s="14" t="s">
        <v>4703</v>
      </c>
      <c r="L569" s="14" t="s">
        <v>4720</v>
      </c>
      <c r="M569" s="14" t="s">
        <v>4721</v>
      </c>
      <c r="N569" s="14" t="s">
        <v>70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2" t="n">
        <f aca="false">AB569*(1+$L$3)</f>
        <v>0</v>
      </c>
      <c r="AD569" s="20"/>
      <c r="AE569" s="23" t="n">
        <f aca="false">AC569-AD569</f>
        <v>0</v>
      </c>
      <c r="AF569" s="21" t="str">
        <f aca="false">IFERROR(AD569/AC569,"")</f>
        <v/>
      </c>
    </row>
    <row r="570" customFormat="false" ht="15" hidden="false" customHeight="true" outlineLevel="0" collapsed="false">
      <c r="A570" s="14" t="n">
        <v>660281</v>
      </c>
      <c r="B570" s="14" t="n">
        <v>501289</v>
      </c>
      <c r="C570" s="14" t="s">
        <v>4722</v>
      </c>
      <c r="D570" s="14" t="s">
        <v>4723</v>
      </c>
      <c r="E570" s="14" t="s">
        <v>4724</v>
      </c>
      <c r="F570" s="14" t="s">
        <v>4725</v>
      </c>
      <c r="G570" s="14" t="s">
        <v>4726</v>
      </c>
      <c r="H570" s="14" t="s">
        <v>4727</v>
      </c>
      <c r="I570" s="14"/>
      <c r="J570" s="14" t="s">
        <v>2193</v>
      </c>
      <c r="K570" s="14" t="s">
        <v>307</v>
      </c>
      <c r="L570" s="14" t="s">
        <v>2194</v>
      </c>
      <c r="M570" s="14" t="s">
        <v>4728</v>
      </c>
      <c r="N570" s="14" t="s">
        <v>70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2" t="n">
        <f aca="false">AB570*(1+$L$3)</f>
        <v>0</v>
      </c>
      <c r="AD570" s="20"/>
      <c r="AE570" s="23" t="n">
        <f aca="false">AC570-AD570</f>
        <v>0</v>
      </c>
      <c r="AF570" s="21" t="str">
        <f aca="false">IFERROR(AD570/AC570,"")</f>
        <v/>
      </c>
    </row>
    <row r="571" customFormat="false" ht="15" hidden="false" customHeight="true" outlineLevel="0" collapsed="false">
      <c r="A571" s="14" t="n">
        <v>658169</v>
      </c>
      <c r="B571" s="14" t="n">
        <v>499173</v>
      </c>
      <c r="C571" s="14" t="s">
        <v>4729</v>
      </c>
      <c r="D571" s="14" t="s">
        <v>4730</v>
      </c>
      <c r="E571" s="14" t="s">
        <v>4731</v>
      </c>
      <c r="F571" s="14" t="s">
        <v>4732</v>
      </c>
      <c r="G571" s="14" t="s">
        <v>4733</v>
      </c>
      <c r="H571" s="14" t="s">
        <v>4734</v>
      </c>
      <c r="I571" s="14"/>
      <c r="J571" s="14" t="s">
        <v>4735</v>
      </c>
      <c r="K571" s="14" t="s">
        <v>2287</v>
      </c>
      <c r="L571" s="14" t="s">
        <v>4736</v>
      </c>
      <c r="M571" s="14" t="s">
        <v>4737</v>
      </c>
      <c r="N571" s="14" t="s">
        <v>70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2" t="n">
        <f aca="false">AB571*(1+$L$3)</f>
        <v>0</v>
      </c>
      <c r="AD571" s="20"/>
      <c r="AE571" s="23" t="n">
        <f aca="false">AC571-AD571</f>
        <v>0</v>
      </c>
      <c r="AF571" s="21" t="str">
        <f aca="false">IFERROR(AD571/AC571,"")</f>
        <v/>
      </c>
    </row>
    <row r="572" customFormat="false" ht="15" hidden="false" customHeight="true" outlineLevel="0" collapsed="false">
      <c r="A572" s="14" t="n">
        <v>658272</v>
      </c>
      <c r="B572" s="14" t="n">
        <v>499286</v>
      </c>
      <c r="C572" s="14" t="s">
        <v>4738</v>
      </c>
      <c r="D572" s="14" t="s">
        <v>4739</v>
      </c>
      <c r="E572" s="14" t="s">
        <v>4740</v>
      </c>
      <c r="F572" s="14" t="s">
        <v>4741</v>
      </c>
      <c r="G572" s="14" t="s">
        <v>4742</v>
      </c>
      <c r="H572" s="14" t="s">
        <v>4743</v>
      </c>
      <c r="I572" s="14" t="s">
        <v>129</v>
      </c>
      <c r="J572" s="14" t="s">
        <v>531</v>
      </c>
      <c r="K572" s="14" t="s">
        <v>48</v>
      </c>
      <c r="L572" s="14" t="s">
        <v>532</v>
      </c>
      <c r="M572" s="14" t="s">
        <v>4744</v>
      </c>
      <c r="N572" s="14" t="s">
        <v>70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2" t="n">
        <f aca="false">AB572*(1+$L$3)</f>
        <v>0</v>
      </c>
      <c r="AD572" s="20"/>
      <c r="AE572" s="23" t="n">
        <f aca="false">AC572-AD572</f>
        <v>0</v>
      </c>
      <c r="AF572" s="21" t="str">
        <f aca="false">IFERROR(AD572/AC572,"")</f>
        <v/>
      </c>
    </row>
    <row r="573" customFormat="false" ht="15" hidden="false" customHeight="true" outlineLevel="0" collapsed="false">
      <c r="A573" s="14" t="n">
        <v>658073</v>
      </c>
      <c r="B573" s="14" t="n">
        <v>499076</v>
      </c>
      <c r="C573" s="14" t="s">
        <v>4745</v>
      </c>
      <c r="D573" s="14" t="s">
        <v>4746</v>
      </c>
      <c r="E573" s="14" t="s">
        <v>4747</v>
      </c>
      <c r="F573" s="14" t="s">
        <v>4748</v>
      </c>
      <c r="G573" s="14" t="s">
        <v>4749</v>
      </c>
      <c r="H573" s="14" t="s">
        <v>4750</v>
      </c>
      <c r="I573" s="14"/>
      <c r="J573" s="14" t="s">
        <v>316</v>
      </c>
      <c r="K573" s="14" t="s">
        <v>307</v>
      </c>
      <c r="L573" s="14" t="s">
        <v>4751</v>
      </c>
      <c r="M573" s="14" t="s">
        <v>4752</v>
      </c>
      <c r="N573" s="14" t="s">
        <v>70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2" t="n">
        <f aca="false">AB573*(1+$L$3)</f>
        <v>0</v>
      </c>
      <c r="AD573" s="20"/>
      <c r="AE573" s="23" t="n">
        <f aca="false">AC573-AD573</f>
        <v>0</v>
      </c>
      <c r="AF573" s="21" t="str">
        <f aca="false">IFERROR(AD573/AC573,"")</f>
        <v/>
      </c>
    </row>
    <row r="574" customFormat="false" ht="15" hidden="false" customHeight="true" outlineLevel="0" collapsed="false">
      <c r="A574" s="14" t="n">
        <v>658041</v>
      </c>
      <c r="B574" s="14" t="n">
        <v>499044</v>
      </c>
      <c r="C574" s="14" t="s">
        <v>4753</v>
      </c>
      <c r="D574" s="14" t="s">
        <v>4754</v>
      </c>
      <c r="E574" s="14" t="s">
        <v>4755</v>
      </c>
      <c r="F574" s="14" t="s">
        <v>4756</v>
      </c>
      <c r="G574" s="14" t="s">
        <v>4757</v>
      </c>
      <c r="H574" s="14" t="s">
        <v>4758</v>
      </c>
      <c r="I574" s="14"/>
      <c r="J574" s="14" t="s">
        <v>566</v>
      </c>
      <c r="K574" s="14" t="s">
        <v>48</v>
      </c>
      <c r="L574" s="14" t="s">
        <v>1432</v>
      </c>
      <c r="M574" s="14" t="s">
        <v>4759</v>
      </c>
      <c r="N574" s="14" t="s">
        <v>70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2" t="n">
        <f aca="false">AB574*(1+$L$3)</f>
        <v>0</v>
      </c>
      <c r="AD574" s="20"/>
      <c r="AE574" s="23" t="n">
        <f aca="false">AC574-AD574</f>
        <v>0</v>
      </c>
      <c r="AF574" s="21" t="str">
        <f aca="false">IFERROR(AD574/AC574,"")</f>
        <v/>
      </c>
    </row>
    <row r="575" customFormat="false" ht="15" hidden="false" customHeight="true" outlineLevel="0" collapsed="false">
      <c r="A575" s="14" t="n">
        <v>658043</v>
      </c>
      <c r="B575" s="14" t="n">
        <v>499046</v>
      </c>
      <c r="C575" s="14" t="s">
        <v>4760</v>
      </c>
      <c r="D575" s="14" t="s">
        <v>4761</v>
      </c>
      <c r="E575" s="14" t="s">
        <v>4762</v>
      </c>
      <c r="F575" s="14" t="s">
        <v>4763</v>
      </c>
      <c r="G575" s="14" t="s">
        <v>4764</v>
      </c>
      <c r="H575" s="14" t="s">
        <v>4765</v>
      </c>
      <c r="I575" s="14"/>
      <c r="J575" s="14" t="s">
        <v>862</v>
      </c>
      <c r="K575" s="14" t="s">
        <v>48</v>
      </c>
      <c r="L575" s="14" t="s">
        <v>4766</v>
      </c>
      <c r="M575" s="14" t="s">
        <v>4767</v>
      </c>
      <c r="N575" s="14" t="s">
        <v>70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2" t="n">
        <f aca="false">AB575*(1+$L$3)</f>
        <v>0</v>
      </c>
      <c r="AD575" s="20"/>
      <c r="AE575" s="23" t="n">
        <f aca="false">AC575-AD575</f>
        <v>0</v>
      </c>
      <c r="AF575" s="21" t="str">
        <f aca="false">IFERROR(AD575/AC575,"")</f>
        <v/>
      </c>
    </row>
    <row r="576" customFormat="false" ht="15" hidden="false" customHeight="true" outlineLevel="0" collapsed="false">
      <c r="A576" s="14" t="n">
        <v>658166</v>
      </c>
      <c r="B576" s="14" t="n">
        <v>499170</v>
      </c>
      <c r="C576" s="14" t="s">
        <v>4768</v>
      </c>
      <c r="D576" s="14" t="s">
        <v>4769</v>
      </c>
      <c r="E576" s="14" t="s">
        <v>4770</v>
      </c>
      <c r="F576" s="14" t="s">
        <v>4771</v>
      </c>
      <c r="G576" s="14" t="s">
        <v>4772</v>
      </c>
      <c r="H576" s="14" t="s">
        <v>4773</v>
      </c>
      <c r="I576" s="14"/>
      <c r="J576" s="14" t="s">
        <v>871</v>
      </c>
      <c r="K576" s="14" t="s">
        <v>307</v>
      </c>
      <c r="L576" s="14" t="s">
        <v>872</v>
      </c>
      <c r="M576" s="14" t="s">
        <v>4774</v>
      </c>
      <c r="N576" s="14" t="s">
        <v>70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2" t="n">
        <f aca="false">AB576*(1+$L$3)</f>
        <v>0</v>
      </c>
      <c r="AD576" s="20"/>
      <c r="AE576" s="23" t="n">
        <f aca="false">AC576-AD576</f>
        <v>0</v>
      </c>
      <c r="AF576" s="21" t="str">
        <f aca="false">IFERROR(AD576/AC576,"")</f>
        <v/>
      </c>
    </row>
    <row r="577" customFormat="false" ht="15" hidden="false" customHeight="true" outlineLevel="0" collapsed="false">
      <c r="A577" s="14" t="n">
        <v>658022</v>
      </c>
      <c r="B577" s="14" t="n">
        <v>499026</v>
      </c>
      <c r="C577" s="14" t="s">
        <v>4775</v>
      </c>
      <c r="D577" s="14" t="s">
        <v>2644</v>
      </c>
      <c r="E577" s="14" t="s">
        <v>244</v>
      </c>
      <c r="F577" s="14" t="s">
        <v>4776</v>
      </c>
      <c r="G577" s="14" t="s">
        <v>2646</v>
      </c>
      <c r="H577" s="14" t="s">
        <v>4777</v>
      </c>
      <c r="I577" s="14"/>
      <c r="J577" s="14" t="s">
        <v>4778</v>
      </c>
      <c r="K577" s="14" t="s">
        <v>67</v>
      </c>
      <c r="L577" s="14" t="s">
        <v>4779</v>
      </c>
      <c r="M577" s="14" t="s">
        <v>2648</v>
      </c>
      <c r="N577" s="14" t="s">
        <v>70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 t="n">
        <v>25</v>
      </c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2" t="n">
        <f aca="false">AB577*(1+$L$3)</f>
        <v>0</v>
      </c>
      <c r="AD577" s="20"/>
      <c r="AE577" s="23" t="n">
        <f aca="false">AC577-AD577</f>
        <v>0</v>
      </c>
      <c r="AF577" s="21" t="str">
        <f aca="false">IFERROR(AD577/AC577,"")</f>
        <v/>
      </c>
    </row>
    <row r="578" customFormat="false" ht="15" hidden="false" customHeight="true" outlineLevel="0" collapsed="false">
      <c r="A578" s="14" t="n">
        <v>658021</v>
      </c>
      <c r="B578" s="14" t="n">
        <v>499025</v>
      </c>
      <c r="C578" s="14" t="s">
        <v>4780</v>
      </c>
      <c r="D578" s="14" t="s">
        <v>2644</v>
      </c>
      <c r="E578" s="14" t="s">
        <v>244</v>
      </c>
      <c r="F578" s="14" t="s">
        <v>4781</v>
      </c>
      <c r="G578" s="14" t="s">
        <v>2646</v>
      </c>
      <c r="H578" s="14" t="s">
        <v>4782</v>
      </c>
      <c r="I578" s="14"/>
      <c r="J578" s="14" t="s">
        <v>4783</v>
      </c>
      <c r="K578" s="14" t="s">
        <v>67</v>
      </c>
      <c r="L578" s="14" t="s">
        <v>4784</v>
      </c>
      <c r="M578" s="14" t="s">
        <v>2648</v>
      </c>
      <c r="N578" s="14" t="s">
        <v>70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2" t="n">
        <f aca="false">AB578*(1+$L$3)</f>
        <v>0</v>
      </c>
      <c r="AD578" s="20"/>
      <c r="AE578" s="23" t="n">
        <f aca="false">AC578-AD578</f>
        <v>0</v>
      </c>
      <c r="AF578" s="21" t="str">
        <f aca="false">IFERROR(AD578/AC578,"")</f>
        <v/>
      </c>
    </row>
    <row r="579" customFormat="false" ht="15" hidden="false" customHeight="true" outlineLevel="0" collapsed="false">
      <c r="A579" s="14" t="n">
        <v>658019</v>
      </c>
      <c r="B579" s="14" t="n">
        <v>499023</v>
      </c>
      <c r="C579" s="14" t="s">
        <v>4785</v>
      </c>
      <c r="D579" s="14" t="s">
        <v>2644</v>
      </c>
      <c r="E579" s="14" t="s">
        <v>244</v>
      </c>
      <c r="F579" s="14" t="s">
        <v>4786</v>
      </c>
      <c r="G579" s="14" t="s">
        <v>2646</v>
      </c>
      <c r="H579" s="14" t="s">
        <v>4787</v>
      </c>
      <c r="I579" s="14"/>
      <c r="J579" s="14" t="s">
        <v>4788</v>
      </c>
      <c r="K579" s="14" t="s">
        <v>67</v>
      </c>
      <c r="L579" s="14" t="s">
        <v>1977</v>
      </c>
      <c r="M579" s="14" t="s">
        <v>2648</v>
      </c>
      <c r="N579" s="14" t="s">
        <v>70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2" t="n">
        <f aca="false">AB579*(1+$L$3)</f>
        <v>0</v>
      </c>
      <c r="AD579" s="20"/>
      <c r="AE579" s="23" t="n">
        <f aca="false">AC579-AD579</f>
        <v>0</v>
      </c>
      <c r="AF579" s="21" t="str">
        <f aca="false">IFERROR(AD579/AC579,"")</f>
        <v/>
      </c>
    </row>
    <row r="580" customFormat="false" ht="15" hidden="false" customHeight="true" outlineLevel="0" collapsed="false">
      <c r="A580" s="14" t="n">
        <v>658018</v>
      </c>
      <c r="B580" s="14" t="n">
        <v>499022</v>
      </c>
      <c r="C580" s="14" t="s">
        <v>4789</v>
      </c>
      <c r="D580" s="14" t="s">
        <v>2644</v>
      </c>
      <c r="E580" s="14" t="s">
        <v>244</v>
      </c>
      <c r="F580" s="14" t="s">
        <v>4790</v>
      </c>
      <c r="G580" s="14" t="s">
        <v>2646</v>
      </c>
      <c r="H580" s="14" t="s">
        <v>4791</v>
      </c>
      <c r="I580" s="14" t="s">
        <v>4792</v>
      </c>
      <c r="J580" s="14" t="s">
        <v>4793</v>
      </c>
      <c r="K580" s="14" t="s">
        <v>67</v>
      </c>
      <c r="L580" s="14" t="s">
        <v>4794</v>
      </c>
      <c r="M580" s="14" t="s">
        <v>2648</v>
      </c>
      <c r="N580" s="14" t="s">
        <v>70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 t="n">
        <v>30</v>
      </c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2" t="n">
        <f aca="false">AB580*(1+$L$3)</f>
        <v>0</v>
      </c>
      <c r="AD580" s="20"/>
      <c r="AE580" s="23" t="n">
        <f aca="false">AC580-AD580</f>
        <v>0</v>
      </c>
      <c r="AF580" s="21" t="str">
        <f aca="false">IFERROR(AD580/AC580,"")</f>
        <v/>
      </c>
    </row>
    <row r="581" customFormat="false" ht="15" hidden="false" customHeight="true" outlineLevel="0" collapsed="false">
      <c r="A581" s="14" t="n">
        <v>658000</v>
      </c>
      <c r="B581" s="14" t="n">
        <v>499005</v>
      </c>
      <c r="C581" s="14" t="s">
        <v>4795</v>
      </c>
      <c r="D581" s="14" t="s">
        <v>4796</v>
      </c>
      <c r="E581" s="14" t="s">
        <v>4797</v>
      </c>
      <c r="F581" s="14" t="s">
        <v>4798</v>
      </c>
      <c r="G581" s="14" t="s">
        <v>4799</v>
      </c>
      <c r="H581" s="14" t="s">
        <v>4800</v>
      </c>
      <c r="I581" s="14"/>
      <c r="J581" s="14" t="s">
        <v>489</v>
      </c>
      <c r="K581" s="14" t="s">
        <v>307</v>
      </c>
      <c r="L581" s="14" t="s">
        <v>4801</v>
      </c>
      <c r="M581" s="14" t="s">
        <v>4802</v>
      </c>
      <c r="N581" s="14" t="s">
        <v>70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2" t="n">
        <f aca="false">AB581*(1+$L$3)</f>
        <v>0</v>
      </c>
      <c r="AD581" s="20"/>
      <c r="AE581" s="23" t="n">
        <f aca="false">AC581-AD581</f>
        <v>0</v>
      </c>
      <c r="AF581" s="21" t="str">
        <f aca="false">IFERROR(AD581/AC581,"")</f>
        <v/>
      </c>
    </row>
    <row r="582" customFormat="false" ht="15" hidden="false" customHeight="true" outlineLevel="0" collapsed="false">
      <c r="A582" s="14"/>
      <c r="B582" s="14"/>
      <c r="C582" s="14" t="s">
        <v>4803</v>
      </c>
      <c r="D582" s="14" t="s">
        <v>4804</v>
      </c>
      <c r="E582" s="14" t="s">
        <v>4805</v>
      </c>
      <c r="F582" s="14"/>
      <c r="G582" s="14"/>
      <c r="H582" s="14" t="s">
        <v>4806</v>
      </c>
      <c r="I582" s="14"/>
      <c r="J582" s="14" t="s">
        <v>4147</v>
      </c>
      <c r="K582" s="14" t="s">
        <v>1160</v>
      </c>
      <c r="L582" s="14" t="s">
        <v>4807</v>
      </c>
      <c r="M582" s="14" t="s">
        <v>3752</v>
      </c>
      <c r="N582" s="14" t="s">
        <v>70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2" t="n">
        <f aca="false">AB582*(1+$L$3)</f>
        <v>0</v>
      </c>
      <c r="AD582" s="20"/>
      <c r="AE582" s="23" t="n">
        <f aca="false">AC582-AD582</f>
        <v>0</v>
      </c>
      <c r="AF582" s="21" t="str">
        <f aca="false">IFERROR(AD582/AC582,"")</f>
        <v/>
      </c>
    </row>
    <row r="583" customFormat="false" ht="15" hidden="false" customHeight="true" outlineLevel="0" collapsed="false">
      <c r="A583" s="14" t="n">
        <v>657807</v>
      </c>
      <c r="B583" s="14" t="n">
        <v>498815</v>
      </c>
      <c r="C583" s="14" t="s">
        <v>4808</v>
      </c>
      <c r="D583" s="14" t="s">
        <v>4809</v>
      </c>
      <c r="E583" s="14" t="s">
        <v>4810</v>
      </c>
      <c r="F583" s="14" t="s">
        <v>4811</v>
      </c>
      <c r="G583" s="14" t="s">
        <v>4812</v>
      </c>
      <c r="H583" s="14" t="s">
        <v>4813</v>
      </c>
      <c r="I583" s="14"/>
      <c r="J583" s="14" t="s">
        <v>4814</v>
      </c>
      <c r="K583" s="14" t="s">
        <v>2316</v>
      </c>
      <c r="L583" s="14" t="s">
        <v>4815</v>
      </c>
      <c r="M583" s="14" t="s">
        <v>4816</v>
      </c>
      <c r="N583" s="14" t="s">
        <v>70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2" t="n">
        <f aca="false">AB583*(1+$L$3)</f>
        <v>0</v>
      </c>
      <c r="AD583" s="20"/>
      <c r="AE583" s="23" t="n">
        <f aca="false">AC583-AD583</f>
        <v>0</v>
      </c>
      <c r="AF583" s="21" t="str">
        <f aca="false">IFERROR(AD583/AC583,"")</f>
        <v/>
      </c>
    </row>
    <row r="584" customFormat="false" ht="15" hidden="false" customHeight="true" outlineLevel="0" collapsed="false">
      <c r="A584" s="14" t="n">
        <v>657983</v>
      </c>
      <c r="B584" s="14" t="n">
        <v>498988</v>
      </c>
      <c r="C584" s="14" t="s">
        <v>4817</v>
      </c>
      <c r="D584" s="14" t="s">
        <v>4818</v>
      </c>
      <c r="E584" s="14" t="s">
        <v>4819</v>
      </c>
      <c r="F584" s="14" t="s">
        <v>4820</v>
      </c>
      <c r="G584" s="14" t="s">
        <v>4821</v>
      </c>
      <c r="H584" s="14" t="s">
        <v>4822</v>
      </c>
      <c r="I584" s="14" t="s">
        <v>4823</v>
      </c>
      <c r="J584" s="14" t="s">
        <v>489</v>
      </c>
      <c r="K584" s="14" t="s">
        <v>307</v>
      </c>
      <c r="L584" s="14" t="s">
        <v>4801</v>
      </c>
      <c r="M584" s="14" t="s">
        <v>4824</v>
      </c>
      <c r="N584" s="14" t="s">
        <v>70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2" t="n">
        <f aca="false">AB584*(1+$L$3)</f>
        <v>0</v>
      </c>
      <c r="AD584" s="20"/>
      <c r="AE584" s="23" t="n">
        <f aca="false">AC584-AD584</f>
        <v>0</v>
      </c>
      <c r="AF584" s="21" t="str">
        <f aca="false">IFERROR(AD584/AC584,"")</f>
        <v/>
      </c>
    </row>
    <row r="585" customFormat="false" ht="15" hidden="false" customHeight="true" outlineLevel="0" collapsed="false">
      <c r="A585" s="14" t="n">
        <v>657986</v>
      </c>
      <c r="B585" s="14" t="n">
        <v>498991</v>
      </c>
      <c r="C585" s="14" t="s">
        <v>4825</v>
      </c>
      <c r="D585" s="14" t="s">
        <v>4826</v>
      </c>
      <c r="E585" s="14" t="s">
        <v>4827</v>
      </c>
      <c r="F585" s="14" t="s">
        <v>4828</v>
      </c>
      <c r="G585" s="14" t="s">
        <v>4829</v>
      </c>
      <c r="H585" s="14" t="s">
        <v>4830</v>
      </c>
      <c r="I585" s="14"/>
      <c r="J585" s="14" t="s">
        <v>4831</v>
      </c>
      <c r="K585" s="14" t="s">
        <v>4832</v>
      </c>
      <c r="L585" s="14" t="s">
        <v>4833</v>
      </c>
      <c r="M585" s="14" t="s">
        <v>4834</v>
      </c>
      <c r="N585" s="14" t="s">
        <v>70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2" t="n">
        <f aca="false">AB585*(1+$L$3)</f>
        <v>0</v>
      </c>
      <c r="AD585" s="20"/>
      <c r="AE585" s="23" t="n">
        <f aca="false">AC585-AD585</f>
        <v>0</v>
      </c>
      <c r="AF585" s="21" t="str">
        <f aca="false">IFERROR(AD585/AC585,"")</f>
        <v/>
      </c>
    </row>
    <row r="586" customFormat="false" ht="15" hidden="false" customHeight="true" outlineLevel="0" collapsed="false">
      <c r="A586" s="14" t="n">
        <v>657978</v>
      </c>
      <c r="B586" s="14" t="n">
        <v>498983</v>
      </c>
      <c r="C586" s="14" t="s">
        <v>4835</v>
      </c>
      <c r="D586" s="14" t="s">
        <v>4836</v>
      </c>
      <c r="E586" s="14" t="s">
        <v>4837</v>
      </c>
      <c r="F586" s="14"/>
      <c r="G586" s="14"/>
      <c r="H586" s="14" t="s">
        <v>4838</v>
      </c>
      <c r="I586" s="14"/>
      <c r="J586" s="14" t="s">
        <v>4839</v>
      </c>
      <c r="K586" s="14" t="s">
        <v>2610</v>
      </c>
      <c r="L586" s="14" t="s">
        <v>4840</v>
      </c>
      <c r="M586" s="14" t="s">
        <v>3752</v>
      </c>
      <c r="N586" s="14" t="s">
        <v>70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2" t="n">
        <f aca="false">AB586*(1+$L$3)</f>
        <v>0</v>
      </c>
      <c r="AD586" s="20"/>
      <c r="AE586" s="23" t="n">
        <f aca="false">AC586-AD586</f>
        <v>0</v>
      </c>
      <c r="AF586" s="21" t="str">
        <f aca="false">IFERROR(AD586/AC586,"")</f>
        <v/>
      </c>
    </row>
    <row r="587" customFormat="false" ht="15" hidden="false" customHeight="true" outlineLevel="0" collapsed="false">
      <c r="A587" s="14"/>
      <c r="B587" s="14"/>
      <c r="C587" s="14" t="s">
        <v>4841</v>
      </c>
      <c r="D587" s="14" t="s">
        <v>4842</v>
      </c>
      <c r="E587" s="14" t="s">
        <v>4843</v>
      </c>
      <c r="F587" s="14" t="s">
        <v>4844</v>
      </c>
      <c r="G587" s="14" t="s">
        <v>4845</v>
      </c>
      <c r="H587" s="14" t="s">
        <v>4846</v>
      </c>
      <c r="I587" s="14"/>
      <c r="J587" s="14" t="s">
        <v>4847</v>
      </c>
      <c r="K587" s="14" t="s">
        <v>557</v>
      </c>
      <c r="L587" s="14" t="s">
        <v>4848</v>
      </c>
      <c r="M587" s="14" t="s">
        <v>4849</v>
      </c>
      <c r="N587" s="14" t="s">
        <v>70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2" t="n">
        <f aca="false">AB587*(1+$L$3)</f>
        <v>0</v>
      </c>
      <c r="AD587" s="20"/>
      <c r="AE587" s="23" t="n">
        <f aca="false">AC587-AD587</f>
        <v>0</v>
      </c>
      <c r="AF587" s="21" t="str">
        <f aca="false">IFERROR(AD587/AC587,"")</f>
        <v/>
      </c>
    </row>
    <row r="588" customFormat="false" ht="15" hidden="false" customHeight="true" outlineLevel="0" collapsed="false">
      <c r="A588" s="14" t="n">
        <v>658150</v>
      </c>
      <c r="B588" s="14" t="n">
        <v>499154</v>
      </c>
      <c r="C588" s="14" t="s">
        <v>4850</v>
      </c>
      <c r="D588" s="14" t="s">
        <v>4851</v>
      </c>
      <c r="E588" s="14" t="s">
        <v>4852</v>
      </c>
      <c r="F588" s="14" t="s">
        <v>4853</v>
      </c>
      <c r="G588" s="14" t="s">
        <v>4854</v>
      </c>
      <c r="H588" s="14" t="s">
        <v>4855</v>
      </c>
      <c r="I588" s="14" t="s">
        <v>4856</v>
      </c>
      <c r="J588" s="14" t="s">
        <v>4831</v>
      </c>
      <c r="K588" s="14" t="s">
        <v>4832</v>
      </c>
      <c r="L588" s="14" t="s">
        <v>4857</v>
      </c>
      <c r="M588" s="14" t="s">
        <v>4858</v>
      </c>
      <c r="N588" s="14" t="s">
        <v>70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2" t="n">
        <f aca="false">AB588*(1+$L$3)</f>
        <v>0</v>
      </c>
      <c r="AD588" s="20"/>
      <c r="AE588" s="23" t="n">
        <f aca="false">AC588-AD588</f>
        <v>0</v>
      </c>
      <c r="AF588" s="21" t="str">
        <f aca="false">IFERROR(AD588/AC588,"")</f>
        <v/>
      </c>
    </row>
    <row r="589" customFormat="false" ht="15" hidden="false" customHeight="true" outlineLevel="0" collapsed="false">
      <c r="A589" s="14" t="n">
        <v>657960</v>
      </c>
      <c r="B589" s="14" t="n">
        <v>498965</v>
      </c>
      <c r="C589" s="14" t="s">
        <v>4859</v>
      </c>
      <c r="D589" s="14" t="s">
        <v>4860</v>
      </c>
      <c r="E589" s="14" t="s">
        <v>4861</v>
      </c>
      <c r="F589" s="14" t="s">
        <v>4862</v>
      </c>
      <c r="G589" s="14" t="s">
        <v>4863</v>
      </c>
      <c r="H589" s="14" t="s">
        <v>4864</v>
      </c>
      <c r="I589" s="14" t="s">
        <v>4865</v>
      </c>
      <c r="J589" s="14" t="s">
        <v>4831</v>
      </c>
      <c r="K589" s="14" t="s">
        <v>4832</v>
      </c>
      <c r="L589" s="14" t="s">
        <v>4866</v>
      </c>
      <c r="M589" s="14" t="s">
        <v>4867</v>
      </c>
      <c r="N589" s="14" t="s">
        <v>70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2" t="n">
        <f aca="false">AB589*(1+$L$3)</f>
        <v>0</v>
      </c>
      <c r="AD589" s="20"/>
      <c r="AE589" s="23" t="n">
        <f aca="false">AC589-AD589</f>
        <v>0</v>
      </c>
      <c r="AF589" s="21" t="str">
        <f aca="false">IFERROR(AD589/AC589,"")</f>
        <v/>
      </c>
    </row>
    <row r="590" customFormat="false" ht="15" hidden="false" customHeight="true" outlineLevel="0" collapsed="false">
      <c r="A590" s="14" t="n">
        <v>657972</v>
      </c>
      <c r="B590" s="14" t="n">
        <v>498977</v>
      </c>
      <c r="C590" s="14" t="s">
        <v>4868</v>
      </c>
      <c r="D590" s="14" t="s">
        <v>4869</v>
      </c>
      <c r="E590" s="14" t="s">
        <v>4870</v>
      </c>
      <c r="F590" s="14" t="s">
        <v>4871</v>
      </c>
      <c r="G590" s="14" t="s">
        <v>4872</v>
      </c>
      <c r="H590" s="14" t="s">
        <v>4873</v>
      </c>
      <c r="I590" s="14"/>
      <c r="J590" s="14" t="s">
        <v>4874</v>
      </c>
      <c r="K590" s="14" t="s">
        <v>604</v>
      </c>
      <c r="L590" s="14" t="s">
        <v>4875</v>
      </c>
      <c r="M590" s="14" t="s">
        <v>4876</v>
      </c>
      <c r="N590" s="14" t="s">
        <v>70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2" t="n">
        <f aca="false">AB590*(1+$L$3)</f>
        <v>0</v>
      </c>
      <c r="AD590" s="20"/>
      <c r="AE590" s="23" t="n">
        <f aca="false">AC590-AD590</f>
        <v>0</v>
      </c>
      <c r="AF590" s="21" t="str">
        <f aca="false">IFERROR(AD590/AC590,"")</f>
        <v/>
      </c>
    </row>
    <row r="591" customFormat="false" ht="15" hidden="false" customHeight="true" outlineLevel="0" collapsed="false">
      <c r="A591" s="14" t="n">
        <v>657954</v>
      </c>
      <c r="B591" s="14" t="n">
        <v>498959</v>
      </c>
      <c r="C591" s="14" t="s">
        <v>4877</v>
      </c>
      <c r="D591" s="14" t="s">
        <v>4878</v>
      </c>
      <c r="E591" s="14" t="s">
        <v>4879</v>
      </c>
      <c r="F591" s="14" t="s">
        <v>4880</v>
      </c>
      <c r="G591" s="14" t="s">
        <v>4881</v>
      </c>
      <c r="H591" s="14" t="s">
        <v>4882</v>
      </c>
      <c r="I591" s="14"/>
      <c r="J591" s="14" t="s">
        <v>4883</v>
      </c>
      <c r="K591" s="14" t="s">
        <v>1160</v>
      </c>
      <c r="L591" s="14" t="s">
        <v>4884</v>
      </c>
      <c r="M591" s="14" t="s">
        <v>4885</v>
      </c>
      <c r="N591" s="14" t="s">
        <v>70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2" t="n">
        <f aca="false">AB591*(1+$L$3)</f>
        <v>0</v>
      </c>
      <c r="AD591" s="20"/>
      <c r="AE591" s="23" t="n">
        <f aca="false">AC591-AD591</f>
        <v>0</v>
      </c>
      <c r="AF591" s="21" t="str">
        <f aca="false">IFERROR(AD591/AC591,"")</f>
        <v/>
      </c>
    </row>
    <row r="592" customFormat="false" ht="15" hidden="false" customHeight="true" outlineLevel="0" collapsed="false">
      <c r="A592" s="14" t="n">
        <v>657945</v>
      </c>
      <c r="B592" s="14" t="n">
        <v>498950</v>
      </c>
      <c r="C592" s="14" t="s">
        <v>4886</v>
      </c>
      <c r="D592" s="14" t="s">
        <v>4887</v>
      </c>
      <c r="E592" s="14" t="s">
        <v>4879</v>
      </c>
      <c r="F592" s="14" t="s">
        <v>4888</v>
      </c>
      <c r="G592" s="14" t="s">
        <v>4889</v>
      </c>
      <c r="H592" s="14" t="s">
        <v>4890</v>
      </c>
      <c r="I592" s="14" t="s">
        <v>1422</v>
      </c>
      <c r="J592" s="14" t="s">
        <v>4883</v>
      </c>
      <c r="K592" s="14" t="s">
        <v>1160</v>
      </c>
      <c r="L592" s="14" t="s">
        <v>4891</v>
      </c>
      <c r="M592" s="14" t="s">
        <v>4892</v>
      </c>
      <c r="N592" s="14" t="s">
        <v>70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2" t="n">
        <f aca="false">AB592*(1+$L$3)</f>
        <v>0</v>
      </c>
      <c r="AD592" s="20"/>
      <c r="AE592" s="23" t="n">
        <f aca="false">AC592-AD592</f>
        <v>0</v>
      </c>
      <c r="AF592" s="21" t="str">
        <f aca="false">IFERROR(AD592/AC592,"")</f>
        <v/>
      </c>
    </row>
    <row r="593" customFormat="false" ht="15" hidden="false" customHeight="true" outlineLevel="0" collapsed="false">
      <c r="A593" s="14" t="n">
        <v>657913</v>
      </c>
      <c r="B593" s="14" t="n">
        <v>498917</v>
      </c>
      <c r="C593" s="14" t="s">
        <v>4893</v>
      </c>
      <c r="D593" s="14" t="s">
        <v>4894</v>
      </c>
      <c r="E593" s="14" t="s">
        <v>4895</v>
      </c>
      <c r="F593" s="14" t="s">
        <v>4896</v>
      </c>
      <c r="G593" s="14" t="s">
        <v>4897</v>
      </c>
      <c r="H593" s="14" t="s">
        <v>4898</v>
      </c>
      <c r="I593" s="14"/>
      <c r="J593" s="14" t="s">
        <v>4899</v>
      </c>
      <c r="K593" s="14" t="s">
        <v>67</v>
      </c>
      <c r="L593" s="14" t="s">
        <v>4900</v>
      </c>
      <c r="M593" s="14" t="s">
        <v>4901</v>
      </c>
      <c r="N593" s="14" t="s">
        <v>70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1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2" t="n">
        <f aca="false">AB593*(1+$L$3)</f>
        <v>0</v>
      </c>
      <c r="AD593" s="20"/>
      <c r="AE593" s="23" t="n">
        <f aca="false">AC593-AD593</f>
        <v>0</v>
      </c>
      <c r="AF593" s="21" t="str">
        <f aca="false">IFERROR(AD593/AC593,"")</f>
        <v/>
      </c>
    </row>
    <row r="594" customFormat="false" ht="15" hidden="false" customHeight="true" outlineLevel="0" collapsed="false">
      <c r="A594" s="14" t="n">
        <v>657932</v>
      </c>
      <c r="B594" s="14" t="n">
        <v>498937</v>
      </c>
      <c r="C594" s="14" t="s">
        <v>4902</v>
      </c>
      <c r="D594" s="14" t="s">
        <v>4903</v>
      </c>
      <c r="E594" s="14" t="s">
        <v>2561</v>
      </c>
      <c r="F594" s="14" t="s">
        <v>2562</v>
      </c>
      <c r="G594" s="14" t="s">
        <v>4904</v>
      </c>
      <c r="H594" s="14" t="s">
        <v>4905</v>
      </c>
      <c r="I594" s="14" t="s">
        <v>4906</v>
      </c>
      <c r="J594" s="14" t="s">
        <v>4907</v>
      </c>
      <c r="K594" s="14" t="s">
        <v>1160</v>
      </c>
      <c r="L594" s="14" t="s">
        <v>4908</v>
      </c>
      <c r="M594" s="14" t="s">
        <v>4909</v>
      </c>
      <c r="N594" s="14" t="s">
        <v>70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2" t="n">
        <f aca="false">AB594*(1+$L$3)</f>
        <v>0</v>
      </c>
      <c r="AD594" s="20"/>
      <c r="AE594" s="23" t="n">
        <f aca="false">AC594-AD594</f>
        <v>0</v>
      </c>
      <c r="AF594" s="21" t="str">
        <f aca="false">IFERROR(AD594/AC594,"")</f>
        <v/>
      </c>
    </row>
    <row r="595" customFormat="false" ht="15" hidden="false" customHeight="true" outlineLevel="0" collapsed="false">
      <c r="A595" s="14" t="n">
        <v>657928</v>
      </c>
      <c r="B595" s="14" t="n">
        <v>498932</v>
      </c>
      <c r="C595" s="14" t="s">
        <v>4910</v>
      </c>
      <c r="D595" s="14" t="s">
        <v>4911</v>
      </c>
      <c r="E595" s="14" t="s">
        <v>4912</v>
      </c>
      <c r="F595" s="14" t="s">
        <v>4913</v>
      </c>
      <c r="G595" s="14" t="s">
        <v>4914</v>
      </c>
      <c r="H595" s="14" t="s">
        <v>4915</v>
      </c>
      <c r="I595" s="14"/>
      <c r="J595" s="14" t="s">
        <v>531</v>
      </c>
      <c r="K595" s="14" t="s">
        <v>48</v>
      </c>
      <c r="L595" s="14" t="s">
        <v>532</v>
      </c>
      <c r="M595" s="14" t="s">
        <v>4916</v>
      </c>
      <c r="N595" s="14" t="s">
        <v>70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2" t="n">
        <f aca="false">AB595*(1+$L$3)</f>
        <v>0</v>
      </c>
      <c r="AD595" s="20"/>
      <c r="AE595" s="23" t="n">
        <f aca="false">AC595-AD595</f>
        <v>0</v>
      </c>
      <c r="AF595" s="21" t="str">
        <f aca="false">IFERROR(AD595/AC595,"")</f>
        <v/>
      </c>
    </row>
    <row r="596" customFormat="false" ht="15" hidden="false" customHeight="true" outlineLevel="0" collapsed="false">
      <c r="A596" s="14"/>
      <c r="B596" s="14"/>
      <c r="C596" s="14" t="s">
        <v>4917</v>
      </c>
      <c r="D596" s="14" t="s">
        <v>4918</v>
      </c>
      <c r="E596" s="14" t="s">
        <v>4919</v>
      </c>
      <c r="F596" s="14"/>
      <c r="G596" s="14"/>
      <c r="H596" s="14" t="s">
        <v>4920</v>
      </c>
      <c r="I596" s="14"/>
      <c r="J596" s="14" t="s">
        <v>4921</v>
      </c>
      <c r="K596" s="14" t="s">
        <v>1160</v>
      </c>
      <c r="L596" s="14" t="s">
        <v>4922</v>
      </c>
      <c r="M596" s="14" t="s">
        <v>3752</v>
      </c>
      <c r="N596" s="14" t="s">
        <v>70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2" t="n">
        <f aca="false">AB596*(1+$L$3)</f>
        <v>0</v>
      </c>
      <c r="AD596" s="20"/>
      <c r="AE596" s="23" t="n">
        <f aca="false">AC596-AD596</f>
        <v>0</v>
      </c>
      <c r="AF596" s="21" t="str">
        <f aca="false">IFERROR(AD596/AC596,"")</f>
        <v/>
      </c>
    </row>
    <row r="597" customFormat="false" ht="15" hidden="false" customHeight="true" outlineLevel="0" collapsed="false">
      <c r="A597" s="14"/>
      <c r="B597" s="14"/>
      <c r="C597" s="14" t="s">
        <v>4923</v>
      </c>
      <c r="D597" s="14" t="s">
        <v>4924</v>
      </c>
      <c r="E597" s="14" t="s">
        <v>4925</v>
      </c>
      <c r="F597" s="14"/>
      <c r="G597" s="14"/>
      <c r="H597" s="14" t="s">
        <v>4926</v>
      </c>
      <c r="I597" s="14"/>
      <c r="J597" s="14" t="s">
        <v>4921</v>
      </c>
      <c r="K597" s="14" t="s">
        <v>1160</v>
      </c>
      <c r="L597" s="14" t="s">
        <v>4922</v>
      </c>
      <c r="M597" s="14" t="s">
        <v>3752</v>
      </c>
      <c r="N597" s="14" t="s">
        <v>70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2" t="n">
        <f aca="false">AB597*(1+$L$3)</f>
        <v>0</v>
      </c>
      <c r="AD597" s="20"/>
      <c r="AE597" s="23" t="n">
        <f aca="false">AC597-AD597</f>
        <v>0</v>
      </c>
      <c r="AF597" s="21" t="str">
        <f aca="false">IFERROR(AD597/AC597,"")</f>
        <v/>
      </c>
    </row>
    <row r="598" customFormat="false" ht="15" hidden="false" customHeight="true" outlineLevel="0" collapsed="false">
      <c r="A598" s="14" t="n">
        <v>657985</v>
      </c>
      <c r="B598" s="14" t="n">
        <v>498990</v>
      </c>
      <c r="C598" s="14" t="s">
        <v>4927</v>
      </c>
      <c r="D598" s="14" t="s">
        <v>4928</v>
      </c>
      <c r="E598" s="14" t="s">
        <v>4929</v>
      </c>
      <c r="F598" s="14" t="s">
        <v>4930</v>
      </c>
      <c r="G598" s="14" t="s">
        <v>4931</v>
      </c>
      <c r="H598" s="14" t="s">
        <v>4932</v>
      </c>
      <c r="I598" s="14" t="s">
        <v>4933</v>
      </c>
      <c r="J598" s="14" t="s">
        <v>794</v>
      </c>
      <c r="K598" s="14" t="s">
        <v>67</v>
      </c>
      <c r="L598" s="14" t="s">
        <v>795</v>
      </c>
      <c r="M598" s="14" t="s">
        <v>4934</v>
      </c>
      <c r="N598" s="14" t="s">
        <v>70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2" t="n">
        <f aca="false">AB598*(1+$L$3)</f>
        <v>0</v>
      </c>
      <c r="AD598" s="20"/>
      <c r="AE598" s="23" t="n">
        <f aca="false">AC598-AD598</f>
        <v>0</v>
      </c>
      <c r="AF598" s="21" t="str">
        <f aca="false">IFERROR(AD598/AC598,"")</f>
        <v/>
      </c>
    </row>
    <row r="599" customFormat="false" ht="15" hidden="false" customHeight="true" outlineLevel="0" collapsed="false">
      <c r="A599" s="14"/>
      <c r="B599" s="14"/>
      <c r="C599" s="14" t="s">
        <v>4935</v>
      </c>
      <c r="D599" s="14" t="s">
        <v>4936</v>
      </c>
      <c r="E599" s="14" t="s">
        <v>4937</v>
      </c>
      <c r="F599" s="14"/>
      <c r="G599" s="14"/>
      <c r="H599" s="14" t="s">
        <v>4938</v>
      </c>
      <c r="I599" s="14"/>
      <c r="J599" s="14" t="s">
        <v>4939</v>
      </c>
      <c r="K599" s="14" t="s">
        <v>1160</v>
      </c>
      <c r="L599" s="14" t="s">
        <v>4940</v>
      </c>
      <c r="M599" s="14" t="s">
        <v>3752</v>
      </c>
      <c r="N599" s="14" t="s">
        <v>70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2" t="n">
        <f aca="false">AB599*(1+$L$3)</f>
        <v>0</v>
      </c>
      <c r="AD599" s="20"/>
      <c r="AE599" s="23" t="n">
        <f aca="false">AC599-AD599</f>
        <v>0</v>
      </c>
      <c r="AF599" s="21" t="str">
        <f aca="false">IFERROR(AD599/AC599,"")</f>
        <v/>
      </c>
    </row>
    <row r="600" customFormat="false" ht="15" hidden="false" customHeight="true" outlineLevel="0" collapsed="false">
      <c r="A600" s="14" t="n">
        <v>658008</v>
      </c>
      <c r="B600" s="14" t="n">
        <v>499013</v>
      </c>
      <c r="C600" s="14" t="s">
        <v>4941</v>
      </c>
      <c r="D600" s="14" t="s">
        <v>4942</v>
      </c>
      <c r="E600" s="14" t="s">
        <v>4943</v>
      </c>
      <c r="F600" s="14" t="s">
        <v>4944</v>
      </c>
      <c r="G600" s="14" t="s">
        <v>4945</v>
      </c>
      <c r="H600" s="14" t="s">
        <v>4946</v>
      </c>
      <c r="I600" s="14"/>
      <c r="J600" s="14" t="s">
        <v>1528</v>
      </c>
      <c r="K600" s="14" t="s">
        <v>1160</v>
      </c>
      <c r="L600" s="14" t="s">
        <v>1529</v>
      </c>
      <c r="M600" s="14" t="s">
        <v>4947</v>
      </c>
      <c r="N600" s="14" t="s">
        <v>70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2" t="n">
        <f aca="false">AB600*(1+$L$3)</f>
        <v>0</v>
      </c>
      <c r="AD600" s="20"/>
      <c r="AE600" s="23" t="n">
        <f aca="false">AC600-AD600</f>
        <v>0</v>
      </c>
      <c r="AF600" s="21" t="str">
        <f aca="false">IFERROR(AD600/AC600,"")</f>
        <v/>
      </c>
    </row>
    <row r="601" customFormat="false" ht="15" hidden="false" customHeight="true" outlineLevel="0" collapsed="false">
      <c r="A601" s="14"/>
      <c r="B601" s="14"/>
      <c r="C601" s="14" t="s">
        <v>4948</v>
      </c>
      <c r="D601" s="14" t="s">
        <v>4949</v>
      </c>
      <c r="E601" s="14" t="s">
        <v>4950</v>
      </c>
      <c r="F601" s="14"/>
      <c r="G601" s="14"/>
      <c r="H601" s="14" t="s">
        <v>4951</v>
      </c>
      <c r="I601" s="14"/>
      <c r="J601" s="14" t="s">
        <v>3200</v>
      </c>
      <c r="K601" s="14" t="s">
        <v>999</v>
      </c>
      <c r="L601" s="14" t="s">
        <v>4952</v>
      </c>
      <c r="M601" s="14" t="s">
        <v>3752</v>
      </c>
      <c r="N601" s="14" t="s">
        <v>70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2" t="n">
        <f aca="false">AB601*(1+$L$3)</f>
        <v>0</v>
      </c>
      <c r="AD601" s="20"/>
      <c r="AE601" s="23" t="n">
        <f aca="false">AC601-AD601</f>
        <v>0</v>
      </c>
      <c r="AF601" s="21" t="str">
        <f aca="false">IFERROR(AD601/AC601,"")</f>
        <v/>
      </c>
    </row>
    <row r="602" customFormat="false" ht="15" hidden="false" customHeight="true" outlineLevel="0" collapsed="false">
      <c r="A602" s="14" t="n">
        <v>657887</v>
      </c>
      <c r="B602" s="14" t="n">
        <v>498891</v>
      </c>
      <c r="C602" s="14" t="s">
        <v>4953</v>
      </c>
      <c r="D602" s="14" t="s">
        <v>4954</v>
      </c>
      <c r="E602" s="14" t="s">
        <v>4955</v>
      </c>
      <c r="F602" s="14" t="s">
        <v>4956</v>
      </c>
      <c r="G602" s="14" t="s">
        <v>4957</v>
      </c>
      <c r="H602" s="14" t="s">
        <v>4958</v>
      </c>
      <c r="I602" s="14"/>
      <c r="J602" s="14" t="s">
        <v>1124</v>
      </c>
      <c r="K602" s="14" t="s">
        <v>48</v>
      </c>
      <c r="L602" s="14" t="s">
        <v>1125</v>
      </c>
      <c r="M602" s="14" t="s">
        <v>4959</v>
      </c>
      <c r="N602" s="14" t="s">
        <v>70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2" t="n">
        <f aca="false">AB602*(1+$L$3)</f>
        <v>0</v>
      </c>
      <c r="AD602" s="20"/>
      <c r="AE602" s="23" t="n">
        <f aca="false">AC602-AD602</f>
        <v>0</v>
      </c>
      <c r="AF602" s="21" t="str">
        <f aca="false">IFERROR(AD602/AC602,"")</f>
        <v/>
      </c>
    </row>
    <row r="603" customFormat="false" ht="15" hidden="false" customHeight="true" outlineLevel="0" collapsed="false">
      <c r="A603" s="14" t="n">
        <v>657869</v>
      </c>
      <c r="B603" s="14" t="n">
        <v>498873</v>
      </c>
      <c r="C603" s="14" t="s">
        <v>4960</v>
      </c>
      <c r="D603" s="14" t="s">
        <v>4961</v>
      </c>
      <c r="E603" s="14" t="s">
        <v>4962</v>
      </c>
      <c r="F603" s="14" t="s">
        <v>4963</v>
      </c>
      <c r="G603" s="14" t="s">
        <v>4964</v>
      </c>
      <c r="H603" s="14" t="s">
        <v>4965</v>
      </c>
      <c r="I603" s="14"/>
      <c r="J603" s="14" t="s">
        <v>4966</v>
      </c>
      <c r="K603" s="14" t="s">
        <v>557</v>
      </c>
      <c r="L603" s="14" t="s">
        <v>4967</v>
      </c>
      <c r="M603" s="14" t="s">
        <v>4968</v>
      </c>
      <c r="N603" s="14" t="s">
        <v>70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2" t="n">
        <f aca="false">AB603*(1+$L$3)</f>
        <v>0</v>
      </c>
      <c r="AD603" s="20" t="n">
        <v>4</v>
      </c>
      <c r="AE603" s="23" t="n">
        <f aca="false">AC603-AD603</f>
        <v>-4</v>
      </c>
      <c r="AF603" s="21" t="str">
        <f aca="false">IFERROR(AD603/AC603,"")</f>
        <v/>
      </c>
    </row>
    <row r="604" customFormat="false" ht="15" hidden="false" customHeight="true" outlineLevel="0" collapsed="false">
      <c r="A604" s="14" t="n">
        <v>657901</v>
      </c>
      <c r="B604" s="14" t="n">
        <v>498905</v>
      </c>
      <c r="C604" s="14" t="s">
        <v>4969</v>
      </c>
      <c r="D604" s="14" t="s">
        <v>4970</v>
      </c>
      <c r="E604" s="14" t="s">
        <v>4971</v>
      </c>
      <c r="F604" s="14" t="s">
        <v>4972</v>
      </c>
      <c r="G604" s="14" t="s">
        <v>4973</v>
      </c>
      <c r="H604" s="14" t="s">
        <v>4974</v>
      </c>
      <c r="I604" s="14"/>
      <c r="J604" s="14" t="s">
        <v>4975</v>
      </c>
      <c r="K604" s="14" t="s">
        <v>557</v>
      </c>
      <c r="L604" s="14" t="s">
        <v>4976</v>
      </c>
      <c r="M604" s="14" t="s">
        <v>4977</v>
      </c>
      <c r="N604" s="14" t="s">
        <v>70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2" t="n">
        <f aca="false">AB604*(1+$L$3)</f>
        <v>0</v>
      </c>
      <c r="AD604" s="20"/>
      <c r="AE604" s="23" t="n">
        <f aca="false">AC604-AD604</f>
        <v>0</v>
      </c>
      <c r="AF604" s="21" t="str">
        <f aca="false">IFERROR(AD604/AC604,"")</f>
        <v/>
      </c>
    </row>
    <row r="605" customFormat="false" ht="15" hidden="false" customHeight="true" outlineLevel="0" collapsed="false">
      <c r="A605" s="14" t="n">
        <v>657900</v>
      </c>
      <c r="B605" s="14" t="n">
        <v>498904</v>
      </c>
      <c r="C605" s="14" t="s">
        <v>4978</v>
      </c>
      <c r="D605" s="14" t="s">
        <v>4979</v>
      </c>
      <c r="E605" s="14" t="s">
        <v>4980</v>
      </c>
      <c r="F605" s="14" t="s">
        <v>4981</v>
      </c>
      <c r="G605" s="14" t="s">
        <v>4982</v>
      </c>
      <c r="H605" s="14" t="s">
        <v>4983</v>
      </c>
      <c r="I605" s="14"/>
      <c r="J605" s="14" t="s">
        <v>871</v>
      </c>
      <c r="K605" s="14" t="s">
        <v>307</v>
      </c>
      <c r="L605" s="14" t="s">
        <v>4984</v>
      </c>
      <c r="M605" s="14" t="s">
        <v>4985</v>
      </c>
      <c r="N605" s="14" t="s">
        <v>70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2" t="n">
        <f aca="false">AB605*(1+$L$3)</f>
        <v>0</v>
      </c>
      <c r="AD605" s="20"/>
      <c r="AE605" s="23" t="n">
        <f aca="false">AC605-AD605</f>
        <v>0</v>
      </c>
      <c r="AF605" s="21" t="str">
        <f aca="false">IFERROR(AD605/AC605,"")</f>
        <v/>
      </c>
    </row>
    <row r="606" customFormat="false" ht="15" hidden="false" customHeight="true" outlineLevel="0" collapsed="false">
      <c r="A606" s="14" t="n">
        <v>657860</v>
      </c>
      <c r="B606" s="14" t="n">
        <v>498864</v>
      </c>
      <c r="C606" s="14" t="s">
        <v>4986</v>
      </c>
      <c r="D606" s="14" t="s">
        <v>4987</v>
      </c>
      <c r="E606" s="14" t="s">
        <v>4988</v>
      </c>
      <c r="F606" s="14" t="s">
        <v>4989</v>
      </c>
      <c r="G606" s="14" t="s">
        <v>4990</v>
      </c>
      <c r="H606" s="14" t="s">
        <v>4991</v>
      </c>
      <c r="I606" s="14"/>
      <c r="J606" s="14" t="s">
        <v>4364</v>
      </c>
      <c r="K606" s="14" t="s">
        <v>2610</v>
      </c>
      <c r="L606" s="14" t="s">
        <v>4992</v>
      </c>
      <c r="M606" s="14" t="s">
        <v>4993</v>
      </c>
      <c r="N606" s="14" t="s">
        <v>70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2" t="n">
        <f aca="false">AB606*(1+$L$3)</f>
        <v>0</v>
      </c>
      <c r="AD606" s="20"/>
      <c r="AE606" s="23" t="n">
        <f aca="false">AC606-AD606</f>
        <v>0</v>
      </c>
      <c r="AF606" s="21" t="str">
        <f aca="false">IFERROR(AD606/AC606,"")</f>
        <v/>
      </c>
    </row>
    <row r="607" customFormat="false" ht="15" hidden="false" customHeight="true" outlineLevel="0" collapsed="false">
      <c r="A607" s="14" t="n">
        <v>657845</v>
      </c>
      <c r="B607" s="14" t="n">
        <v>498849</v>
      </c>
      <c r="C607" s="14" t="s">
        <v>4994</v>
      </c>
      <c r="D607" s="14" t="s">
        <v>4995</v>
      </c>
      <c r="E607" s="14" t="s">
        <v>4996</v>
      </c>
      <c r="F607" s="14" t="s">
        <v>4997</v>
      </c>
      <c r="G607" s="14" t="s">
        <v>4998</v>
      </c>
      <c r="H607" s="14" t="s">
        <v>4999</v>
      </c>
      <c r="I607" s="14"/>
      <c r="J607" s="14" t="s">
        <v>5000</v>
      </c>
      <c r="K607" s="14" t="s">
        <v>48</v>
      </c>
      <c r="L607" s="14" t="s">
        <v>5001</v>
      </c>
      <c r="M607" s="14" t="s">
        <v>5002</v>
      </c>
      <c r="N607" s="14" t="s">
        <v>70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2" t="n">
        <f aca="false">AB607*(1+$L$3)</f>
        <v>0</v>
      </c>
      <c r="AD607" s="20"/>
      <c r="AE607" s="23" t="n">
        <f aca="false">AC607-AD607</f>
        <v>0</v>
      </c>
      <c r="AF607" s="21" t="str">
        <f aca="false">IFERROR(AD607/AC607,"")</f>
        <v/>
      </c>
    </row>
    <row r="608" customFormat="false" ht="15" hidden="false" customHeight="true" outlineLevel="0" collapsed="false">
      <c r="A608" s="14" t="n">
        <v>657808</v>
      </c>
      <c r="B608" s="14" t="n">
        <v>498816</v>
      </c>
      <c r="C608" s="14" t="s">
        <v>5003</v>
      </c>
      <c r="D608" s="14" t="s">
        <v>5004</v>
      </c>
      <c r="E608" s="14" t="s">
        <v>5005</v>
      </c>
      <c r="F608" s="14" t="s">
        <v>5006</v>
      </c>
      <c r="G608" s="14" t="s">
        <v>5007</v>
      </c>
      <c r="H608" s="14" t="s">
        <v>5008</v>
      </c>
      <c r="I608" s="14"/>
      <c r="J608" s="14" t="s">
        <v>5009</v>
      </c>
      <c r="K608" s="14" t="s">
        <v>67</v>
      </c>
      <c r="L608" s="14" t="s">
        <v>5010</v>
      </c>
      <c r="M608" s="14" t="s">
        <v>5011</v>
      </c>
      <c r="N608" s="14" t="s">
        <v>70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2" t="n">
        <f aca="false">AB608*(1+$L$3)</f>
        <v>0</v>
      </c>
      <c r="AD608" s="20"/>
      <c r="AE608" s="23" t="n">
        <f aca="false">AC608-AD608</f>
        <v>0</v>
      </c>
      <c r="AF608" s="21" t="str">
        <f aca="false">IFERROR(AD608/AC608,"")</f>
        <v/>
      </c>
    </row>
    <row r="609" customFormat="false" ht="15" hidden="false" customHeight="true" outlineLevel="0" collapsed="false">
      <c r="A609" s="14" t="n">
        <v>657835</v>
      </c>
      <c r="B609" s="14" t="n">
        <v>498839</v>
      </c>
      <c r="C609" s="14" t="s">
        <v>5012</v>
      </c>
      <c r="D609" s="14" t="s">
        <v>5013</v>
      </c>
      <c r="E609" s="14" t="s">
        <v>5014</v>
      </c>
      <c r="F609" s="14" t="s">
        <v>5015</v>
      </c>
      <c r="G609" s="14" t="s">
        <v>5016</v>
      </c>
      <c r="H609" s="14" t="s">
        <v>5017</v>
      </c>
      <c r="I609" s="14"/>
      <c r="J609" s="14" t="s">
        <v>5018</v>
      </c>
      <c r="K609" s="14" t="s">
        <v>307</v>
      </c>
      <c r="L609" s="14" t="s">
        <v>5019</v>
      </c>
      <c r="M609" s="14" t="s">
        <v>5020</v>
      </c>
      <c r="N609" s="14" t="s">
        <v>70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2" t="n">
        <f aca="false">AB609*(1+$L$3)</f>
        <v>0</v>
      </c>
      <c r="AD609" s="20"/>
      <c r="AE609" s="23" t="n">
        <f aca="false">AC609-AD609</f>
        <v>0</v>
      </c>
      <c r="AF609" s="21" t="str">
        <f aca="false">IFERROR(AD609/AC609,"")</f>
        <v/>
      </c>
    </row>
    <row r="610" customFormat="false" ht="15" hidden="false" customHeight="true" outlineLevel="0" collapsed="false">
      <c r="A610" s="14"/>
      <c r="B610" s="14"/>
      <c r="C610" s="14" t="s">
        <v>5021</v>
      </c>
      <c r="D610" s="14" t="s">
        <v>5022</v>
      </c>
      <c r="E610" s="14" t="s">
        <v>1472</v>
      </c>
      <c r="F610" s="14"/>
      <c r="G610" s="14"/>
      <c r="H610" s="14" t="s">
        <v>1406</v>
      </c>
      <c r="I610" s="14"/>
      <c r="J610" s="14" t="s">
        <v>316</v>
      </c>
      <c r="K610" s="14" t="s">
        <v>307</v>
      </c>
      <c r="L610" s="14" t="s">
        <v>1407</v>
      </c>
      <c r="M610" s="14" t="s">
        <v>3752</v>
      </c>
      <c r="N610" s="14" t="s">
        <v>70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2" t="n">
        <f aca="false">AB610*(1+$L$3)</f>
        <v>0</v>
      </c>
      <c r="AD610" s="20"/>
      <c r="AE610" s="23" t="n">
        <f aca="false">AC610-AD610</f>
        <v>0</v>
      </c>
      <c r="AF610" s="21" t="str">
        <f aca="false">IFERROR(AD610/AC610,"")</f>
        <v/>
      </c>
    </row>
    <row r="611" customFormat="false" ht="15" hidden="false" customHeight="true" outlineLevel="0" collapsed="false">
      <c r="A611" s="14" t="n">
        <v>657947</v>
      </c>
      <c r="B611" s="14" t="n">
        <v>498952</v>
      </c>
      <c r="C611" s="14" t="s">
        <v>5023</v>
      </c>
      <c r="D611" s="14" t="s">
        <v>5024</v>
      </c>
      <c r="E611" s="14" t="s">
        <v>5025</v>
      </c>
      <c r="F611" s="14" t="s">
        <v>5026</v>
      </c>
      <c r="G611" s="14" t="s">
        <v>5027</v>
      </c>
      <c r="H611" s="14" t="s">
        <v>5028</v>
      </c>
      <c r="I611" s="14" t="s">
        <v>5029</v>
      </c>
      <c r="J611" s="14" t="s">
        <v>316</v>
      </c>
      <c r="K611" s="14" t="s">
        <v>307</v>
      </c>
      <c r="L611" s="14" t="s">
        <v>5030</v>
      </c>
      <c r="M611" s="14" t="s">
        <v>5031</v>
      </c>
      <c r="N611" s="14" t="s">
        <v>70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2" t="n">
        <f aca="false">AB611*(1+$L$3)</f>
        <v>0</v>
      </c>
      <c r="AD611" s="20"/>
      <c r="AE611" s="23" t="n">
        <f aca="false">AC611-AD611</f>
        <v>0</v>
      </c>
      <c r="AF611" s="21" t="str">
        <f aca="false">IFERROR(AD611/AC611,"")</f>
        <v/>
      </c>
    </row>
    <row r="612" customFormat="false" ht="15" hidden="false" customHeight="true" outlineLevel="0" collapsed="false">
      <c r="A612" s="14" t="n">
        <v>657733</v>
      </c>
      <c r="B612" s="14" t="n">
        <v>498768</v>
      </c>
      <c r="C612" s="14" t="s">
        <v>5032</v>
      </c>
      <c r="D612" s="14" t="s">
        <v>5033</v>
      </c>
      <c r="E612" s="14" t="s">
        <v>5034</v>
      </c>
      <c r="F612" s="14" t="s">
        <v>5035</v>
      </c>
      <c r="G612" s="14" t="s">
        <v>5036</v>
      </c>
      <c r="H612" s="14" t="s">
        <v>5037</v>
      </c>
      <c r="I612" s="14"/>
      <c r="J612" s="14" t="s">
        <v>664</v>
      </c>
      <c r="K612" s="14" t="s">
        <v>604</v>
      </c>
      <c r="L612" s="14" t="s">
        <v>5038</v>
      </c>
      <c r="M612" s="14" t="s">
        <v>5039</v>
      </c>
      <c r="N612" s="14" t="s">
        <v>70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2" t="n">
        <f aca="false">AB612*(1+$L$3)</f>
        <v>0</v>
      </c>
      <c r="AD612" s="20"/>
      <c r="AE612" s="23" t="n">
        <f aca="false">AC612-AD612</f>
        <v>0</v>
      </c>
      <c r="AF612" s="21" t="str">
        <f aca="false">IFERROR(AD612/AC612,"")</f>
        <v/>
      </c>
    </row>
    <row r="613" customFormat="false" ht="15" hidden="false" customHeight="true" outlineLevel="0" collapsed="false">
      <c r="A613" s="14" t="n">
        <v>657747</v>
      </c>
      <c r="B613" s="14" t="n">
        <v>498782</v>
      </c>
      <c r="C613" s="14" t="s">
        <v>5040</v>
      </c>
      <c r="D613" s="14" t="s">
        <v>5041</v>
      </c>
      <c r="E613" s="14" t="s">
        <v>5042</v>
      </c>
      <c r="F613" s="14" t="s">
        <v>5043</v>
      </c>
      <c r="G613" s="14" t="s">
        <v>5044</v>
      </c>
      <c r="H613" s="14" t="s">
        <v>5045</v>
      </c>
      <c r="I613" s="14"/>
      <c r="J613" s="14" t="s">
        <v>5046</v>
      </c>
      <c r="K613" s="14" t="s">
        <v>2316</v>
      </c>
      <c r="L613" s="14" t="s">
        <v>5047</v>
      </c>
      <c r="M613" s="14" t="s">
        <v>5048</v>
      </c>
      <c r="N613" s="14" t="s">
        <v>70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2" t="n">
        <f aca="false">AB613*(1+$L$3)</f>
        <v>0</v>
      </c>
      <c r="AD613" s="20"/>
      <c r="AE613" s="23" t="n">
        <f aca="false">AC613-AD613</f>
        <v>0</v>
      </c>
      <c r="AF613" s="21" t="str">
        <f aca="false">IFERROR(AD613/AC613,"")</f>
        <v/>
      </c>
    </row>
    <row r="614" customFormat="false" ht="15" hidden="false" customHeight="true" outlineLevel="0" collapsed="false">
      <c r="A614" s="14" t="n">
        <v>657785</v>
      </c>
      <c r="B614" s="14" t="n">
        <v>498792</v>
      </c>
      <c r="C614" s="14" t="s">
        <v>5049</v>
      </c>
      <c r="D614" s="14" t="s">
        <v>5050</v>
      </c>
      <c r="E614" s="14" t="s">
        <v>5051</v>
      </c>
      <c r="F614" s="14" t="s">
        <v>5052</v>
      </c>
      <c r="G614" s="14" t="s">
        <v>5053</v>
      </c>
      <c r="H614" s="14" t="s">
        <v>5054</v>
      </c>
      <c r="I614" s="14"/>
      <c r="J614" s="14" t="s">
        <v>812</v>
      </c>
      <c r="K614" s="14" t="s">
        <v>307</v>
      </c>
      <c r="L614" s="14" t="s">
        <v>5055</v>
      </c>
      <c r="M614" s="14" t="s">
        <v>5056</v>
      </c>
      <c r="N614" s="14" t="s">
        <v>70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2" t="n">
        <f aca="false">AB614*(1+$L$3)</f>
        <v>0</v>
      </c>
      <c r="AD614" s="20"/>
      <c r="AE614" s="23" t="n">
        <f aca="false">AC614-AD614</f>
        <v>0</v>
      </c>
      <c r="AF614" s="21" t="str">
        <f aca="false">IFERROR(AD614/AC614,"")</f>
        <v/>
      </c>
    </row>
    <row r="615" customFormat="false" ht="15" hidden="false" customHeight="true" outlineLevel="0" collapsed="false">
      <c r="A615" s="14" t="n">
        <v>655776</v>
      </c>
      <c r="B615" s="14" t="n">
        <v>496904</v>
      </c>
      <c r="C615" s="14" t="s">
        <v>5057</v>
      </c>
      <c r="D615" s="14" t="s">
        <v>5058</v>
      </c>
      <c r="E615" s="14" t="s">
        <v>5059</v>
      </c>
      <c r="F615" s="14" t="s">
        <v>5060</v>
      </c>
      <c r="G615" s="14" t="s">
        <v>5061</v>
      </c>
      <c r="H615" s="14" t="s">
        <v>5062</v>
      </c>
      <c r="I615" s="14"/>
      <c r="J615" s="14" t="s">
        <v>2193</v>
      </c>
      <c r="K615" s="14" t="s">
        <v>307</v>
      </c>
      <c r="L615" s="14" t="s">
        <v>5063</v>
      </c>
      <c r="M615" s="14" t="s">
        <v>5064</v>
      </c>
      <c r="N615" s="14" t="s">
        <v>70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2" t="n">
        <f aca="false">AB615*(1+$L$3)</f>
        <v>0</v>
      </c>
      <c r="AD615" s="20"/>
      <c r="AE615" s="23" t="n">
        <f aca="false">AC615-AD615</f>
        <v>0</v>
      </c>
      <c r="AF615" s="21" t="str">
        <f aca="false">IFERROR(AD615/AC615,"")</f>
        <v/>
      </c>
    </row>
    <row r="616" customFormat="false" ht="15" hidden="false" customHeight="true" outlineLevel="0" collapsed="false">
      <c r="A616" s="14" t="n">
        <v>657716</v>
      </c>
      <c r="B616" s="14" t="n">
        <v>498751</v>
      </c>
      <c r="C616" s="14" t="s">
        <v>5065</v>
      </c>
      <c r="D616" s="14" t="s">
        <v>5066</v>
      </c>
      <c r="E616" s="14" t="s">
        <v>5067</v>
      </c>
      <c r="F616" s="14" t="s">
        <v>5068</v>
      </c>
      <c r="G616" s="14" t="s">
        <v>5069</v>
      </c>
      <c r="H616" s="14" t="s">
        <v>5070</v>
      </c>
      <c r="I616" s="14"/>
      <c r="J616" s="14" t="s">
        <v>5071</v>
      </c>
      <c r="K616" s="14" t="s">
        <v>999</v>
      </c>
      <c r="L616" s="14" t="s">
        <v>5072</v>
      </c>
      <c r="M616" s="14" t="s">
        <v>5073</v>
      </c>
      <c r="N616" s="14" t="s">
        <v>70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2" t="n">
        <f aca="false">AB616*(1+$L$3)</f>
        <v>0</v>
      </c>
      <c r="AD616" s="20"/>
      <c r="AE616" s="23" t="n">
        <f aca="false">AC616-AD616</f>
        <v>0</v>
      </c>
      <c r="AF616" s="21" t="str">
        <f aca="false">IFERROR(AD616/AC616,"")</f>
        <v/>
      </c>
    </row>
    <row r="617" customFormat="false" ht="15" hidden="false" customHeight="true" outlineLevel="0" collapsed="false">
      <c r="A617" s="14" t="n">
        <v>657709</v>
      </c>
      <c r="B617" s="14" t="n">
        <v>498743</v>
      </c>
      <c r="C617" s="14" t="s">
        <v>5074</v>
      </c>
      <c r="D617" s="14" t="s">
        <v>5075</v>
      </c>
      <c r="E617" s="14" t="s">
        <v>5076</v>
      </c>
      <c r="F617" s="14" t="s">
        <v>5077</v>
      </c>
      <c r="G617" s="14" t="s">
        <v>5078</v>
      </c>
      <c r="H617" s="14" t="s">
        <v>5079</v>
      </c>
      <c r="I617" s="14"/>
      <c r="J617" s="14" t="s">
        <v>5080</v>
      </c>
      <c r="K617" s="14" t="s">
        <v>2316</v>
      </c>
      <c r="L617" s="14" t="s">
        <v>5081</v>
      </c>
      <c r="M617" s="14" t="s">
        <v>5082</v>
      </c>
      <c r="N617" s="14" t="s">
        <v>70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2" t="n">
        <f aca="false">AB617*(1+$L$3)</f>
        <v>0</v>
      </c>
      <c r="AD617" s="20"/>
      <c r="AE617" s="23" t="n">
        <f aca="false">AC617-AD617</f>
        <v>0</v>
      </c>
      <c r="AF617" s="21" t="str">
        <f aca="false">IFERROR(AD617/AC617,"")</f>
        <v/>
      </c>
    </row>
    <row r="618" customFormat="false" ht="15" hidden="false" customHeight="true" outlineLevel="0" collapsed="false">
      <c r="A618" s="14" t="n">
        <v>657659</v>
      </c>
      <c r="B618" s="14" t="n">
        <v>498693</v>
      </c>
      <c r="C618" s="14" t="s">
        <v>5083</v>
      </c>
      <c r="D618" s="14" t="s">
        <v>5084</v>
      </c>
      <c r="E618" s="14" t="s">
        <v>5084</v>
      </c>
      <c r="F618" s="14" t="s">
        <v>5085</v>
      </c>
      <c r="G618" s="14" t="s">
        <v>5086</v>
      </c>
      <c r="H618" s="14" t="s">
        <v>5087</v>
      </c>
      <c r="I618" s="14"/>
      <c r="J618" s="14" t="s">
        <v>5088</v>
      </c>
      <c r="K618" s="14" t="s">
        <v>2316</v>
      </c>
      <c r="L618" s="14" t="s">
        <v>5089</v>
      </c>
      <c r="M618" s="14" t="s">
        <v>5090</v>
      </c>
      <c r="N618" s="14" t="s">
        <v>70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2" t="n">
        <f aca="false">AB618*(1+$L$3)</f>
        <v>0</v>
      </c>
      <c r="AD618" s="20"/>
      <c r="AE618" s="23" t="n">
        <f aca="false">AC618-AD618</f>
        <v>0</v>
      </c>
      <c r="AF618" s="21" t="str">
        <f aca="false">IFERROR(AD618/AC618,"")</f>
        <v/>
      </c>
    </row>
    <row r="619" customFormat="false" ht="15" hidden="false" customHeight="true" outlineLevel="0" collapsed="false">
      <c r="A619" s="14" t="n">
        <v>657589</v>
      </c>
      <c r="B619" s="14" t="n">
        <v>498619</v>
      </c>
      <c r="C619" s="14" t="s">
        <v>5091</v>
      </c>
      <c r="D619" s="14" t="s">
        <v>5092</v>
      </c>
      <c r="E619" s="14" t="s">
        <v>5093</v>
      </c>
      <c r="F619" s="14" t="s">
        <v>5094</v>
      </c>
      <c r="G619" s="14" t="s">
        <v>5095</v>
      </c>
      <c r="H619" s="14" t="s">
        <v>5096</v>
      </c>
      <c r="I619" s="14"/>
      <c r="J619" s="14" t="s">
        <v>812</v>
      </c>
      <c r="K619" s="14" t="s">
        <v>307</v>
      </c>
      <c r="L619" s="14" t="s">
        <v>5097</v>
      </c>
      <c r="M619" s="14" t="s">
        <v>5098</v>
      </c>
      <c r="N619" s="14" t="s">
        <v>70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2" t="n">
        <f aca="false">AB619*(1+$L$3)</f>
        <v>0</v>
      </c>
      <c r="AD619" s="20"/>
      <c r="AE619" s="23" t="n">
        <f aca="false">AC619-AD619</f>
        <v>0</v>
      </c>
      <c r="AF619" s="21" t="str">
        <f aca="false">IFERROR(AD619/AC619,"")</f>
        <v/>
      </c>
    </row>
    <row r="620" customFormat="false" ht="15" hidden="false" customHeight="true" outlineLevel="0" collapsed="false">
      <c r="A620" s="14" t="n">
        <v>657702</v>
      </c>
      <c r="B620" s="14" t="n">
        <v>498736</v>
      </c>
      <c r="C620" s="14" t="s">
        <v>5099</v>
      </c>
      <c r="D620" s="14" t="s">
        <v>5100</v>
      </c>
      <c r="E620" s="14" t="s">
        <v>5101</v>
      </c>
      <c r="F620" s="14" t="s">
        <v>5102</v>
      </c>
      <c r="G620" s="14" t="s">
        <v>5103</v>
      </c>
      <c r="H620" s="14" t="s">
        <v>5104</v>
      </c>
      <c r="I620" s="14"/>
      <c r="J620" s="14" t="s">
        <v>5105</v>
      </c>
      <c r="K620" s="14" t="s">
        <v>981</v>
      </c>
      <c r="L620" s="14" t="s">
        <v>5106</v>
      </c>
      <c r="M620" s="14" t="s">
        <v>5107</v>
      </c>
      <c r="N620" s="14" t="s">
        <v>70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2" t="n">
        <f aca="false">AB620*(1+$L$3)</f>
        <v>0</v>
      </c>
      <c r="AD620" s="20"/>
      <c r="AE620" s="23" t="n">
        <f aca="false">AC620-AD620</f>
        <v>0</v>
      </c>
      <c r="AF620" s="21" t="str">
        <f aca="false">IFERROR(AD620/AC620,"")</f>
        <v/>
      </c>
    </row>
    <row r="621" customFormat="false" ht="15" hidden="false" customHeight="true" outlineLevel="0" collapsed="false">
      <c r="A621" s="14" t="n">
        <v>657621</v>
      </c>
      <c r="B621" s="14" t="n">
        <v>498655</v>
      </c>
      <c r="C621" s="14" t="s">
        <v>5108</v>
      </c>
      <c r="D621" s="14" t="s">
        <v>5109</v>
      </c>
      <c r="E621" s="14" t="s">
        <v>4693</v>
      </c>
      <c r="F621" s="14" t="s">
        <v>4694</v>
      </c>
      <c r="G621" s="14" t="s">
        <v>4695</v>
      </c>
      <c r="H621" s="14" t="s">
        <v>5110</v>
      </c>
      <c r="I621" s="14"/>
      <c r="J621" s="14" t="s">
        <v>1186</v>
      </c>
      <c r="K621" s="14" t="s">
        <v>67</v>
      </c>
      <c r="L621" s="14" t="s">
        <v>5111</v>
      </c>
      <c r="M621" s="14" t="s">
        <v>4697</v>
      </c>
      <c r="N621" s="14" t="s">
        <v>70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2" t="n">
        <f aca="false">AB621*(1+$L$3)</f>
        <v>0</v>
      </c>
      <c r="AD621" s="20"/>
      <c r="AE621" s="23" t="n">
        <f aca="false">AC621-AD621</f>
        <v>0</v>
      </c>
      <c r="AF621" s="21" t="str">
        <f aca="false">IFERROR(AD621/AC621,"")</f>
        <v/>
      </c>
    </row>
    <row r="622" customFormat="false" ht="15" hidden="false" customHeight="true" outlineLevel="0" collapsed="false">
      <c r="A622" s="14"/>
      <c r="B622" s="14"/>
      <c r="C622" s="14" t="s">
        <v>5112</v>
      </c>
      <c r="D622" s="14" t="s">
        <v>5113</v>
      </c>
      <c r="E622" s="14" t="s">
        <v>5114</v>
      </c>
      <c r="F622" s="14"/>
      <c r="G622" s="14"/>
      <c r="H622" s="14" t="s">
        <v>5115</v>
      </c>
      <c r="I622" s="14"/>
      <c r="J622" s="14" t="s">
        <v>5116</v>
      </c>
      <c r="K622" s="14" t="s">
        <v>709</v>
      </c>
      <c r="L622" s="14" t="s">
        <v>5117</v>
      </c>
      <c r="M622" s="14" t="s">
        <v>3752</v>
      </c>
      <c r="N622" s="14" t="s">
        <v>289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2" t="n">
        <f aca="false">AB622*(1+$L$3)</f>
        <v>0</v>
      </c>
      <c r="AD622" s="20"/>
      <c r="AE622" s="23" t="n">
        <f aca="false">AC622-AD622</f>
        <v>0</v>
      </c>
      <c r="AF622" s="21" t="str">
        <f aca="false">IFERROR(AD622/AC622,"")</f>
        <v/>
      </c>
    </row>
    <row r="623" customFormat="false" ht="15" hidden="false" customHeight="true" outlineLevel="0" collapsed="false">
      <c r="A623" s="14"/>
      <c r="B623" s="14"/>
      <c r="C623" s="14" t="s">
        <v>5118</v>
      </c>
      <c r="D623" s="14" t="s">
        <v>5113</v>
      </c>
      <c r="E623" s="14" t="s">
        <v>5114</v>
      </c>
      <c r="F623" s="14"/>
      <c r="G623" s="14"/>
      <c r="H623" s="14" t="s">
        <v>5119</v>
      </c>
      <c r="I623" s="14"/>
      <c r="J623" s="14" t="s">
        <v>5120</v>
      </c>
      <c r="K623" s="14" t="s">
        <v>5121</v>
      </c>
      <c r="L623" s="14" t="s">
        <v>5122</v>
      </c>
      <c r="M623" s="14" t="s">
        <v>3752</v>
      </c>
      <c r="N623" s="14" t="s">
        <v>289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2" t="n">
        <f aca="false">AB623*(1+$L$3)</f>
        <v>0</v>
      </c>
      <c r="AD623" s="20"/>
      <c r="AE623" s="23" t="n">
        <f aca="false">AC623-AD623</f>
        <v>0</v>
      </c>
      <c r="AF623" s="21" t="str">
        <f aca="false">IFERROR(AD623/AC623,"")</f>
        <v/>
      </c>
    </row>
    <row r="624" customFormat="false" ht="15" hidden="false" customHeight="true" outlineLevel="0" collapsed="false">
      <c r="A624" s="14"/>
      <c r="B624" s="14"/>
      <c r="C624" s="14" t="s">
        <v>5123</v>
      </c>
      <c r="D624" s="14" t="s">
        <v>5113</v>
      </c>
      <c r="E624" s="14" t="s">
        <v>5114</v>
      </c>
      <c r="F624" s="14"/>
      <c r="G624" s="14"/>
      <c r="H624" s="14" t="s">
        <v>5124</v>
      </c>
      <c r="I624" s="14"/>
      <c r="J624" s="14" t="s">
        <v>5125</v>
      </c>
      <c r="K624" s="14" t="s">
        <v>1715</v>
      </c>
      <c r="L624" s="14" t="s">
        <v>5126</v>
      </c>
      <c r="M624" s="14" t="s">
        <v>3752</v>
      </c>
      <c r="N624" s="14" t="s">
        <v>289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2" t="n">
        <f aca="false">AB624*(1+$L$3)</f>
        <v>0</v>
      </c>
      <c r="AD624" s="20"/>
      <c r="AE624" s="23" t="n">
        <f aca="false">AC624-AD624</f>
        <v>0</v>
      </c>
      <c r="AF624" s="21" t="str">
        <f aca="false">IFERROR(AD624/AC624,"")</f>
        <v/>
      </c>
    </row>
    <row r="625" customFormat="false" ht="15" hidden="false" customHeight="true" outlineLevel="0" collapsed="false">
      <c r="A625" s="14" t="n">
        <v>657697</v>
      </c>
      <c r="B625" s="14" t="n">
        <v>498731</v>
      </c>
      <c r="C625" s="14" t="s">
        <v>5127</v>
      </c>
      <c r="D625" s="14" t="s">
        <v>5128</v>
      </c>
      <c r="E625" s="14" t="s">
        <v>5129</v>
      </c>
      <c r="F625" s="14" t="s">
        <v>5130</v>
      </c>
      <c r="G625" s="14" t="s">
        <v>5131</v>
      </c>
      <c r="H625" s="14" t="s">
        <v>5132</v>
      </c>
      <c r="I625" s="14" t="s">
        <v>65</v>
      </c>
      <c r="J625" s="14" t="s">
        <v>5133</v>
      </c>
      <c r="K625" s="14" t="s">
        <v>307</v>
      </c>
      <c r="L625" s="14" t="s">
        <v>5134</v>
      </c>
      <c r="M625" s="14" t="s">
        <v>5135</v>
      </c>
      <c r="N625" s="14" t="s">
        <v>70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2" t="n">
        <f aca="false">AB625*(1+$L$3)</f>
        <v>0</v>
      </c>
      <c r="AD625" s="20"/>
      <c r="AE625" s="23" t="n">
        <f aca="false">AC625-AD625</f>
        <v>0</v>
      </c>
      <c r="AF625" s="21" t="str">
        <f aca="false">IFERROR(AD625/AC625,"")</f>
        <v/>
      </c>
    </row>
    <row r="626" customFormat="false" ht="15" hidden="false" customHeight="true" outlineLevel="0" collapsed="false">
      <c r="A626" s="14" t="n">
        <v>657619</v>
      </c>
      <c r="B626" s="14" t="n">
        <v>498653</v>
      </c>
      <c r="C626" s="14" t="s">
        <v>5136</v>
      </c>
      <c r="D626" s="14" t="s">
        <v>5137</v>
      </c>
      <c r="E626" s="14" t="s">
        <v>5138</v>
      </c>
      <c r="F626" s="14" t="s">
        <v>5139</v>
      </c>
      <c r="G626" s="14" t="s">
        <v>5140</v>
      </c>
      <c r="H626" s="14" t="s">
        <v>5141</v>
      </c>
      <c r="I626" s="14"/>
      <c r="J626" s="14" t="s">
        <v>2976</v>
      </c>
      <c r="K626" s="14" t="s">
        <v>981</v>
      </c>
      <c r="L626" s="14" t="s">
        <v>5142</v>
      </c>
      <c r="M626" s="14" t="s">
        <v>5143</v>
      </c>
      <c r="N626" s="14" t="s">
        <v>70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2" t="n">
        <f aca="false">AB626*(1+$L$3)</f>
        <v>0</v>
      </c>
      <c r="AD626" s="20"/>
      <c r="AE626" s="23" t="n">
        <f aca="false">AC626-AD626</f>
        <v>0</v>
      </c>
      <c r="AF626" s="21" t="str">
        <f aca="false">IFERROR(AD626/AC626,"")</f>
        <v/>
      </c>
    </row>
    <row r="627" customFormat="false" ht="15" hidden="false" customHeight="true" outlineLevel="0" collapsed="false">
      <c r="A627" s="14" t="n">
        <v>657617</v>
      </c>
      <c r="B627" s="14" t="n">
        <v>498649</v>
      </c>
      <c r="C627" s="14" t="s">
        <v>5144</v>
      </c>
      <c r="D627" s="14" t="s">
        <v>5145</v>
      </c>
      <c r="E627" s="14" t="s">
        <v>5146</v>
      </c>
      <c r="F627" s="14" t="s">
        <v>5147</v>
      </c>
      <c r="G627" s="14" t="s">
        <v>5148</v>
      </c>
      <c r="H627" s="14" t="s">
        <v>5149</v>
      </c>
      <c r="I627" s="14"/>
      <c r="J627" s="14" t="s">
        <v>1511</v>
      </c>
      <c r="K627" s="14" t="s">
        <v>335</v>
      </c>
      <c r="L627" s="14" t="s">
        <v>5150</v>
      </c>
      <c r="M627" s="14" t="s">
        <v>5151</v>
      </c>
      <c r="N627" s="14" t="s">
        <v>70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2" t="n">
        <f aca="false">AB627*(1+$L$3)</f>
        <v>0</v>
      </c>
      <c r="AD627" s="20"/>
      <c r="AE627" s="23" t="n">
        <f aca="false">AC627-AD627</f>
        <v>0</v>
      </c>
      <c r="AF627" s="21" t="str">
        <f aca="false">IFERROR(AD627/AC627,"")</f>
        <v/>
      </c>
    </row>
    <row r="628" customFormat="false" ht="15" hidden="false" customHeight="true" outlineLevel="0" collapsed="false">
      <c r="A628" s="14" t="n">
        <v>657603</v>
      </c>
      <c r="B628" s="14" t="n">
        <v>498633</v>
      </c>
      <c r="C628" s="14" t="s">
        <v>5152</v>
      </c>
      <c r="D628" s="14" t="s">
        <v>2197</v>
      </c>
      <c r="E628" s="14" t="s">
        <v>2198</v>
      </c>
      <c r="F628" s="14" t="s">
        <v>2199</v>
      </c>
      <c r="G628" s="14" t="s">
        <v>5153</v>
      </c>
      <c r="H628" s="14" t="s">
        <v>5154</v>
      </c>
      <c r="I628" s="14"/>
      <c r="J628" s="14" t="s">
        <v>5155</v>
      </c>
      <c r="K628" s="14" t="s">
        <v>408</v>
      </c>
      <c r="L628" s="14" t="s">
        <v>5156</v>
      </c>
      <c r="M628" s="14" t="s">
        <v>5157</v>
      </c>
      <c r="N628" s="14" t="s">
        <v>70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2" t="n">
        <f aca="false">AB628*(1+$L$3)</f>
        <v>0</v>
      </c>
      <c r="AD628" s="20"/>
      <c r="AE628" s="23" t="n">
        <f aca="false">AC628-AD628</f>
        <v>0</v>
      </c>
      <c r="AF628" s="21" t="str">
        <f aca="false">IFERROR(AD628/AC628,"")</f>
        <v/>
      </c>
    </row>
    <row r="629" customFormat="false" ht="15" hidden="false" customHeight="true" outlineLevel="0" collapsed="false">
      <c r="A629" s="14" t="n">
        <v>657590</v>
      </c>
      <c r="B629" s="14" t="n">
        <v>498620</v>
      </c>
      <c r="C629" s="14" t="s">
        <v>5158</v>
      </c>
      <c r="D629" s="14" t="s">
        <v>5159</v>
      </c>
      <c r="E629" s="14" t="s">
        <v>5160</v>
      </c>
      <c r="F629" s="14" t="s">
        <v>5161</v>
      </c>
      <c r="G629" s="14" t="s">
        <v>5162</v>
      </c>
      <c r="H629" s="14" t="s">
        <v>5163</v>
      </c>
      <c r="I629" s="14" t="s">
        <v>793</v>
      </c>
      <c r="J629" s="14" t="s">
        <v>5164</v>
      </c>
      <c r="K629" s="14" t="s">
        <v>3982</v>
      </c>
      <c r="L629" s="14" t="s">
        <v>5165</v>
      </c>
      <c r="M629" s="14" t="s">
        <v>5166</v>
      </c>
      <c r="N629" s="14" t="s">
        <v>70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2" t="n">
        <f aca="false">AB629*(1+$L$3)</f>
        <v>0</v>
      </c>
      <c r="AD629" s="20"/>
      <c r="AE629" s="23" t="n">
        <f aca="false">AC629-AD629</f>
        <v>0</v>
      </c>
      <c r="AF629" s="21" t="str">
        <f aca="false">IFERROR(AD629/AC629,"")</f>
        <v/>
      </c>
    </row>
    <row r="630" customFormat="false" ht="15" hidden="false" customHeight="true" outlineLevel="0" collapsed="false">
      <c r="A630" s="14" t="n">
        <v>658101</v>
      </c>
      <c r="B630" s="14" t="n">
        <v>499104</v>
      </c>
      <c r="C630" s="14" t="s">
        <v>5167</v>
      </c>
      <c r="D630" s="14" t="s">
        <v>5168</v>
      </c>
      <c r="E630" s="14" t="s">
        <v>5169</v>
      </c>
      <c r="F630" s="14" t="s">
        <v>5170</v>
      </c>
      <c r="G630" s="14" t="s">
        <v>5171</v>
      </c>
      <c r="H630" s="14" t="s">
        <v>5172</v>
      </c>
      <c r="I630" s="14"/>
      <c r="J630" s="14" t="s">
        <v>5173</v>
      </c>
      <c r="K630" s="14" t="s">
        <v>408</v>
      </c>
      <c r="L630" s="14" t="s">
        <v>5174</v>
      </c>
      <c r="M630" s="14" t="s">
        <v>5175</v>
      </c>
      <c r="N630" s="14" t="s">
        <v>70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2" t="n">
        <f aca="false">AB630*(1+$L$3)</f>
        <v>0</v>
      </c>
      <c r="AD630" s="20"/>
      <c r="AE630" s="23" t="n">
        <f aca="false">AC630-AD630</f>
        <v>0</v>
      </c>
      <c r="AF630" s="21" t="str">
        <f aca="false">IFERROR(AD630/AC630,"")</f>
        <v/>
      </c>
    </row>
    <row r="631" customFormat="false" ht="15" hidden="false" customHeight="true" outlineLevel="0" collapsed="false">
      <c r="A631" s="14" t="n">
        <v>657560</v>
      </c>
      <c r="B631" s="14" t="n">
        <v>498589</v>
      </c>
      <c r="C631" s="14" t="s">
        <v>5176</v>
      </c>
      <c r="D631" s="14" t="s">
        <v>5177</v>
      </c>
      <c r="E631" s="14" t="s">
        <v>5178</v>
      </c>
      <c r="F631" s="14" t="s">
        <v>5179</v>
      </c>
      <c r="G631" s="14" t="s">
        <v>5180</v>
      </c>
      <c r="H631" s="14" t="s">
        <v>5181</v>
      </c>
      <c r="I631" s="14"/>
      <c r="J631" s="14" t="s">
        <v>5182</v>
      </c>
      <c r="K631" s="14" t="s">
        <v>67</v>
      </c>
      <c r="L631" s="14" t="s">
        <v>5183</v>
      </c>
      <c r="M631" s="14" t="s">
        <v>5184</v>
      </c>
      <c r="N631" s="14" t="s">
        <v>70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2" t="n">
        <f aca="false">AB631*(1+$L$3)</f>
        <v>0</v>
      </c>
      <c r="AD631" s="20"/>
      <c r="AE631" s="23" t="n">
        <f aca="false">AC631-AD631</f>
        <v>0</v>
      </c>
      <c r="AF631" s="21" t="str">
        <f aca="false">IFERROR(AD631/AC631,"")</f>
        <v/>
      </c>
    </row>
    <row r="632" customFormat="false" ht="15" hidden="false" customHeight="true" outlineLevel="0" collapsed="false">
      <c r="A632" s="14" t="n">
        <v>655812</v>
      </c>
      <c r="B632" s="14" t="n">
        <v>496940</v>
      </c>
      <c r="C632" s="14" t="s">
        <v>5185</v>
      </c>
      <c r="D632" s="14" t="s">
        <v>5186</v>
      </c>
      <c r="E632" s="14" t="s">
        <v>5187</v>
      </c>
      <c r="F632" s="14" t="s">
        <v>5188</v>
      </c>
      <c r="G632" s="14" t="s">
        <v>5189</v>
      </c>
      <c r="H632" s="14" t="s">
        <v>5190</v>
      </c>
      <c r="I632" s="14"/>
      <c r="J632" s="14" t="s">
        <v>489</v>
      </c>
      <c r="K632" s="14" t="s">
        <v>307</v>
      </c>
      <c r="L632" s="14" t="s">
        <v>490</v>
      </c>
      <c r="M632" s="14" t="s">
        <v>5191</v>
      </c>
      <c r="N632" s="14" t="s">
        <v>70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2" t="n">
        <f aca="false">AB632*(1+$L$3)</f>
        <v>0</v>
      </c>
      <c r="AD632" s="20"/>
      <c r="AE632" s="23" t="n">
        <f aca="false">AC632-AD632</f>
        <v>0</v>
      </c>
      <c r="AF632" s="21" t="str">
        <f aca="false">IFERROR(AD632/AC632,"")</f>
        <v/>
      </c>
    </row>
    <row r="633" customFormat="false" ht="15" hidden="false" customHeight="true" outlineLevel="0" collapsed="false">
      <c r="A633" s="14" t="n">
        <v>657580</v>
      </c>
      <c r="B633" s="14" t="n">
        <v>498610</v>
      </c>
      <c r="C633" s="14" t="s">
        <v>5192</v>
      </c>
      <c r="D633" s="14" t="s">
        <v>5193</v>
      </c>
      <c r="E633" s="14" t="s">
        <v>5194</v>
      </c>
      <c r="F633" s="14" t="s">
        <v>5195</v>
      </c>
      <c r="G633" s="14" t="s">
        <v>5196</v>
      </c>
      <c r="H633" s="14" t="s">
        <v>5197</v>
      </c>
      <c r="I633" s="14"/>
      <c r="J633" s="14" t="s">
        <v>1299</v>
      </c>
      <c r="K633" s="14" t="s">
        <v>48</v>
      </c>
      <c r="L633" s="14" t="s">
        <v>1300</v>
      </c>
      <c r="M633" s="14" t="s">
        <v>5198</v>
      </c>
      <c r="N633" s="14" t="s">
        <v>70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2" t="n">
        <f aca="false">AB633*(1+$L$3)</f>
        <v>0</v>
      </c>
      <c r="AD633" s="20"/>
      <c r="AE633" s="23" t="n">
        <f aca="false">AC633-AD633</f>
        <v>0</v>
      </c>
      <c r="AF633" s="21" t="str">
        <f aca="false">IFERROR(AD633/AC633,"")</f>
        <v/>
      </c>
    </row>
    <row r="634" customFormat="false" ht="15" hidden="false" customHeight="true" outlineLevel="0" collapsed="false">
      <c r="A634" s="14" t="n">
        <v>657547</v>
      </c>
      <c r="B634" s="14" t="n">
        <v>498576</v>
      </c>
      <c r="C634" s="14" t="s">
        <v>5199</v>
      </c>
      <c r="D634" s="14" t="s">
        <v>5200</v>
      </c>
      <c r="E634" s="14" t="s">
        <v>5201</v>
      </c>
      <c r="F634" s="14" t="s">
        <v>5202</v>
      </c>
      <c r="G634" s="14" t="s">
        <v>5203</v>
      </c>
      <c r="H634" s="14" t="s">
        <v>5204</v>
      </c>
      <c r="I634" s="14"/>
      <c r="J634" s="14" t="s">
        <v>3434</v>
      </c>
      <c r="K634" s="14" t="s">
        <v>335</v>
      </c>
      <c r="L634" s="14" t="s">
        <v>5205</v>
      </c>
      <c r="M634" s="14" t="s">
        <v>5206</v>
      </c>
      <c r="N634" s="14" t="s">
        <v>70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2" t="n">
        <f aca="false">AB634*(1+$L$3)</f>
        <v>0</v>
      </c>
      <c r="AD634" s="20"/>
      <c r="AE634" s="23" t="n">
        <f aca="false">AC634-AD634</f>
        <v>0</v>
      </c>
      <c r="AF634" s="21" t="str">
        <f aca="false">IFERROR(AD634/AC634,"")</f>
        <v/>
      </c>
    </row>
    <row r="635" customFormat="false" ht="15" hidden="false" customHeight="true" outlineLevel="0" collapsed="false">
      <c r="A635" s="14" t="n">
        <v>657535</v>
      </c>
      <c r="B635" s="14" t="n">
        <v>498564</v>
      </c>
      <c r="C635" s="14" t="s">
        <v>5207</v>
      </c>
      <c r="D635" s="14" t="s">
        <v>5208</v>
      </c>
      <c r="E635" s="14" t="s">
        <v>5209</v>
      </c>
      <c r="F635" s="14" t="s">
        <v>5210</v>
      </c>
      <c r="G635" s="14" t="s">
        <v>5211</v>
      </c>
      <c r="H635" s="14" t="s">
        <v>5212</v>
      </c>
      <c r="I635" s="14"/>
      <c r="J635" s="14" t="s">
        <v>5213</v>
      </c>
      <c r="K635" s="14" t="s">
        <v>2316</v>
      </c>
      <c r="L635" s="14" t="s">
        <v>5214</v>
      </c>
      <c r="M635" s="14" t="s">
        <v>5215</v>
      </c>
      <c r="N635" s="14" t="s">
        <v>70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2" t="n">
        <f aca="false">AB635*(1+$L$3)</f>
        <v>0</v>
      </c>
      <c r="AD635" s="20"/>
      <c r="AE635" s="23" t="n">
        <f aca="false">AC635-AD635</f>
        <v>0</v>
      </c>
      <c r="AF635" s="21" t="str">
        <f aca="false">IFERROR(AD635/AC635,"")</f>
        <v/>
      </c>
    </row>
    <row r="636" customFormat="false" ht="15" hidden="false" customHeight="true" outlineLevel="0" collapsed="false">
      <c r="A636" s="14" t="n">
        <v>657545</v>
      </c>
      <c r="B636" s="14" t="n">
        <v>498574</v>
      </c>
      <c r="C636" s="14" t="s">
        <v>5216</v>
      </c>
      <c r="D636" s="14" t="s">
        <v>5217</v>
      </c>
      <c r="E636" s="14" t="s">
        <v>5218</v>
      </c>
      <c r="F636" s="14" t="s">
        <v>5219</v>
      </c>
      <c r="G636" s="14" t="s">
        <v>5220</v>
      </c>
      <c r="H636" s="14" t="s">
        <v>5221</v>
      </c>
      <c r="I636" s="14"/>
      <c r="J636" s="14" t="s">
        <v>1299</v>
      </c>
      <c r="K636" s="14" t="s">
        <v>48</v>
      </c>
      <c r="L636" s="14" t="s">
        <v>1300</v>
      </c>
      <c r="M636" s="14" t="s">
        <v>5222</v>
      </c>
      <c r="N636" s="14" t="s">
        <v>70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2" t="n">
        <f aca="false">AB636*(1+$L$3)</f>
        <v>0</v>
      </c>
      <c r="AD636" s="20"/>
      <c r="AE636" s="23" t="n">
        <f aca="false">AC636-AD636</f>
        <v>0</v>
      </c>
      <c r="AF636" s="21" t="str">
        <f aca="false">IFERROR(AD636/AC636,"")</f>
        <v/>
      </c>
    </row>
    <row r="637" customFormat="false" ht="15" hidden="false" customHeight="true" outlineLevel="0" collapsed="false">
      <c r="A637" s="14" t="n">
        <v>657529</v>
      </c>
      <c r="B637" s="14" t="n">
        <v>498558</v>
      </c>
      <c r="C637" s="14" t="s">
        <v>5223</v>
      </c>
      <c r="D637" s="14" t="s">
        <v>5200</v>
      </c>
      <c r="E637" s="14" t="s">
        <v>5224</v>
      </c>
      <c r="F637" s="14" t="s">
        <v>5202</v>
      </c>
      <c r="G637" s="14" t="s">
        <v>5203</v>
      </c>
      <c r="H637" s="14" t="s">
        <v>5225</v>
      </c>
      <c r="I637" s="14"/>
      <c r="J637" s="14" t="s">
        <v>3434</v>
      </c>
      <c r="K637" s="14" t="s">
        <v>335</v>
      </c>
      <c r="L637" s="14" t="s">
        <v>5205</v>
      </c>
      <c r="M637" s="14" t="s">
        <v>5206</v>
      </c>
      <c r="N637" s="14" t="s">
        <v>70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2" t="n">
        <f aca="false">AB637*(1+$L$3)</f>
        <v>0</v>
      </c>
      <c r="AD637" s="20"/>
      <c r="AE637" s="23" t="n">
        <f aca="false">AC637-AD637</f>
        <v>0</v>
      </c>
      <c r="AF637" s="21" t="str">
        <f aca="false">IFERROR(AD637/AC637,"")</f>
        <v/>
      </c>
    </row>
    <row r="638" customFormat="false" ht="15" hidden="false" customHeight="true" outlineLevel="0" collapsed="false">
      <c r="A638" s="14" t="n">
        <v>657496</v>
      </c>
      <c r="B638" s="14" t="n">
        <v>498524</v>
      </c>
      <c r="C638" s="14" t="s">
        <v>5226</v>
      </c>
      <c r="D638" s="14" t="s">
        <v>5227</v>
      </c>
      <c r="E638" s="14" t="s">
        <v>5228</v>
      </c>
      <c r="F638" s="14" t="s">
        <v>5229</v>
      </c>
      <c r="G638" s="14" t="s">
        <v>5230</v>
      </c>
      <c r="H638" s="14" t="s">
        <v>5231</v>
      </c>
      <c r="I638" s="14"/>
      <c r="J638" s="14" t="s">
        <v>2690</v>
      </c>
      <c r="K638" s="14" t="s">
        <v>307</v>
      </c>
      <c r="L638" s="14" t="s">
        <v>5232</v>
      </c>
      <c r="M638" s="14" t="s">
        <v>5233</v>
      </c>
      <c r="N638" s="14" t="s">
        <v>70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2" t="n">
        <f aca="false">AB638*(1+$L$3)</f>
        <v>0</v>
      </c>
      <c r="AD638" s="20"/>
      <c r="AE638" s="23" t="n">
        <f aca="false">AC638-AD638</f>
        <v>0</v>
      </c>
      <c r="AF638" s="21" t="str">
        <f aca="false">IFERROR(AD638/AC638,"")</f>
        <v/>
      </c>
    </row>
    <row r="639" customFormat="false" ht="15" hidden="false" customHeight="true" outlineLevel="0" collapsed="false">
      <c r="A639" s="14"/>
      <c r="B639" s="14"/>
      <c r="C639" s="14" t="s">
        <v>5234</v>
      </c>
      <c r="D639" s="14" t="s">
        <v>5235</v>
      </c>
      <c r="E639" s="14" t="s">
        <v>5236</v>
      </c>
      <c r="F639" s="14"/>
      <c r="G639" s="14"/>
      <c r="H639" s="14" t="s">
        <v>5237</v>
      </c>
      <c r="I639" s="14"/>
      <c r="J639" s="14" t="s">
        <v>5238</v>
      </c>
      <c r="K639" s="14" t="s">
        <v>307</v>
      </c>
      <c r="L639" s="14" t="s">
        <v>5239</v>
      </c>
      <c r="M639" s="14" t="s">
        <v>3752</v>
      </c>
      <c r="N639" s="14" t="s">
        <v>70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2" t="n">
        <f aca="false">AB639*(1+$L$3)</f>
        <v>0</v>
      </c>
      <c r="AD639" s="20"/>
      <c r="AE639" s="23" t="n">
        <f aca="false">AC639-AD639</f>
        <v>0</v>
      </c>
      <c r="AF639" s="21" t="str">
        <f aca="false">IFERROR(AD639/AC639,"")</f>
        <v/>
      </c>
    </row>
    <row r="640" customFormat="false" ht="15" hidden="false" customHeight="true" outlineLevel="0" collapsed="false">
      <c r="A640" s="14" t="n">
        <v>657378</v>
      </c>
      <c r="B640" s="14" t="n">
        <v>498411</v>
      </c>
      <c r="C640" s="14" t="s">
        <v>5240</v>
      </c>
      <c r="D640" s="14" t="s">
        <v>5241</v>
      </c>
      <c r="E640" s="14" t="s">
        <v>5242</v>
      </c>
      <c r="F640" s="14" t="s">
        <v>5243</v>
      </c>
      <c r="G640" s="14" t="s">
        <v>5244</v>
      </c>
      <c r="H640" s="14" t="s">
        <v>5245</v>
      </c>
      <c r="I640" s="14"/>
      <c r="J640" s="14" t="s">
        <v>708</v>
      </c>
      <c r="K640" s="14" t="s">
        <v>709</v>
      </c>
      <c r="L640" s="14" t="s">
        <v>2888</v>
      </c>
      <c r="M640" s="14" t="s">
        <v>5246</v>
      </c>
      <c r="N640" s="14" t="s">
        <v>70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2" t="n">
        <f aca="false">AB640*(1+$L$3)</f>
        <v>0</v>
      </c>
      <c r="AD640" s="20"/>
      <c r="AE640" s="23" t="n">
        <f aca="false">AC640-AD640</f>
        <v>0</v>
      </c>
      <c r="AF640" s="21" t="str">
        <f aca="false">IFERROR(AD640/AC640,"")</f>
        <v/>
      </c>
    </row>
    <row r="641" customFormat="false" ht="15" hidden="false" customHeight="true" outlineLevel="0" collapsed="false">
      <c r="A641" s="14"/>
      <c r="B641" s="14"/>
      <c r="C641" s="14" t="s">
        <v>5247</v>
      </c>
      <c r="D641" s="14" t="s">
        <v>5248</v>
      </c>
      <c r="E641" s="14" t="s">
        <v>5248</v>
      </c>
      <c r="F641" s="14"/>
      <c r="G641" s="14"/>
      <c r="H641" s="14" t="s">
        <v>5249</v>
      </c>
      <c r="I641" s="14"/>
      <c r="J641" s="14" t="s">
        <v>5238</v>
      </c>
      <c r="K641" s="14" t="s">
        <v>307</v>
      </c>
      <c r="L641" s="14" t="s">
        <v>5250</v>
      </c>
      <c r="M641" s="14" t="s">
        <v>3752</v>
      </c>
      <c r="N641" s="14" t="s">
        <v>70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2" t="n">
        <f aca="false">AB641*(1+$L$3)</f>
        <v>0</v>
      </c>
      <c r="AD641" s="20"/>
      <c r="AE641" s="23" t="n">
        <f aca="false">AC641-AD641</f>
        <v>0</v>
      </c>
      <c r="AF641" s="21" t="str">
        <f aca="false">IFERROR(AD641/AC641,"")</f>
        <v/>
      </c>
    </row>
    <row r="642" customFormat="false" ht="15" hidden="false" customHeight="true" outlineLevel="0" collapsed="false">
      <c r="A642" s="14"/>
      <c r="B642" s="14"/>
      <c r="C642" s="14" t="s">
        <v>5251</v>
      </c>
      <c r="D642" s="14" t="s">
        <v>5252</v>
      </c>
      <c r="E642" s="14" t="s">
        <v>5253</v>
      </c>
      <c r="F642" s="14"/>
      <c r="G642" s="14"/>
      <c r="H642" s="14" t="s">
        <v>5254</v>
      </c>
      <c r="I642" s="14" t="s">
        <v>4823</v>
      </c>
      <c r="J642" s="14" t="s">
        <v>5255</v>
      </c>
      <c r="K642" s="14" t="s">
        <v>307</v>
      </c>
      <c r="L642" s="14" t="s">
        <v>5256</v>
      </c>
      <c r="M642" s="14" t="s">
        <v>3752</v>
      </c>
      <c r="N642" s="14" t="s">
        <v>70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2" t="n">
        <f aca="false">AB642*(1+$L$3)</f>
        <v>0</v>
      </c>
      <c r="AD642" s="20"/>
      <c r="AE642" s="23" t="n">
        <f aca="false">AC642-AD642</f>
        <v>0</v>
      </c>
      <c r="AF642" s="21" t="str">
        <f aca="false">IFERROR(AD642/AC642,"")</f>
        <v/>
      </c>
    </row>
    <row r="643" customFormat="false" ht="15" hidden="false" customHeight="true" outlineLevel="0" collapsed="false">
      <c r="A643" s="14"/>
      <c r="B643" s="14"/>
      <c r="C643" s="14" t="s">
        <v>5257</v>
      </c>
      <c r="D643" s="14" t="s">
        <v>5258</v>
      </c>
      <c r="E643" s="14" t="s">
        <v>5259</v>
      </c>
      <c r="F643" s="14"/>
      <c r="G643" s="14"/>
      <c r="H643" s="14" t="s">
        <v>5260</v>
      </c>
      <c r="I643" s="14"/>
      <c r="J643" s="14" t="s">
        <v>5261</v>
      </c>
      <c r="K643" s="14" t="s">
        <v>506</v>
      </c>
      <c r="L643" s="14" t="s">
        <v>5262</v>
      </c>
      <c r="M643" s="14" t="s">
        <v>3752</v>
      </c>
      <c r="N643" s="14" t="s">
        <v>70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2" t="n">
        <f aca="false">AB643*(1+$L$3)</f>
        <v>0</v>
      </c>
      <c r="AD643" s="20"/>
      <c r="AE643" s="23" t="n">
        <f aca="false">AC643-AD643</f>
        <v>0</v>
      </c>
      <c r="AF643" s="21" t="str">
        <f aca="false">IFERROR(AD643/AC643,"")</f>
        <v/>
      </c>
    </row>
    <row r="644" customFormat="false" ht="15" hidden="false" customHeight="true" outlineLevel="0" collapsed="false">
      <c r="A644" s="14" t="n">
        <v>657459</v>
      </c>
      <c r="B644" s="14" t="n">
        <v>498487</v>
      </c>
      <c r="C644" s="14" t="s">
        <v>5263</v>
      </c>
      <c r="D644" s="14" t="s">
        <v>4368</v>
      </c>
      <c r="E644" s="14" t="s">
        <v>5264</v>
      </c>
      <c r="F644" s="14" t="s">
        <v>5265</v>
      </c>
      <c r="G644" s="14" t="s">
        <v>5266</v>
      </c>
      <c r="H644" s="14" t="s">
        <v>5267</v>
      </c>
      <c r="I644" s="14"/>
      <c r="J644" s="14" t="s">
        <v>5268</v>
      </c>
      <c r="K644" s="14" t="s">
        <v>999</v>
      </c>
      <c r="L644" s="14" t="s">
        <v>5269</v>
      </c>
      <c r="M644" s="14" t="s">
        <v>5270</v>
      </c>
      <c r="N644" s="14" t="s">
        <v>70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2" t="n">
        <f aca="false">AB644*(1+$L$3)</f>
        <v>0</v>
      </c>
      <c r="AD644" s="20"/>
      <c r="AE644" s="23" t="n">
        <f aca="false">AC644-AD644</f>
        <v>0</v>
      </c>
      <c r="AF644" s="21" t="str">
        <f aca="false">IFERROR(AD644/AC644,"")</f>
        <v/>
      </c>
    </row>
    <row r="645" customFormat="false" ht="15" hidden="false" customHeight="true" outlineLevel="0" collapsed="false">
      <c r="A645" s="14" t="n">
        <v>657337</v>
      </c>
      <c r="B645" s="14" t="n">
        <v>498370</v>
      </c>
      <c r="C645" s="14" t="s">
        <v>5271</v>
      </c>
      <c r="D645" s="14" t="s">
        <v>5272</v>
      </c>
      <c r="E645" s="14" t="s">
        <v>5273</v>
      </c>
      <c r="F645" s="14" t="s">
        <v>5274</v>
      </c>
      <c r="G645" s="14" t="s">
        <v>5275</v>
      </c>
      <c r="H645" s="14" t="s">
        <v>5276</v>
      </c>
      <c r="I645" s="14"/>
      <c r="J645" s="14" t="s">
        <v>1528</v>
      </c>
      <c r="K645" s="14" t="s">
        <v>1160</v>
      </c>
      <c r="L645" s="14" t="s">
        <v>3864</v>
      </c>
      <c r="M645" s="14" t="s">
        <v>5277</v>
      </c>
      <c r="N645" s="14" t="s">
        <v>70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2" t="n">
        <f aca="false">AB645*(1+$L$3)</f>
        <v>0</v>
      </c>
      <c r="AD645" s="20"/>
      <c r="AE645" s="23" t="n">
        <f aca="false">AC645-AD645</f>
        <v>0</v>
      </c>
      <c r="AF645" s="21" t="str">
        <f aca="false">IFERROR(AD645/AC645,"")</f>
        <v/>
      </c>
    </row>
    <row r="646" customFormat="false" ht="15" hidden="false" customHeight="true" outlineLevel="0" collapsed="false">
      <c r="A646" s="14" t="n">
        <v>657371</v>
      </c>
      <c r="B646" s="14" t="n">
        <v>498404</v>
      </c>
      <c r="C646" s="14" t="s">
        <v>5278</v>
      </c>
      <c r="D646" s="14" t="s">
        <v>5279</v>
      </c>
      <c r="E646" s="14" t="s">
        <v>5280</v>
      </c>
      <c r="F646" s="14" t="s">
        <v>5281</v>
      </c>
      <c r="G646" s="14" t="s">
        <v>2268</v>
      </c>
      <c r="H646" s="14" t="s">
        <v>5282</v>
      </c>
      <c r="I646" s="14" t="s">
        <v>1317</v>
      </c>
      <c r="J646" s="14" t="s">
        <v>5283</v>
      </c>
      <c r="K646" s="14" t="s">
        <v>67</v>
      </c>
      <c r="L646" s="14" t="s">
        <v>5284</v>
      </c>
      <c r="M646" s="14" t="s">
        <v>2272</v>
      </c>
      <c r="N646" s="14" t="s">
        <v>70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2" t="n">
        <f aca="false">AB646*(1+$L$3)</f>
        <v>0</v>
      </c>
      <c r="AD646" s="20"/>
      <c r="AE646" s="23" t="n">
        <f aca="false">AC646-AD646</f>
        <v>0</v>
      </c>
      <c r="AF646" s="21" t="str">
        <f aca="false">IFERROR(AD646/AC646,"")</f>
        <v/>
      </c>
    </row>
    <row r="647" customFormat="false" ht="15" hidden="false" customHeight="true" outlineLevel="0" collapsed="false">
      <c r="A647" s="14"/>
      <c r="B647" s="14"/>
      <c r="C647" s="14" t="s">
        <v>5285</v>
      </c>
      <c r="D647" s="14" t="s">
        <v>5286</v>
      </c>
      <c r="E647" s="14" t="s">
        <v>5287</v>
      </c>
      <c r="F647" s="14"/>
      <c r="G647" s="14"/>
      <c r="H647" s="14" t="s">
        <v>5288</v>
      </c>
      <c r="I647" s="14" t="s">
        <v>5289</v>
      </c>
      <c r="J647" s="14" t="s">
        <v>5290</v>
      </c>
      <c r="K647" s="14" t="s">
        <v>2316</v>
      </c>
      <c r="L647" s="14" t="s">
        <v>5291</v>
      </c>
      <c r="M647" s="14" t="s">
        <v>3752</v>
      </c>
      <c r="N647" s="14" t="s">
        <v>70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2" t="n">
        <f aca="false">AB647*(1+$L$3)</f>
        <v>0</v>
      </c>
      <c r="AD647" s="20"/>
      <c r="AE647" s="23" t="n">
        <f aca="false">AC647-AD647</f>
        <v>0</v>
      </c>
      <c r="AF647" s="21" t="str">
        <f aca="false">IFERROR(AD647/AC647,"")</f>
        <v/>
      </c>
    </row>
    <row r="648" customFormat="false" ht="15" hidden="false" customHeight="true" outlineLevel="0" collapsed="false">
      <c r="A648" s="14"/>
      <c r="B648" s="14"/>
      <c r="C648" s="14" t="s">
        <v>5292</v>
      </c>
      <c r="D648" s="14" t="s">
        <v>5293</v>
      </c>
      <c r="E648" s="14" t="s">
        <v>5287</v>
      </c>
      <c r="F648" s="14" t="s">
        <v>5294</v>
      </c>
      <c r="G648" s="14" t="s">
        <v>5295</v>
      </c>
      <c r="H648" s="14" t="s">
        <v>5296</v>
      </c>
      <c r="I648" s="14"/>
      <c r="J648" s="14" t="s">
        <v>5297</v>
      </c>
      <c r="K648" s="14" t="s">
        <v>2316</v>
      </c>
      <c r="L648" s="14" t="s">
        <v>5298</v>
      </c>
      <c r="M648" s="14" t="s">
        <v>5299</v>
      </c>
      <c r="N648" s="14" t="s">
        <v>70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2" t="n">
        <f aca="false">AB648*(1+$L$3)</f>
        <v>0</v>
      </c>
      <c r="AD648" s="20"/>
      <c r="AE648" s="23" t="n">
        <f aca="false">AC648-AD648</f>
        <v>0</v>
      </c>
      <c r="AF648" s="21" t="str">
        <f aca="false">IFERROR(AD648/AC648,"")</f>
        <v/>
      </c>
    </row>
    <row r="649" customFormat="false" ht="15" hidden="false" customHeight="true" outlineLevel="0" collapsed="false">
      <c r="A649" s="14"/>
      <c r="B649" s="14"/>
      <c r="C649" s="14" t="s">
        <v>5300</v>
      </c>
      <c r="D649" s="14" t="s">
        <v>5301</v>
      </c>
      <c r="E649" s="14" t="s">
        <v>5287</v>
      </c>
      <c r="F649" s="14" t="s">
        <v>5302</v>
      </c>
      <c r="G649" s="14" t="s">
        <v>5295</v>
      </c>
      <c r="H649" s="14" t="s">
        <v>5303</v>
      </c>
      <c r="I649" s="14"/>
      <c r="J649" s="14" t="s">
        <v>5304</v>
      </c>
      <c r="K649" s="14" t="s">
        <v>2316</v>
      </c>
      <c r="L649" s="14" t="s">
        <v>5305</v>
      </c>
      <c r="M649" s="14" t="s">
        <v>5306</v>
      </c>
      <c r="N649" s="14" t="s">
        <v>70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2" t="n">
        <f aca="false">AB649*(1+$L$3)</f>
        <v>0</v>
      </c>
      <c r="AD649" s="20"/>
      <c r="AE649" s="23" t="n">
        <f aca="false">AC649-AD649</f>
        <v>0</v>
      </c>
      <c r="AF649" s="21" t="str">
        <f aca="false">IFERROR(AD649/AC649,"")</f>
        <v/>
      </c>
    </row>
    <row r="650" customFormat="false" ht="15" hidden="false" customHeight="true" outlineLevel="0" collapsed="false">
      <c r="A650" s="14"/>
      <c r="B650" s="14"/>
      <c r="C650" s="14" t="s">
        <v>5307</v>
      </c>
      <c r="D650" s="14" t="s">
        <v>5308</v>
      </c>
      <c r="E650" s="14" t="s">
        <v>5287</v>
      </c>
      <c r="F650" s="14" t="s">
        <v>5309</v>
      </c>
      <c r="G650" s="14" t="s">
        <v>5295</v>
      </c>
      <c r="H650" s="14" t="s">
        <v>5310</v>
      </c>
      <c r="I650" s="14"/>
      <c r="J650" s="14" t="s">
        <v>5311</v>
      </c>
      <c r="K650" s="14" t="s">
        <v>2316</v>
      </c>
      <c r="L650" s="14" t="s">
        <v>5312</v>
      </c>
      <c r="M650" s="14" t="s">
        <v>5313</v>
      </c>
      <c r="N650" s="14" t="s">
        <v>70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2" t="n">
        <f aca="false">AB650*(1+$L$3)</f>
        <v>0</v>
      </c>
      <c r="AD650" s="20"/>
      <c r="AE650" s="23" t="n">
        <f aca="false">AC650-AD650</f>
        <v>0</v>
      </c>
      <c r="AF650" s="21" t="str">
        <f aca="false">IFERROR(AD650/AC650,"")</f>
        <v/>
      </c>
    </row>
    <row r="651" customFormat="false" ht="15" hidden="false" customHeight="true" outlineLevel="0" collapsed="false">
      <c r="A651" s="14"/>
      <c r="B651" s="14"/>
      <c r="C651" s="14" t="s">
        <v>5314</v>
      </c>
      <c r="D651" s="14" t="s">
        <v>5315</v>
      </c>
      <c r="E651" s="14" t="s">
        <v>5287</v>
      </c>
      <c r="F651" s="14" t="s">
        <v>5316</v>
      </c>
      <c r="G651" s="14" t="s">
        <v>5295</v>
      </c>
      <c r="H651" s="14" t="s">
        <v>5317</v>
      </c>
      <c r="I651" s="14"/>
      <c r="J651" s="14" t="s">
        <v>5318</v>
      </c>
      <c r="K651" s="14" t="s">
        <v>2316</v>
      </c>
      <c r="L651" s="14" t="s">
        <v>5319</v>
      </c>
      <c r="M651" s="14" t="s">
        <v>5320</v>
      </c>
      <c r="N651" s="14" t="s">
        <v>70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2" t="n">
        <f aca="false">AB651*(1+$L$3)</f>
        <v>0</v>
      </c>
      <c r="AD651" s="20"/>
      <c r="AE651" s="23" t="n">
        <f aca="false">AC651-AD651</f>
        <v>0</v>
      </c>
      <c r="AF651" s="21" t="str">
        <f aca="false">IFERROR(AD651/AC651,"")</f>
        <v/>
      </c>
    </row>
    <row r="652" customFormat="false" ht="15" hidden="false" customHeight="true" outlineLevel="0" collapsed="false">
      <c r="A652" s="14"/>
      <c r="B652" s="14"/>
      <c r="C652" s="14" t="s">
        <v>5321</v>
      </c>
      <c r="D652" s="14" t="s">
        <v>5322</v>
      </c>
      <c r="E652" s="14" t="s">
        <v>5287</v>
      </c>
      <c r="F652" s="14" t="s">
        <v>5323</v>
      </c>
      <c r="G652" s="14" t="s">
        <v>5295</v>
      </c>
      <c r="H652" s="14" t="s">
        <v>5324</v>
      </c>
      <c r="I652" s="14"/>
      <c r="J652" s="14" t="s">
        <v>5325</v>
      </c>
      <c r="K652" s="14" t="s">
        <v>2316</v>
      </c>
      <c r="L652" s="14" t="s">
        <v>5326</v>
      </c>
      <c r="M652" s="14" t="s">
        <v>5327</v>
      </c>
      <c r="N652" s="14" t="s">
        <v>70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2" t="n">
        <f aca="false">AB652*(1+$L$3)</f>
        <v>0</v>
      </c>
      <c r="AD652" s="20"/>
      <c r="AE652" s="23" t="n">
        <f aca="false">AC652-AD652</f>
        <v>0</v>
      </c>
      <c r="AF652" s="21" t="str">
        <f aca="false">IFERROR(AD652/AC652,"")</f>
        <v/>
      </c>
    </row>
    <row r="653" customFormat="false" ht="15" hidden="false" customHeight="true" outlineLevel="0" collapsed="false">
      <c r="A653" s="14"/>
      <c r="B653" s="14"/>
      <c r="C653" s="14" t="s">
        <v>5328</v>
      </c>
      <c r="D653" s="14" t="s">
        <v>5329</v>
      </c>
      <c r="E653" s="14" t="s">
        <v>5287</v>
      </c>
      <c r="F653" s="14" t="s">
        <v>5330</v>
      </c>
      <c r="G653" s="14" t="s">
        <v>5331</v>
      </c>
      <c r="H653" s="14" t="s">
        <v>5332</v>
      </c>
      <c r="I653" s="14"/>
      <c r="J653" s="14" t="s">
        <v>5333</v>
      </c>
      <c r="K653" s="14" t="s">
        <v>2316</v>
      </c>
      <c r="L653" s="14" t="s">
        <v>5334</v>
      </c>
      <c r="M653" s="14" t="s">
        <v>5335</v>
      </c>
      <c r="N653" s="14" t="s">
        <v>70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2" t="n">
        <f aca="false">AB653*(1+$L$3)</f>
        <v>0</v>
      </c>
      <c r="AD653" s="20"/>
      <c r="AE653" s="23" t="n">
        <f aca="false">AC653-AD653</f>
        <v>0</v>
      </c>
      <c r="AF653" s="21" t="str">
        <f aca="false">IFERROR(AD653/AC653,"")</f>
        <v/>
      </c>
    </row>
    <row r="654" customFormat="false" ht="15" hidden="false" customHeight="true" outlineLevel="0" collapsed="false">
      <c r="A654" s="14" t="n">
        <v>657234</v>
      </c>
      <c r="B654" s="14" t="n">
        <v>498267</v>
      </c>
      <c r="C654" s="14" t="s">
        <v>5336</v>
      </c>
      <c r="D654" s="14" t="s">
        <v>5177</v>
      </c>
      <c r="E654" s="14" t="s">
        <v>5337</v>
      </c>
      <c r="F654" s="14" t="s">
        <v>5338</v>
      </c>
      <c r="G654" s="14" t="s">
        <v>5180</v>
      </c>
      <c r="H654" s="14" t="s">
        <v>5339</v>
      </c>
      <c r="I654" s="14" t="s">
        <v>5340</v>
      </c>
      <c r="J654" s="14" t="s">
        <v>5341</v>
      </c>
      <c r="K654" s="14" t="s">
        <v>67</v>
      </c>
      <c r="L654" s="14" t="s">
        <v>3544</v>
      </c>
      <c r="M654" s="14" t="s">
        <v>5184</v>
      </c>
      <c r="N654" s="14" t="s">
        <v>70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2" t="n">
        <f aca="false">AB654*(1+$L$3)</f>
        <v>0</v>
      </c>
      <c r="AD654" s="20"/>
      <c r="AE654" s="23" t="n">
        <f aca="false">AC654-AD654</f>
        <v>0</v>
      </c>
      <c r="AF654" s="21" t="str">
        <f aca="false">IFERROR(AD654/AC654,"")</f>
        <v/>
      </c>
    </row>
    <row r="655" customFormat="false" ht="15" hidden="false" customHeight="true" outlineLevel="0" collapsed="false">
      <c r="A655" s="14" t="n">
        <v>658037</v>
      </c>
      <c r="B655" s="14" t="n">
        <v>499040</v>
      </c>
      <c r="C655" s="14" t="s">
        <v>5342</v>
      </c>
      <c r="D655" s="14" t="s">
        <v>5343</v>
      </c>
      <c r="E655" s="14" t="s">
        <v>5344</v>
      </c>
      <c r="F655" s="14" t="s">
        <v>5345</v>
      </c>
      <c r="G655" s="14" t="s">
        <v>5346</v>
      </c>
      <c r="H655" s="14" t="s">
        <v>5347</v>
      </c>
      <c r="I655" s="14" t="s">
        <v>5348</v>
      </c>
      <c r="J655" s="14" t="s">
        <v>5349</v>
      </c>
      <c r="K655" s="14" t="s">
        <v>249</v>
      </c>
      <c r="L655" s="14" t="s">
        <v>5350</v>
      </c>
      <c r="M655" s="14" t="s">
        <v>5351</v>
      </c>
      <c r="N655" s="14" t="s">
        <v>70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2" t="n">
        <f aca="false">AB655*(1+$L$3)</f>
        <v>0</v>
      </c>
      <c r="AD655" s="20"/>
      <c r="AE655" s="23" t="n">
        <f aca="false">AC655-AD655</f>
        <v>0</v>
      </c>
      <c r="AF655" s="21" t="str">
        <f aca="false">IFERROR(AD655/AC655,"")</f>
        <v/>
      </c>
    </row>
    <row r="656" customFormat="false" ht="15" hidden="false" customHeight="true" outlineLevel="0" collapsed="false">
      <c r="A656" s="14" t="n">
        <v>657189</v>
      </c>
      <c r="B656" s="14" t="n">
        <v>498221</v>
      </c>
      <c r="C656" s="14" t="s">
        <v>5352</v>
      </c>
      <c r="D656" s="14" t="s">
        <v>5353</v>
      </c>
      <c r="E656" s="14" t="s">
        <v>5354</v>
      </c>
      <c r="F656" s="14" t="s">
        <v>5355</v>
      </c>
      <c r="G656" s="14" t="s">
        <v>5356</v>
      </c>
      <c r="H656" s="14" t="s">
        <v>5357</v>
      </c>
      <c r="I656" s="14" t="s">
        <v>1457</v>
      </c>
      <c r="J656" s="14" t="s">
        <v>5358</v>
      </c>
      <c r="K656" s="14" t="s">
        <v>67</v>
      </c>
      <c r="L656" s="14" t="s">
        <v>5359</v>
      </c>
      <c r="M656" s="14" t="s">
        <v>5360</v>
      </c>
      <c r="N656" s="14" t="s">
        <v>70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2" t="n">
        <f aca="false">AB656*(1+$L$3)</f>
        <v>0</v>
      </c>
      <c r="AD656" s="20"/>
      <c r="AE656" s="23" t="n">
        <f aca="false">AC656-AD656</f>
        <v>0</v>
      </c>
      <c r="AF656" s="21" t="str">
        <f aca="false">IFERROR(AD656/AC656,"")</f>
        <v/>
      </c>
    </row>
    <row r="657" customFormat="false" ht="15" hidden="false" customHeight="true" outlineLevel="0" collapsed="false">
      <c r="A657" s="14" t="n">
        <v>657137</v>
      </c>
      <c r="B657" s="14" t="n">
        <v>498171</v>
      </c>
      <c r="C657" s="14" t="s">
        <v>5361</v>
      </c>
      <c r="D657" s="14" t="s">
        <v>5362</v>
      </c>
      <c r="E657" s="14" t="s">
        <v>5363</v>
      </c>
      <c r="F657" s="14" t="s">
        <v>5364</v>
      </c>
      <c r="G657" s="14" t="s">
        <v>5365</v>
      </c>
      <c r="H657" s="14" t="s">
        <v>5366</v>
      </c>
      <c r="I657" s="14"/>
      <c r="J657" s="14" t="s">
        <v>5367</v>
      </c>
      <c r="K657" s="14" t="s">
        <v>67</v>
      </c>
      <c r="L657" s="14" t="s">
        <v>5368</v>
      </c>
      <c r="M657" s="14" t="s">
        <v>5369</v>
      </c>
      <c r="N657" s="14" t="s">
        <v>70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2" t="n">
        <f aca="false">AB657*(1+$L$3)</f>
        <v>0</v>
      </c>
      <c r="AD657" s="20"/>
      <c r="AE657" s="23" t="n">
        <f aca="false">AC657-AD657</f>
        <v>0</v>
      </c>
      <c r="AF657" s="21" t="str">
        <f aca="false">IFERROR(AD657/AC657,"")</f>
        <v/>
      </c>
    </row>
    <row r="658" customFormat="false" ht="15" hidden="false" customHeight="true" outlineLevel="0" collapsed="false">
      <c r="A658" s="14" t="n">
        <v>657149</v>
      </c>
      <c r="B658" s="14" t="n">
        <v>493693</v>
      </c>
      <c r="C658" s="14" t="s">
        <v>5370</v>
      </c>
      <c r="D658" s="14" t="s">
        <v>5371</v>
      </c>
      <c r="E658" s="14" t="s">
        <v>5372</v>
      </c>
      <c r="F658" s="14" t="s">
        <v>5373</v>
      </c>
      <c r="G658" s="14" t="s">
        <v>5374</v>
      </c>
      <c r="H658" s="14" t="s">
        <v>5375</v>
      </c>
      <c r="I658" s="14"/>
      <c r="J658" s="14" t="s">
        <v>5376</v>
      </c>
      <c r="K658" s="14" t="s">
        <v>2088</v>
      </c>
      <c r="L658" s="14" t="s">
        <v>5377</v>
      </c>
      <c r="M658" s="14" t="s">
        <v>5378</v>
      </c>
      <c r="N658" s="14" t="s">
        <v>70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2" t="n">
        <f aca="false">AB658*(1+$L$3)</f>
        <v>0</v>
      </c>
      <c r="AD658" s="20"/>
      <c r="AE658" s="23" t="n">
        <f aca="false">AC658-AD658</f>
        <v>0</v>
      </c>
      <c r="AF658" s="21" t="str">
        <f aca="false">IFERROR(AD658/AC658,"")</f>
        <v/>
      </c>
    </row>
    <row r="659" customFormat="false" ht="15" hidden="false" customHeight="true" outlineLevel="0" collapsed="false">
      <c r="A659" s="14" t="n">
        <v>657121</v>
      </c>
      <c r="B659" s="14" t="n">
        <v>498155</v>
      </c>
      <c r="C659" s="14" t="s">
        <v>5379</v>
      </c>
      <c r="D659" s="14" t="s">
        <v>5380</v>
      </c>
      <c r="E659" s="14" t="s">
        <v>5363</v>
      </c>
      <c r="F659" s="14" t="s">
        <v>5364</v>
      </c>
      <c r="G659" s="14" t="s">
        <v>5365</v>
      </c>
      <c r="H659" s="14" t="s">
        <v>5381</v>
      </c>
      <c r="I659" s="14"/>
      <c r="J659" s="14" t="s">
        <v>3145</v>
      </c>
      <c r="K659" s="14" t="s">
        <v>67</v>
      </c>
      <c r="L659" s="14" t="s">
        <v>3146</v>
      </c>
      <c r="M659" s="14" t="s">
        <v>5369</v>
      </c>
      <c r="N659" s="14" t="s">
        <v>70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2" t="n">
        <f aca="false">AB659*(1+$L$3)</f>
        <v>0</v>
      </c>
      <c r="AD659" s="20"/>
      <c r="AE659" s="23" t="n">
        <f aca="false">AC659-AD659</f>
        <v>0</v>
      </c>
      <c r="AF659" s="21" t="str">
        <f aca="false">IFERROR(AD659/AC659,"")</f>
        <v/>
      </c>
    </row>
    <row r="660" customFormat="false" ht="15" hidden="false" customHeight="true" outlineLevel="0" collapsed="false">
      <c r="A660" s="14" t="n">
        <v>657114</v>
      </c>
      <c r="B660" s="14" t="n">
        <v>498149</v>
      </c>
      <c r="C660" s="14" t="s">
        <v>5382</v>
      </c>
      <c r="D660" s="14" t="s">
        <v>5383</v>
      </c>
      <c r="E660" s="14" t="s">
        <v>5384</v>
      </c>
      <c r="F660" s="14" t="s">
        <v>5385</v>
      </c>
      <c r="G660" s="14" t="s">
        <v>5386</v>
      </c>
      <c r="H660" s="14" t="s">
        <v>5387</v>
      </c>
      <c r="I660" s="14" t="s">
        <v>2828</v>
      </c>
      <c r="J660" s="14" t="s">
        <v>5388</v>
      </c>
      <c r="K660" s="14" t="s">
        <v>67</v>
      </c>
      <c r="L660" s="14" t="s">
        <v>3146</v>
      </c>
      <c r="M660" s="14" t="s">
        <v>5389</v>
      </c>
      <c r="N660" s="14" t="s">
        <v>70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/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2" t="n">
        <f aca="false">AB660*(1+$L$3)</f>
        <v>0</v>
      </c>
      <c r="AD660" s="20"/>
      <c r="AE660" s="23" t="n">
        <f aca="false">AC660-AD660</f>
        <v>0</v>
      </c>
      <c r="AF660" s="21" t="str">
        <f aca="false">IFERROR(AD660/AC660,"")</f>
        <v/>
      </c>
    </row>
    <row r="661" customFormat="false" ht="15" hidden="false" customHeight="true" outlineLevel="0" collapsed="false">
      <c r="A661" s="14" t="n">
        <v>657112</v>
      </c>
      <c r="B661" s="14" t="n">
        <v>498147</v>
      </c>
      <c r="C661" s="14" t="s">
        <v>5390</v>
      </c>
      <c r="D661" s="14" t="s">
        <v>5391</v>
      </c>
      <c r="E661" s="14" t="s">
        <v>5392</v>
      </c>
      <c r="F661" s="14" t="s">
        <v>5393</v>
      </c>
      <c r="G661" s="14" t="s">
        <v>5394</v>
      </c>
      <c r="H661" s="14" t="s">
        <v>5395</v>
      </c>
      <c r="I661" s="14"/>
      <c r="J661" s="14" t="s">
        <v>489</v>
      </c>
      <c r="K661" s="14" t="s">
        <v>307</v>
      </c>
      <c r="L661" s="14" t="s">
        <v>2931</v>
      </c>
      <c r="M661" s="14" t="s">
        <v>5396</v>
      </c>
      <c r="N661" s="14" t="s">
        <v>70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2" t="n">
        <f aca="false">AB661*(1+$L$3)</f>
        <v>0</v>
      </c>
      <c r="AD661" s="20"/>
      <c r="AE661" s="23" t="n">
        <f aca="false">AC661-AD661</f>
        <v>0</v>
      </c>
      <c r="AF661" s="21" t="str">
        <f aca="false">IFERROR(AD661/AC661,"")</f>
        <v/>
      </c>
    </row>
    <row r="662" customFormat="false" ht="15" hidden="false" customHeight="true" outlineLevel="0" collapsed="false">
      <c r="A662" s="14" t="n">
        <v>657151</v>
      </c>
      <c r="B662" s="14" t="n">
        <v>498183</v>
      </c>
      <c r="C662" s="14" t="s">
        <v>5397</v>
      </c>
      <c r="D662" s="14" t="s">
        <v>5398</v>
      </c>
      <c r="E662" s="14" t="s">
        <v>5399</v>
      </c>
      <c r="F662" s="14" t="s">
        <v>5400</v>
      </c>
      <c r="G662" s="14" t="s">
        <v>5401</v>
      </c>
      <c r="H662" s="14" t="s">
        <v>5402</v>
      </c>
      <c r="I662" s="14" t="s">
        <v>1281</v>
      </c>
      <c r="J662" s="14" t="s">
        <v>5403</v>
      </c>
      <c r="K662" s="14" t="s">
        <v>67</v>
      </c>
      <c r="L662" s="14" t="s">
        <v>5404</v>
      </c>
      <c r="M662" s="14" t="s">
        <v>5405</v>
      </c>
      <c r="N662" s="14" t="s">
        <v>70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2" t="n">
        <f aca="false">AB662*(1+$L$3)</f>
        <v>0</v>
      </c>
      <c r="AD662" s="20"/>
      <c r="AE662" s="23" t="n">
        <f aca="false">AC662-AD662</f>
        <v>0</v>
      </c>
      <c r="AF662" s="21" t="str">
        <f aca="false">IFERROR(AD662/AC662,"")</f>
        <v/>
      </c>
    </row>
    <row r="663" customFormat="false" ht="15" hidden="false" customHeight="true" outlineLevel="0" collapsed="false">
      <c r="A663" s="14" t="n">
        <v>657086</v>
      </c>
      <c r="B663" s="14" t="n">
        <v>498121</v>
      </c>
      <c r="C663" s="14" t="s">
        <v>5406</v>
      </c>
      <c r="D663" s="14" t="s">
        <v>5407</v>
      </c>
      <c r="E663" s="14" t="s">
        <v>5408</v>
      </c>
      <c r="F663" s="14" t="s">
        <v>5409</v>
      </c>
      <c r="G663" s="14" t="s">
        <v>5410</v>
      </c>
      <c r="H663" s="14" t="s">
        <v>5411</v>
      </c>
      <c r="I663" s="14"/>
      <c r="J663" s="14" t="s">
        <v>2347</v>
      </c>
      <c r="K663" s="14" t="s">
        <v>464</v>
      </c>
      <c r="L663" s="14" t="s">
        <v>5412</v>
      </c>
      <c r="M663" s="14" t="s">
        <v>5413</v>
      </c>
      <c r="N663" s="14" t="s">
        <v>70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2" t="n">
        <f aca="false">AB663*(1+$L$3)</f>
        <v>0</v>
      </c>
      <c r="AD663" s="20"/>
      <c r="AE663" s="23" t="n">
        <f aca="false">AC663-AD663</f>
        <v>0</v>
      </c>
      <c r="AF663" s="21" t="str">
        <f aca="false">IFERROR(AD663/AC663,"")</f>
        <v/>
      </c>
    </row>
    <row r="664" customFormat="false" ht="15" hidden="false" customHeight="true" outlineLevel="0" collapsed="false">
      <c r="A664" s="14"/>
      <c r="B664" s="14"/>
      <c r="C664" s="14" t="s">
        <v>5414</v>
      </c>
      <c r="D664" s="14" t="s">
        <v>5415</v>
      </c>
      <c r="E664" s="14" t="s">
        <v>5416</v>
      </c>
      <c r="F664" s="14"/>
      <c r="G664" s="14"/>
      <c r="H664" s="14" t="s">
        <v>5417</v>
      </c>
      <c r="I664" s="14"/>
      <c r="J664" s="14" t="s">
        <v>2193</v>
      </c>
      <c r="K664" s="14" t="s">
        <v>307</v>
      </c>
      <c r="L664" s="14" t="s">
        <v>2194</v>
      </c>
      <c r="M664" s="14" t="s">
        <v>3752</v>
      </c>
      <c r="N664" s="14" t="s">
        <v>70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2" t="n">
        <f aca="false">AB664*(1+$L$3)</f>
        <v>0</v>
      </c>
      <c r="AD664" s="20"/>
      <c r="AE664" s="23" t="n">
        <f aca="false">AC664-AD664</f>
        <v>0</v>
      </c>
      <c r="AF664" s="21" t="str">
        <f aca="false">IFERROR(AD664/AC664,"")</f>
        <v/>
      </c>
    </row>
    <row r="665" customFormat="false" ht="15" hidden="false" customHeight="true" outlineLevel="0" collapsed="false">
      <c r="A665" s="14" t="n">
        <v>657009</v>
      </c>
      <c r="B665" s="14" t="n">
        <v>498054</v>
      </c>
      <c r="C665" s="14" t="s">
        <v>5418</v>
      </c>
      <c r="D665" s="14" t="s">
        <v>5419</v>
      </c>
      <c r="E665" s="14" t="s">
        <v>5420</v>
      </c>
      <c r="F665" s="14" t="s">
        <v>5421</v>
      </c>
      <c r="G665" s="14" t="s">
        <v>5422</v>
      </c>
      <c r="H665" s="14" t="s">
        <v>5423</v>
      </c>
      <c r="I665" s="14"/>
      <c r="J665" s="14" t="s">
        <v>5424</v>
      </c>
      <c r="K665" s="14" t="s">
        <v>48</v>
      </c>
      <c r="L665" s="14" t="s">
        <v>5425</v>
      </c>
      <c r="M665" s="14" t="s">
        <v>5426</v>
      </c>
      <c r="N665" s="14" t="s">
        <v>70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2" t="n">
        <f aca="false">AB665*(1+$L$3)</f>
        <v>0</v>
      </c>
      <c r="AD665" s="20"/>
      <c r="AE665" s="23" t="n">
        <f aca="false">AC665-AD665</f>
        <v>0</v>
      </c>
      <c r="AF665" s="21" t="str">
        <f aca="false">IFERROR(AD665/AC665,"")</f>
        <v/>
      </c>
    </row>
    <row r="666" customFormat="false" ht="15" hidden="false" customHeight="true" outlineLevel="0" collapsed="false">
      <c r="A666" s="14" t="n">
        <v>656994</v>
      </c>
      <c r="B666" s="14" t="n">
        <v>498037</v>
      </c>
      <c r="C666" s="14" t="s">
        <v>5427</v>
      </c>
      <c r="D666" s="14" t="s">
        <v>5428</v>
      </c>
      <c r="E666" s="14" t="s">
        <v>5429</v>
      </c>
      <c r="F666" s="14" t="s">
        <v>5430</v>
      </c>
      <c r="G666" s="14" t="s">
        <v>5431</v>
      </c>
      <c r="H666" s="14" t="s">
        <v>5432</v>
      </c>
      <c r="I666" s="14"/>
      <c r="J666" s="14" t="s">
        <v>4364</v>
      </c>
      <c r="K666" s="14" t="s">
        <v>2610</v>
      </c>
      <c r="L666" s="14" t="s">
        <v>4992</v>
      </c>
      <c r="M666" s="14" t="s">
        <v>5433</v>
      </c>
      <c r="N666" s="14" t="s">
        <v>70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2" t="n">
        <f aca="false">AB666*(1+$L$3)</f>
        <v>0</v>
      </c>
      <c r="AD666" s="20"/>
      <c r="AE666" s="23" t="n">
        <f aca="false">AC666-AD666</f>
        <v>0</v>
      </c>
      <c r="AF666" s="21" t="str">
        <f aca="false">IFERROR(AD666/AC666,"")</f>
        <v/>
      </c>
    </row>
    <row r="667" customFormat="false" ht="15" hidden="false" customHeight="true" outlineLevel="0" collapsed="false">
      <c r="A667" s="14" t="n">
        <v>656945</v>
      </c>
      <c r="B667" s="14" t="n">
        <v>497988</v>
      </c>
      <c r="C667" s="14" t="s">
        <v>5434</v>
      </c>
      <c r="D667" s="14" t="s">
        <v>5435</v>
      </c>
      <c r="E667" s="14" t="s">
        <v>5436</v>
      </c>
      <c r="F667" s="14" t="s">
        <v>5437</v>
      </c>
      <c r="G667" s="14" t="s">
        <v>5438</v>
      </c>
      <c r="H667" s="14" t="s">
        <v>5439</v>
      </c>
      <c r="I667" s="14" t="s">
        <v>5440</v>
      </c>
      <c r="J667" s="14" t="s">
        <v>4364</v>
      </c>
      <c r="K667" s="14" t="s">
        <v>2610</v>
      </c>
      <c r="L667" s="14" t="s">
        <v>4992</v>
      </c>
      <c r="M667" s="14" t="s">
        <v>5441</v>
      </c>
      <c r="N667" s="14" t="s">
        <v>70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2" t="n">
        <f aca="false">AB667*(1+$L$3)</f>
        <v>0</v>
      </c>
      <c r="AD667" s="20"/>
      <c r="AE667" s="23" t="n">
        <f aca="false">AC667-AD667</f>
        <v>0</v>
      </c>
      <c r="AF667" s="21" t="str">
        <f aca="false">IFERROR(AD667/AC667,"")</f>
        <v/>
      </c>
    </row>
    <row r="668" customFormat="false" ht="15" hidden="false" customHeight="true" outlineLevel="0" collapsed="false">
      <c r="A668" s="14" t="n">
        <v>655736</v>
      </c>
      <c r="B668" s="14" t="n">
        <v>496864</v>
      </c>
      <c r="C668" s="14" t="s">
        <v>5442</v>
      </c>
      <c r="D668" s="14" t="s">
        <v>5443</v>
      </c>
      <c r="E668" s="14" t="s">
        <v>5444</v>
      </c>
      <c r="F668" s="14" t="s">
        <v>5445</v>
      </c>
      <c r="G668" s="14" t="s">
        <v>5446</v>
      </c>
      <c r="H668" s="14" t="s">
        <v>5447</v>
      </c>
      <c r="I668" s="14"/>
      <c r="J668" s="14" t="s">
        <v>5448</v>
      </c>
      <c r="K668" s="14" t="s">
        <v>197</v>
      </c>
      <c r="L668" s="14" t="s">
        <v>5449</v>
      </c>
      <c r="M668" s="14" t="s">
        <v>5450</v>
      </c>
      <c r="N668" s="14" t="s">
        <v>70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2" t="n">
        <f aca="false">AB668*(1+$L$3)</f>
        <v>0</v>
      </c>
      <c r="AD668" s="20"/>
      <c r="AE668" s="23" t="n">
        <f aca="false">AC668-AD668</f>
        <v>0</v>
      </c>
      <c r="AF668" s="21" t="str">
        <f aca="false">IFERROR(AD668/AC668,"")</f>
        <v/>
      </c>
    </row>
    <row r="669" customFormat="false" ht="15" hidden="false" customHeight="true" outlineLevel="0" collapsed="false">
      <c r="A669" s="14"/>
      <c r="B669" s="14"/>
      <c r="C669" s="14" t="s">
        <v>5451</v>
      </c>
      <c r="D669" s="14" t="s">
        <v>5452</v>
      </c>
      <c r="E669" s="14" t="s">
        <v>5453</v>
      </c>
      <c r="F669" s="14"/>
      <c r="G669" s="14"/>
      <c r="H669" s="14" t="s">
        <v>5454</v>
      </c>
      <c r="I669" s="14"/>
      <c r="J669" s="14" t="s">
        <v>5455</v>
      </c>
      <c r="K669" s="14" t="s">
        <v>4832</v>
      </c>
      <c r="L669" s="14" t="s">
        <v>5456</v>
      </c>
      <c r="M669" s="14" t="s">
        <v>3752</v>
      </c>
      <c r="N669" s="14" t="s">
        <v>70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2" t="n">
        <f aca="false">AB669*(1+$L$3)</f>
        <v>0</v>
      </c>
      <c r="AD669" s="20"/>
      <c r="AE669" s="23" t="n">
        <f aca="false">AC669-AD669</f>
        <v>0</v>
      </c>
      <c r="AF669" s="21" t="str">
        <f aca="false">IFERROR(AD669/AC669,"")</f>
        <v/>
      </c>
    </row>
    <row r="670" customFormat="false" ht="15" hidden="false" customHeight="true" outlineLevel="0" collapsed="false">
      <c r="A670" s="14"/>
      <c r="B670" s="14"/>
      <c r="C670" s="14" t="s">
        <v>5457</v>
      </c>
      <c r="D670" s="14" t="s">
        <v>5458</v>
      </c>
      <c r="E670" s="14" t="s">
        <v>5459</v>
      </c>
      <c r="F670" s="14"/>
      <c r="G670" s="14"/>
      <c r="H670" s="14" t="s">
        <v>5460</v>
      </c>
      <c r="I670" s="14"/>
      <c r="J670" s="14" t="s">
        <v>5461</v>
      </c>
      <c r="K670" s="14" t="s">
        <v>5462</v>
      </c>
      <c r="L670" s="14" t="s">
        <v>5463</v>
      </c>
      <c r="M670" s="14" t="s">
        <v>3752</v>
      </c>
      <c r="N670" s="14" t="s">
        <v>70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2" t="n">
        <f aca="false">AB670*(1+$L$3)</f>
        <v>0</v>
      </c>
      <c r="AD670" s="20"/>
      <c r="AE670" s="23" t="n">
        <f aca="false">AC670-AD670</f>
        <v>0</v>
      </c>
      <c r="AF670" s="21" t="str">
        <f aca="false">IFERROR(AD670/AC670,"")</f>
        <v/>
      </c>
    </row>
    <row r="671" customFormat="false" ht="15" hidden="false" customHeight="true" outlineLevel="0" collapsed="false">
      <c r="A671" s="14" t="n">
        <v>655774</v>
      </c>
      <c r="B671" s="14" t="n">
        <v>496902</v>
      </c>
      <c r="C671" s="14" t="s">
        <v>5464</v>
      </c>
      <c r="D671" s="14" t="s">
        <v>5058</v>
      </c>
      <c r="E671" s="14" t="s">
        <v>5465</v>
      </c>
      <c r="F671" s="14" t="s">
        <v>5060</v>
      </c>
      <c r="G671" s="14" t="s">
        <v>5061</v>
      </c>
      <c r="H671" s="14" t="s">
        <v>5466</v>
      </c>
      <c r="I671" s="14" t="s">
        <v>5467</v>
      </c>
      <c r="J671" s="14" t="s">
        <v>2193</v>
      </c>
      <c r="K671" s="14" t="s">
        <v>307</v>
      </c>
      <c r="L671" s="14" t="s">
        <v>3873</v>
      </c>
      <c r="M671" s="14" t="s">
        <v>5064</v>
      </c>
      <c r="N671" s="14" t="s">
        <v>70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2" t="n">
        <f aca="false">AB671*(1+$L$3)</f>
        <v>0</v>
      </c>
      <c r="AD671" s="20"/>
      <c r="AE671" s="23" t="n">
        <f aca="false">AC671-AD671</f>
        <v>0</v>
      </c>
      <c r="AF671" s="21" t="str">
        <f aca="false">IFERROR(AD671/AC671,"")</f>
        <v/>
      </c>
    </row>
    <row r="672" customFormat="false" ht="15" hidden="false" customHeight="true" outlineLevel="0" collapsed="false">
      <c r="A672" s="14"/>
      <c r="B672" s="14"/>
      <c r="C672" s="14" t="s">
        <v>5468</v>
      </c>
      <c r="D672" s="14" t="s">
        <v>5469</v>
      </c>
      <c r="E672" s="14" t="s">
        <v>5470</v>
      </c>
      <c r="F672" s="14"/>
      <c r="G672" s="14"/>
      <c r="H672" s="14" t="s">
        <v>5471</v>
      </c>
      <c r="I672" s="14"/>
      <c r="J672" s="14" t="s">
        <v>306</v>
      </c>
      <c r="K672" s="14" t="s">
        <v>307</v>
      </c>
      <c r="L672" s="14" t="s">
        <v>5472</v>
      </c>
      <c r="M672" s="14" t="s">
        <v>3752</v>
      </c>
      <c r="N672" s="14" t="s">
        <v>70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2" t="n">
        <f aca="false">AB672*(1+$L$3)</f>
        <v>0</v>
      </c>
      <c r="AD672" s="20"/>
      <c r="AE672" s="23" t="n">
        <f aca="false">AC672-AD672</f>
        <v>0</v>
      </c>
      <c r="AF672" s="21" t="str">
        <f aca="false">IFERROR(AD672/AC672,"")</f>
        <v/>
      </c>
    </row>
    <row r="673" customFormat="false" ht="15" hidden="false" customHeight="true" outlineLevel="0" collapsed="false">
      <c r="A673" s="14"/>
      <c r="B673" s="14"/>
      <c r="C673" s="14" t="s">
        <v>5473</v>
      </c>
      <c r="D673" s="14" t="s">
        <v>5474</v>
      </c>
      <c r="E673" s="14" t="s">
        <v>5470</v>
      </c>
      <c r="F673" s="14"/>
      <c r="G673" s="14"/>
      <c r="H673" s="14" t="s">
        <v>5475</v>
      </c>
      <c r="I673" s="14"/>
      <c r="J673" s="14" t="s">
        <v>5476</v>
      </c>
      <c r="K673" s="14" t="s">
        <v>307</v>
      </c>
      <c r="L673" s="14" t="s">
        <v>5477</v>
      </c>
      <c r="M673" s="14" t="s">
        <v>3752</v>
      </c>
      <c r="N673" s="14" t="s">
        <v>70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2" t="n">
        <f aca="false">AB673*(1+$L$3)</f>
        <v>0</v>
      </c>
      <c r="AD673" s="20"/>
      <c r="AE673" s="23" t="n">
        <f aca="false">AC673-AD673</f>
        <v>0</v>
      </c>
      <c r="AF673" s="21" t="str">
        <f aca="false">IFERROR(AD673/AC673,"")</f>
        <v/>
      </c>
    </row>
    <row r="674" customFormat="false" ht="15" hidden="false" customHeight="true" outlineLevel="0" collapsed="false">
      <c r="A674" s="14"/>
      <c r="B674" s="14"/>
      <c r="C674" s="14" t="s">
        <v>5478</v>
      </c>
      <c r="D674" s="14" t="s">
        <v>5479</v>
      </c>
      <c r="E674" s="14" t="s">
        <v>5470</v>
      </c>
      <c r="F674" s="14"/>
      <c r="G674" s="14"/>
      <c r="H674" s="14" t="s">
        <v>5480</v>
      </c>
      <c r="I674" s="14"/>
      <c r="J674" s="14" t="s">
        <v>5481</v>
      </c>
      <c r="K674" s="14" t="s">
        <v>307</v>
      </c>
      <c r="L674" s="14" t="s">
        <v>5482</v>
      </c>
      <c r="M674" s="14" t="s">
        <v>3752</v>
      </c>
      <c r="N674" s="14" t="s">
        <v>70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2" t="n">
        <f aca="false">AB674*(1+$L$3)</f>
        <v>0</v>
      </c>
      <c r="AD674" s="20"/>
      <c r="AE674" s="23" t="n">
        <f aca="false">AC674-AD674</f>
        <v>0</v>
      </c>
      <c r="AF674" s="21" t="str">
        <f aca="false">IFERROR(AD674/AC674,"")</f>
        <v/>
      </c>
    </row>
    <row r="675" customFormat="false" ht="15" hidden="false" customHeight="true" outlineLevel="0" collapsed="false">
      <c r="A675" s="14"/>
      <c r="B675" s="14"/>
      <c r="C675" s="14" t="s">
        <v>5483</v>
      </c>
      <c r="D675" s="14" t="s">
        <v>5484</v>
      </c>
      <c r="E675" s="14" t="s">
        <v>5470</v>
      </c>
      <c r="F675" s="14"/>
      <c r="G675" s="14"/>
      <c r="H675" s="14" t="s">
        <v>5485</v>
      </c>
      <c r="I675" s="14"/>
      <c r="J675" s="14" t="s">
        <v>489</v>
      </c>
      <c r="K675" s="14" t="s">
        <v>307</v>
      </c>
      <c r="L675" s="14" t="s">
        <v>5486</v>
      </c>
      <c r="M675" s="14" t="s">
        <v>3752</v>
      </c>
      <c r="N675" s="14" t="s">
        <v>70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2" t="n">
        <f aca="false">AB675*(1+$L$3)</f>
        <v>0</v>
      </c>
      <c r="AD675" s="20"/>
      <c r="AE675" s="23" t="n">
        <f aca="false">AC675-AD675</f>
        <v>0</v>
      </c>
      <c r="AF675" s="21" t="str">
        <f aca="false">IFERROR(AD675/AC675,"")</f>
        <v/>
      </c>
    </row>
    <row r="676" customFormat="false" ht="15" hidden="false" customHeight="true" outlineLevel="0" collapsed="false">
      <c r="A676" s="14"/>
      <c r="B676" s="14"/>
      <c r="C676" s="14" t="s">
        <v>5487</v>
      </c>
      <c r="D676" s="14" t="s">
        <v>5488</v>
      </c>
      <c r="E676" s="14" t="s">
        <v>5470</v>
      </c>
      <c r="F676" s="14"/>
      <c r="G676" s="14"/>
      <c r="H676" s="14" t="s">
        <v>5489</v>
      </c>
      <c r="I676" s="14"/>
      <c r="J676" s="14" t="s">
        <v>5490</v>
      </c>
      <c r="K676" s="14" t="s">
        <v>307</v>
      </c>
      <c r="L676" s="14" t="s">
        <v>5491</v>
      </c>
      <c r="M676" s="14" t="s">
        <v>3752</v>
      </c>
      <c r="N676" s="14" t="s">
        <v>70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2" t="n">
        <f aca="false">AB676*(1+$L$3)</f>
        <v>0</v>
      </c>
      <c r="AD676" s="20"/>
      <c r="AE676" s="23" t="n">
        <f aca="false">AC676-AD676</f>
        <v>0</v>
      </c>
      <c r="AF676" s="21" t="str">
        <f aca="false">IFERROR(AD676/AC676,"")</f>
        <v/>
      </c>
    </row>
    <row r="677" customFormat="false" ht="15" hidden="false" customHeight="true" outlineLevel="0" collapsed="false">
      <c r="A677" s="14"/>
      <c r="B677" s="14"/>
      <c r="C677" s="14" t="s">
        <v>5492</v>
      </c>
      <c r="D677" s="14" t="s">
        <v>5488</v>
      </c>
      <c r="E677" s="14" t="s">
        <v>5470</v>
      </c>
      <c r="F677" s="14"/>
      <c r="G677" s="14"/>
      <c r="H677" s="14" t="s">
        <v>5493</v>
      </c>
      <c r="I677" s="14"/>
      <c r="J677" s="14" t="s">
        <v>3535</v>
      </c>
      <c r="K677" s="14" t="s">
        <v>307</v>
      </c>
      <c r="L677" s="14" t="s">
        <v>3536</v>
      </c>
      <c r="M677" s="14" t="s">
        <v>3752</v>
      </c>
      <c r="N677" s="14" t="s">
        <v>70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2" t="n">
        <f aca="false">AB677*(1+$L$3)</f>
        <v>0</v>
      </c>
      <c r="AD677" s="20"/>
      <c r="AE677" s="23" t="n">
        <f aca="false">AC677-AD677</f>
        <v>0</v>
      </c>
      <c r="AF677" s="21" t="str">
        <f aca="false">IFERROR(AD677/AC677,"")</f>
        <v/>
      </c>
    </row>
    <row r="678" customFormat="false" ht="15" hidden="false" customHeight="true" outlineLevel="0" collapsed="false">
      <c r="A678" s="14"/>
      <c r="B678" s="14"/>
      <c r="C678" s="14" t="s">
        <v>5494</v>
      </c>
      <c r="D678" s="14" t="s">
        <v>5495</v>
      </c>
      <c r="E678" s="14" t="s">
        <v>5470</v>
      </c>
      <c r="F678" s="14"/>
      <c r="G678" s="14"/>
      <c r="H678" s="14" t="s">
        <v>5496</v>
      </c>
      <c r="I678" s="14"/>
      <c r="J678" s="14" t="s">
        <v>5497</v>
      </c>
      <c r="K678" s="14" t="s">
        <v>307</v>
      </c>
      <c r="L678" s="14" t="s">
        <v>5498</v>
      </c>
      <c r="M678" s="14" t="s">
        <v>3752</v>
      </c>
      <c r="N678" s="14" t="s">
        <v>70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2" t="n">
        <f aca="false">AB678*(1+$L$3)</f>
        <v>0</v>
      </c>
      <c r="AD678" s="20"/>
      <c r="AE678" s="23" t="n">
        <f aca="false">AC678-AD678</f>
        <v>0</v>
      </c>
      <c r="AF678" s="21" t="str">
        <f aca="false">IFERROR(AD678/AC678,"")</f>
        <v/>
      </c>
    </row>
    <row r="679" customFormat="false" ht="15" hidden="false" customHeight="true" outlineLevel="0" collapsed="false">
      <c r="A679" s="14" t="n">
        <v>655864</v>
      </c>
      <c r="B679" s="14" t="n">
        <v>496994</v>
      </c>
      <c r="C679" s="14" t="s">
        <v>5499</v>
      </c>
      <c r="D679" s="14" t="s">
        <v>5500</v>
      </c>
      <c r="E679" s="14" t="s">
        <v>5501</v>
      </c>
      <c r="F679" s="14" t="s">
        <v>5502</v>
      </c>
      <c r="G679" s="14" t="s">
        <v>5503</v>
      </c>
      <c r="H679" s="14" t="s">
        <v>5504</v>
      </c>
      <c r="I679" s="14" t="s">
        <v>159</v>
      </c>
      <c r="J679" s="14" t="s">
        <v>5505</v>
      </c>
      <c r="K679" s="14" t="s">
        <v>5506</v>
      </c>
      <c r="L679" s="14" t="s">
        <v>5507</v>
      </c>
      <c r="M679" s="14" t="s">
        <v>5508</v>
      </c>
      <c r="N679" s="14" t="s">
        <v>70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2" t="n">
        <f aca="false">AB679*(1+$L$3)</f>
        <v>0</v>
      </c>
      <c r="AD679" s="20"/>
      <c r="AE679" s="23" t="n">
        <f aca="false">AC679-AD679</f>
        <v>0</v>
      </c>
      <c r="AF679" s="21" t="str">
        <f aca="false">IFERROR(AD679/AC679,"")</f>
        <v/>
      </c>
    </row>
    <row r="680" customFormat="false" ht="15" hidden="false" customHeight="true" outlineLevel="0" collapsed="false">
      <c r="A680" s="14"/>
      <c r="B680" s="14"/>
      <c r="C680" s="14" t="s">
        <v>5509</v>
      </c>
      <c r="D680" s="14" t="s">
        <v>5474</v>
      </c>
      <c r="E680" s="14" t="s">
        <v>5470</v>
      </c>
      <c r="F680" s="14"/>
      <c r="G680" s="14"/>
      <c r="H680" s="14" t="s">
        <v>5510</v>
      </c>
      <c r="I680" s="14" t="s">
        <v>5511</v>
      </c>
      <c r="J680" s="14" t="s">
        <v>489</v>
      </c>
      <c r="K680" s="14" t="s">
        <v>307</v>
      </c>
      <c r="L680" s="14" t="s">
        <v>5512</v>
      </c>
      <c r="M680" s="14" t="s">
        <v>3752</v>
      </c>
      <c r="N680" s="14" t="s">
        <v>70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2" t="n">
        <f aca="false">AB680*(1+$L$3)</f>
        <v>0</v>
      </c>
      <c r="AD680" s="20"/>
      <c r="AE680" s="23" t="n">
        <f aca="false">AC680-AD680</f>
        <v>0</v>
      </c>
      <c r="AF680" s="21" t="str">
        <f aca="false">IFERROR(AD680/AC680,"")</f>
        <v/>
      </c>
    </row>
    <row r="681" customFormat="false" ht="15" hidden="false" customHeight="true" outlineLevel="0" collapsed="false">
      <c r="A681" s="14"/>
      <c r="B681" s="14"/>
      <c r="C681" s="14" t="s">
        <v>5513</v>
      </c>
      <c r="D681" s="14" t="s">
        <v>5514</v>
      </c>
      <c r="E681" s="14" t="s">
        <v>5515</v>
      </c>
      <c r="F681" s="14"/>
      <c r="G681" s="14"/>
      <c r="H681" s="14" t="s">
        <v>5516</v>
      </c>
      <c r="I681" s="14"/>
      <c r="J681" s="14" t="s">
        <v>3225</v>
      </c>
      <c r="K681" s="14" t="s">
        <v>67</v>
      </c>
      <c r="L681" s="14" t="s">
        <v>3226</v>
      </c>
      <c r="M681" s="14" t="s">
        <v>3752</v>
      </c>
      <c r="N681" s="14" t="s">
        <v>70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2" t="n">
        <f aca="false">AB681*(1+$L$3)</f>
        <v>0</v>
      </c>
      <c r="AD681" s="20"/>
      <c r="AE681" s="23" t="n">
        <f aca="false">AC681-AD681</f>
        <v>0</v>
      </c>
      <c r="AF681" s="21" t="str">
        <f aca="false">IFERROR(AD681/AC681,"")</f>
        <v/>
      </c>
    </row>
    <row r="682" customFormat="false" ht="15" hidden="false" customHeight="true" outlineLevel="0" collapsed="false">
      <c r="A682" s="14" t="n">
        <v>655811</v>
      </c>
      <c r="B682" s="14" t="n">
        <v>496939</v>
      </c>
      <c r="C682" s="14" t="s">
        <v>5517</v>
      </c>
      <c r="D682" s="14" t="s">
        <v>5518</v>
      </c>
      <c r="E682" s="14" t="s">
        <v>5519</v>
      </c>
      <c r="F682" s="14" t="s">
        <v>5520</v>
      </c>
      <c r="G682" s="14" t="s">
        <v>5521</v>
      </c>
      <c r="H682" s="14" t="s">
        <v>5522</v>
      </c>
      <c r="I682" s="14"/>
      <c r="J682" s="14" t="s">
        <v>5523</v>
      </c>
      <c r="K682" s="14" t="s">
        <v>1160</v>
      </c>
      <c r="L682" s="14" t="s">
        <v>5524</v>
      </c>
      <c r="M682" s="14" t="s">
        <v>5525</v>
      </c>
      <c r="N682" s="14" t="s">
        <v>70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2" t="n">
        <f aca="false">AB682*(1+$L$3)</f>
        <v>0</v>
      </c>
      <c r="AD682" s="20"/>
      <c r="AE682" s="23" t="n">
        <f aca="false">AC682-AD682</f>
        <v>0</v>
      </c>
      <c r="AF682" s="21" t="str">
        <f aca="false">IFERROR(AD682/AC682,"")</f>
        <v/>
      </c>
    </row>
    <row r="683" customFormat="false" ht="15" hidden="false" customHeight="true" outlineLevel="0" collapsed="false">
      <c r="A683" s="14" t="n">
        <v>655800</v>
      </c>
      <c r="B683" s="14" t="n">
        <v>496928</v>
      </c>
      <c r="C683" s="14" t="s">
        <v>5526</v>
      </c>
      <c r="D683" s="14" t="s">
        <v>5527</v>
      </c>
      <c r="E683" s="14" t="s">
        <v>5528</v>
      </c>
      <c r="F683" s="14" t="s">
        <v>5529</v>
      </c>
      <c r="G683" s="14" t="s">
        <v>5530</v>
      </c>
      <c r="H683" s="14" t="s">
        <v>5531</v>
      </c>
      <c r="I683" s="14"/>
      <c r="J683" s="14" t="s">
        <v>1704</v>
      </c>
      <c r="K683" s="14" t="s">
        <v>48</v>
      </c>
      <c r="L683" s="14" t="s">
        <v>1705</v>
      </c>
      <c r="M683" s="14" t="s">
        <v>5532</v>
      </c>
      <c r="N683" s="14" t="s">
        <v>70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2" t="n">
        <f aca="false">AB683*(1+$L$3)</f>
        <v>0</v>
      </c>
      <c r="AD683" s="20"/>
      <c r="AE683" s="23" t="n">
        <f aca="false">AC683-AD683</f>
        <v>0</v>
      </c>
      <c r="AF683" s="21" t="str">
        <f aca="false">IFERROR(AD683/AC683,"")</f>
        <v/>
      </c>
    </row>
    <row r="684" customFormat="false" ht="15" hidden="false" customHeight="true" outlineLevel="0" collapsed="false">
      <c r="A684" s="14" t="n">
        <v>655784</v>
      </c>
      <c r="B684" s="14" t="n">
        <v>496912</v>
      </c>
      <c r="C684" s="14" t="s">
        <v>5533</v>
      </c>
      <c r="D684" s="14" t="s">
        <v>5534</v>
      </c>
      <c r="E684" s="14" t="s">
        <v>5535</v>
      </c>
      <c r="F684" s="14" t="s">
        <v>5536</v>
      </c>
      <c r="G684" s="14" t="s">
        <v>487</v>
      </c>
      <c r="H684" s="14" t="s">
        <v>5537</v>
      </c>
      <c r="I684" s="14"/>
      <c r="J684" s="14" t="s">
        <v>5538</v>
      </c>
      <c r="K684" s="14" t="s">
        <v>307</v>
      </c>
      <c r="L684" s="14" t="s">
        <v>5539</v>
      </c>
      <c r="M684" s="14" t="s">
        <v>491</v>
      </c>
      <c r="N684" s="14" t="s">
        <v>70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2" t="n">
        <f aca="false">AB684*(1+$L$3)</f>
        <v>0</v>
      </c>
      <c r="AD684" s="20"/>
      <c r="AE684" s="23" t="n">
        <f aca="false">AC684-AD684</f>
        <v>0</v>
      </c>
      <c r="AF684" s="21" t="str">
        <f aca="false">IFERROR(AD684/AC684,"")</f>
        <v/>
      </c>
    </row>
    <row r="685" customFormat="false" ht="15" hidden="false" customHeight="true" outlineLevel="0" collapsed="false">
      <c r="A685" s="14"/>
      <c r="B685" s="14"/>
      <c r="C685" s="14" t="s">
        <v>5540</v>
      </c>
      <c r="D685" s="14" t="s">
        <v>5534</v>
      </c>
      <c r="E685" s="14" t="s">
        <v>5535</v>
      </c>
      <c r="F685" s="14"/>
      <c r="G685" s="14"/>
      <c r="H685" s="14" t="s">
        <v>5541</v>
      </c>
      <c r="I685" s="14"/>
      <c r="J685" s="14" t="s">
        <v>5542</v>
      </c>
      <c r="K685" s="14" t="s">
        <v>307</v>
      </c>
      <c r="L685" s="14" t="s">
        <v>5543</v>
      </c>
      <c r="M685" s="14" t="s">
        <v>3752</v>
      </c>
      <c r="N685" s="14" t="s">
        <v>70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2" t="n">
        <f aca="false">AB685*(1+$L$3)</f>
        <v>0</v>
      </c>
      <c r="AD685" s="20"/>
      <c r="AE685" s="23" t="n">
        <f aca="false">AC685-AD685</f>
        <v>0</v>
      </c>
      <c r="AF685" s="21" t="str">
        <f aca="false">IFERROR(AD685/AC685,"")</f>
        <v/>
      </c>
    </row>
    <row r="686" customFormat="false" ht="15" hidden="false" customHeight="true" outlineLevel="0" collapsed="false">
      <c r="A686" s="14" t="n">
        <v>655829</v>
      </c>
      <c r="B686" s="14" t="n">
        <v>496957</v>
      </c>
      <c r="C686" s="14" t="s">
        <v>5544</v>
      </c>
      <c r="D686" s="14" t="s">
        <v>5545</v>
      </c>
      <c r="E686" s="14" t="s">
        <v>5546</v>
      </c>
      <c r="F686" s="14" t="s">
        <v>5547</v>
      </c>
      <c r="G686" s="14" t="s">
        <v>5548</v>
      </c>
      <c r="H686" s="14" t="s">
        <v>5549</v>
      </c>
      <c r="I686" s="14" t="s">
        <v>1741</v>
      </c>
      <c r="J686" s="14" t="s">
        <v>1633</v>
      </c>
      <c r="K686" s="14" t="s">
        <v>67</v>
      </c>
      <c r="L686" s="14" t="s">
        <v>4452</v>
      </c>
      <c r="M686" s="14" t="s">
        <v>5550</v>
      </c>
      <c r="N686" s="14" t="s">
        <v>70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/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2" t="n">
        <f aca="false">AB686*(1+$L$3)</f>
        <v>0</v>
      </c>
      <c r="AD686" s="20"/>
      <c r="AE686" s="23" t="n">
        <f aca="false">AC686-AD686</f>
        <v>0</v>
      </c>
      <c r="AF686" s="21" t="str">
        <f aca="false">IFERROR(AD686/AC686,"")</f>
        <v/>
      </c>
    </row>
    <row r="687" customFormat="false" ht="15" hidden="false" customHeight="true" outlineLevel="0" collapsed="false">
      <c r="A687" s="14" t="n">
        <v>655778</v>
      </c>
      <c r="B687" s="14" t="n">
        <v>496906</v>
      </c>
      <c r="C687" s="14" t="s">
        <v>5551</v>
      </c>
      <c r="D687" s="14" t="s">
        <v>5534</v>
      </c>
      <c r="E687" s="14" t="s">
        <v>5535</v>
      </c>
      <c r="F687" s="14" t="s">
        <v>5536</v>
      </c>
      <c r="G687" s="14" t="s">
        <v>487</v>
      </c>
      <c r="H687" s="14" t="s">
        <v>5552</v>
      </c>
      <c r="I687" s="14"/>
      <c r="J687" s="14" t="s">
        <v>5538</v>
      </c>
      <c r="K687" s="14" t="s">
        <v>307</v>
      </c>
      <c r="L687" s="14" t="s">
        <v>5553</v>
      </c>
      <c r="M687" s="14" t="s">
        <v>491</v>
      </c>
      <c r="N687" s="14" t="s">
        <v>70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2" t="n">
        <f aca="false">AB687*(1+$L$3)</f>
        <v>0</v>
      </c>
      <c r="AD687" s="20"/>
      <c r="AE687" s="23" t="n">
        <f aca="false">AC687-AD687</f>
        <v>0</v>
      </c>
      <c r="AF687" s="21" t="str">
        <f aca="false">IFERROR(AD687/AC687,"")</f>
        <v/>
      </c>
    </row>
    <row r="688" customFormat="false" ht="15" hidden="false" customHeight="true" outlineLevel="0" collapsed="false">
      <c r="A688" s="14" t="n">
        <v>655814</v>
      </c>
      <c r="B688" s="14" t="n">
        <v>496942</v>
      </c>
      <c r="C688" s="14" t="s">
        <v>5554</v>
      </c>
      <c r="D688" s="14" t="s">
        <v>5555</v>
      </c>
      <c r="E688" s="14" t="s">
        <v>5556</v>
      </c>
      <c r="F688" s="14" t="s">
        <v>5557</v>
      </c>
      <c r="G688" s="14" t="s">
        <v>5558</v>
      </c>
      <c r="H688" s="14" t="s">
        <v>5559</v>
      </c>
      <c r="I688" s="14"/>
      <c r="J688" s="14" t="s">
        <v>489</v>
      </c>
      <c r="K688" s="14" t="s">
        <v>307</v>
      </c>
      <c r="L688" s="14" t="s">
        <v>5560</v>
      </c>
      <c r="M688" s="14" t="s">
        <v>5561</v>
      </c>
      <c r="N688" s="14" t="s">
        <v>70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2" t="n">
        <f aca="false">AB688*(1+$L$3)</f>
        <v>0</v>
      </c>
      <c r="AD688" s="20"/>
      <c r="AE688" s="23" t="n">
        <f aca="false">AC688-AD688</f>
        <v>0</v>
      </c>
      <c r="AF688" s="21" t="str">
        <f aca="false">IFERROR(AD688/AC688,"")</f>
        <v/>
      </c>
    </row>
    <row r="689" customFormat="false" ht="15" hidden="false" customHeight="true" outlineLevel="0" collapsed="false">
      <c r="A689" s="14" t="n">
        <v>655764</v>
      </c>
      <c r="B689" s="14" t="n">
        <v>496892</v>
      </c>
      <c r="C689" s="14" t="s">
        <v>5562</v>
      </c>
      <c r="D689" s="14" t="s">
        <v>5563</v>
      </c>
      <c r="E689" s="14" t="s">
        <v>5564</v>
      </c>
      <c r="F689" s="14" t="s">
        <v>5565</v>
      </c>
      <c r="G689" s="14" t="s">
        <v>5566</v>
      </c>
      <c r="H689" s="14" t="s">
        <v>5567</v>
      </c>
      <c r="I689" s="14"/>
      <c r="J689" s="14" t="s">
        <v>1063</v>
      </c>
      <c r="K689" s="14" t="s">
        <v>307</v>
      </c>
      <c r="L689" s="14" t="s">
        <v>5568</v>
      </c>
      <c r="M689" s="14" t="s">
        <v>5569</v>
      </c>
      <c r="N689" s="14" t="s">
        <v>70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2" t="n">
        <f aca="false">AB689*(1+$L$3)</f>
        <v>0</v>
      </c>
      <c r="AD689" s="20"/>
      <c r="AE689" s="23" t="n">
        <f aca="false">AC689-AD689</f>
        <v>0</v>
      </c>
      <c r="AF689" s="21" t="str">
        <f aca="false">IFERROR(AD689/AC689,"")</f>
        <v/>
      </c>
    </row>
    <row r="690" customFormat="false" ht="15" hidden="false" customHeight="true" outlineLevel="0" collapsed="false">
      <c r="A690" s="14" t="n">
        <v>655728</v>
      </c>
      <c r="B690" s="14" t="n">
        <v>496856</v>
      </c>
      <c r="C690" s="14" t="s">
        <v>5570</v>
      </c>
      <c r="D690" s="14" t="s">
        <v>5571</v>
      </c>
      <c r="E690" s="14" t="s">
        <v>5572</v>
      </c>
      <c r="F690" s="14" t="s">
        <v>5573</v>
      </c>
      <c r="G690" s="14" t="s">
        <v>5574</v>
      </c>
      <c r="H690" s="14" t="s">
        <v>5575</v>
      </c>
      <c r="I690" s="14" t="s">
        <v>5576</v>
      </c>
      <c r="J690" s="14" t="s">
        <v>248</v>
      </c>
      <c r="K690" s="14" t="s">
        <v>249</v>
      </c>
      <c r="L690" s="14" t="s">
        <v>5577</v>
      </c>
      <c r="M690" s="14" t="s">
        <v>5578</v>
      </c>
      <c r="N690" s="14" t="s">
        <v>70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2" t="n">
        <f aca="false">AB690*(1+$L$3)</f>
        <v>0</v>
      </c>
      <c r="AD690" s="20"/>
      <c r="AE690" s="23" t="n">
        <f aca="false">AC690-AD690</f>
        <v>0</v>
      </c>
      <c r="AF690" s="21" t="str">
        <f aca="false">IFERROR(AD690/AC690,"")</f>
        <v/>
      </c>
    </row>
    <row r="691" customFormat="false" ht="15" hidden="false" customHeight="true" outlineLevel="0" collapsed="false">
      <c r="A691" s="14" t="n">
        <v>655725</v>
      </c>
      <c r="B691" s="14" t="n">
        <v>496853</v>
      </c>
      <c r="C691" s="14" t="s">
        <v>5579</v>
      </c>
      <c r="D691" s="14" t="s">
        <v>5580</v>
      </c>
      <c r="E691" s="14" t="s">
        <v>1844</v>
      </c>
      <c r="F691" s="14" t="s">
        <v>5581</v>
      </c>
      <c r="G691" s="14" t="s">
        <v>1846</v>
      </c>
      <c r="H691" s="14" t="s">
        <v>5582</v>
      </c>
      <c r="I691" s="14"/>
      <c r="J691" s="14" t="s">
        <v>1848</v>
      </c>
      <c r="K691" s="14" t="s">
        <v>1160</v>
      </c>
      <c r="L691" s="14" t="s">
        <v>2036</v>
      </c>
      <c r="M691" s="14" t="s">
        <v>1850</v>
      </c>
      <c r="N691" s="14" t="s">
        <v>70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2" t="n">
        <f aca="false">AB691*(1+$L$3)</f>
        <v>0</v>
      </c>
      <c r="AD691" s="20"/>
      <c r="AE691" s="23" t="n">
        <f aca="false">AC691-AD691</f>
        <v>0</v>
      </c>
      <c r="AF691" s="21" t="str">
        <f aca="false">IFERROR(AD691/AC691,"")</f>
        <v/>
      </c>
    </row>
    <row r="692" customFormat="false" ht="15" hidden="false" customHeight="true" outlineLevel="0" collapsed="false">
      <c r="A692" s="14" t="n">
        <v>655717</v>
      </c>
      <c r="B692" s="14" t="n">
        <v>496845</v>
      </c>
      <c r="C692" s="14" t="s">
        <v>5583</v>
      </c>
      <c r="D692" s="14" t="s">
        <v>5584</v>
      </c>
      <c r="E692" s="14" t="s">
        <v>5585</v>
      </c>
      <c r="F692" s="14" t="s">
        <v>5586</v>
      </c>
      <c r="G692" s="14" t="s">
        <v>5587</v>
      </c>
      <c r="H692" s="14" t="s">
        <v>5588</v>
      </c>
      <c r="I692" s="14"/>
      <c r="J692" s="14" t="s">
        <v>5589</v>
      </c>
      <c r="K692" s="14" t="s">
        <v>981</v>
      </c>
      <c r="L692" s="14" t="s">
        <v>5590</v>
      </c>
      <c r="M692" s="14" t="s">
        <v>5591</v>
      </c>
      <c r="N692" s="14" t="s">
        <v>70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2" t="n">
        <f aca="false">AB692*(1+$L$3)</f>
        <v>0</v>
      </c>
      <c r="AD692" s="20"/>
      <c r="AE692" s="23" t="n">
        <f aca="false">AC692-AD692</f>
        <v>0</v>
      </c>
      <c r="AF692" s="21" t="str">
        <f aca="false">IFERROR(AD692/AC692,"")</f>
        <v/>
      </c>
    </row>
    <row r="693" customFormat="false" ht="15" hidden="false" customHeight="true" outlineLevel="0" collapsed="false">
      <c r="A693" s="14" t="n">
        <v>655708</v>
      </c>
      <c r="B693" s="14" t="n">
        <v>496835</v>
      </c>
      <c r="C693" s="14" t="s">
        <v>5592</v>
      </c>
      <c r="D693" s="14" t="s">
        <v>5593</v>
      </c>
      <c r="E693" s="14" t="s">
        <v>5594</v>
      </c>
      <c r="F693" s="14" t="s">
        <v>5595</v>
      </c>
      <c r="G693" s="14" t="s">
        <v>5596</v>
      </c>
      <c r="H693" s="14" t="s">
        <v>5597</v>
      </c>
      <c r="I693" s="14"/>
      <c r="J693" s="14" t="s">
        <v>5598</v>
      </c>
      <c r="K693" s="14" t="s">
        <v>307</v>
      </c>
      <c r="L693" s="14" t="s">
        <v>5599</v>
      </c>
      <c r="M693" s="14" t="s">
        <v>5600</v>
      </c>
      <c r="N693" s="14" t="s">
        <v>70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2" t="n">
        <f aca="false">AB693*(1+$L$3)</f>
        <v>0</v>
      </c>
      <c r="AD693" s="20"/>
      <c r="AE693" s="23" t="n">
        <f aca="false">AC693-AD693</f>
        <v>0</v>
      </c>
      <c r="AF693" s="21" t="str">
        <f aca="false">IFERROR(AD693/AC693,"")</f>
        <v/>
      </c>
    </row>
    <row r="694" customFormat="false" ht="15" hidden="false" customHeight="true" outlineLevel="0" collapsed="false">
      <c r="A694" s="14" t="n">
        <v>655704</v>
      </c>
      <c r="B694" s="14" t="n">
        <v>496831</v>
      </c>
      <c r="C694" s="14" t="s">
        <v>5601</v>
      </c>
      <c r="D694" s="14" t="s">
        <v>5602</v>
      </c>
      <c r="E694" s="14" t="s">
        <v>5603</v>
      </c>
      <c r="F694" s="14" t="s">
        <v>5604</v>
      </c>
      <c r="G694" s="14" t="s">
        <v>5605</v>
      </c>
      <c r="H694" s="14" t="s">
        <v>5606</v>
      </c>
      <c r="I694" s="14"/>
      <c r="J694" s="14" t="s">
        <v>5607</v>
      </c>
      <c r="K694" s="14" t="s">
        <v>197</v>
      </c>
      <c r="L694" s="14" t="s">
        <v>5608</v>
      </c>
      <c r="M694" s="14" t="s">
        <v>5609</v>
      </c>
      <c r="N694" s="14" t="s">
        <v>70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2" t="n">
        <f aca="false">AB694*(1+$L$3)</f>
        <v>0</v>
      </c>
      <c r="AD694" s="20"/>
      <c r="AE694" s="23" t="n">
        <f aca="false">AC694-AD694</f>
        <v>0</v>
      </c>
      <c r="AF694" s="21" t="str">
        <f aca="false">IFERROR(AD694/AC694,"")</f>
        <v/>
      </c>
    </row>
    <row r="695" customFormat="false" ht="15" hidden="false" customHeight="true" outlineLevel="0" collapsed="false">
      <c r="A695" s="14" t="n">
        <v>655681</v>
      </c>
      <c r="B695" s="14" t="n">
        <v>496808</v>
      </c>
      <c r="C695" s="14" t="s">
        <v>5610</v>
      </c>
      <c r="D695" s="14" t="s">
        <v>5611</v>
      </c>
      <c r="E695" s="14" t="s">
        <v>5612</v>
      </c>
      <c r="F695" s="14" t="s">
        <v>5613</v>
      </c>
      <c r="G695" s="14" t="s">
        <v>5614</v>
      </c>
      <c r="H695" s="14" t="s">
        <v>5615</v>
      </c>
      <c r="I695" s="14"/>
      <c r="J695" s="14" t="s">
        <v>5616</v>
      </c>
      <c r="K695" s="14" t="s">
        <v>709</v>
      </c>
      <c r="L695" s="14" t="s">
        <v>5617</v>
      </c>
      <c r="M695" s="14" t="s">
        <v>5618</v>
      </c>
      <c r="N695" s="14" t="s">
        <v>70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2" t="n">
        <f aca="false">AB695*(1+$L$3)</f>
        <v>0</v>
      </c>
      <c r="AD695" s="20"/>
      <c r="AE695" s="23" t="n">
        <f aca="false">AC695-AD695</f>
        <v>0</v>
      </c>
      <c r="AF695" s="21" t="str">
        <f aca="false">IFERROR(AD695/AC695,"")</f>
        <v/>
      </c>
    </row>
    <row r="696" customFormat="false" ht="15" hidden="false" customHeight="true" outlineLevel="0" collapsed="false">
      <c r="A696" s="14" t="n">
        <v>655650</v>
      </c>
      <c r="B696" s="14" t="n">
        <v>496777</v>
      </c>
      <c r="C696" s="14" t="s">
        <v>5619</v>
      </c>
      <c r="D696" s="14" t="s">
        <v>5620</v>
      </c>
      <c r="E696" s="14" t="s">
        <v>5621</v>
      </c>
      <c r="F696" s="14" t="s">
        <v>5622</v>
      </c>
      <c r="G696" s="14" t="s">
        <v>5623</v>
      </c>
      <c r="H696" s="14" t="s">
        <v>5624</v>
      </c>
      <c r="I696" s="14"/>
      <c r="J696" s="14" t="s">
        <v>5625</v>
      </c>
      <c r="K696" s="14" t="s">
        <v>67</v>
      </c>
      <c r="L696" s="14" t="s">
        <v>5626</v>
      </c>
      <c r="M696" s="14" t="s">
        <v>5627</v>
      </c>
      <c r="N696" s="14" t="s">
        <v>70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2" t="n">
        <f aca="false">AB696*(1+$L$3)</f>
        <v>0</v>
      </c>
      <c r="AD696" s="20"/>
      <c r="AE696" s="23" t="n">
        <f aca="false">AC696-AD696</f>
        <v>0</v>
      </c>
      <c r="AF696" s="21" t="str">
        <f aca="false">IFERROR(AD696/AC696,"")</f>
        <v/>
      </c>
    </row>
    <row r="697" customFormat="false" ht="15" hidden="false" customHeight="true" outlineLevel="0" collapsed="false">
      <c r="A697" s="14" t="n">
        <v>655648</v>
      </c>
      <c r="B697" s="14" t="n">
        <v>496775</v>
      </c>
      <c r="C697" s="14" t="s">
        <v>5628</v>
      </c>
      <c r="D697" s="14" t="s">
        <v>5629</v>
      </c>
      <c r="E697" s="14" t="s">
        <v>5630</v>
      </c>
      <c r="F697" s="14" t="s">
        <v>5631</v>
      </c>
      <c r="G697" s="14" t="s">
        <v>5632</v>
      </c>
      <c r="H697" s="14" t="s">
        <v>5633</v>
      </c>
      <c r="I697" s="14" t="s">
        <v>5634</v>
      </c>
      <c r="J697" s="14" t="s">
        <v>5635</v>
      </c>
      <c r="K697" s="14" t="s">
        <v>2088</v>
      </c>
      <c r="L697" s="14" t="s">
        <v>5636</v>
      </c>
      <c r="M697" s="14" t="s">
        <v>5637</v>
      </c>
      <c r="N697" s="14" t="s">
        <v>70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2" t="n">
        <f aca="false">AB697*(1+$L$3)</f>
        <v>0</v>
      </c>
      <c r="AD697" s="20"/>
      <c r="AE697" s="23" t="n">
        <f aca="false">AC697-AD697</f>
        <v>0</v>
      </c>
      <c r="AF697" s="21" t="str">
        <f aca="false">IFERROR(AD697/AC697,"")</f>
        <v/>
      </c>
    </row>
    <row r="698" customFormat="false" ht="15" hidden="false" customHeight="true" outlineLevel="0" collapsed="false">
      <c r="A698" s="14" t="n">
        <v>655646</v>
      </c>
      <c r="B698" s="14" t="n">
        <v>496773</v>
      </c>
      <c r="C698" s="14" t="s">
        <v>5638</v>
      </c>
      <c r="D698" s="14" t="s">
        <v>5639</v>
      </c>
      <c r="E698" s="14" t="s">
        <v>5640</v>
      </c>
      <c r="F698" s="14" t="s">
        <v>5641</v>
      </c>
      <c r="G698" s="14" t="s">
        <v>5642</v>
      </c>
      <c r="H698" s="14" t="s">
        <v>5643</v>
      </c>
      <c r="I698" s="14"/>
      <c r="J698" s="14" t="s">
        <v>2087</v>
      </c>
      <c r="K698" s="14" t="s">
        <v>2088</v>
      </c>
      <c r="L698" s="14" t="s">
        <v>2089</v>
      </c>
      <c r="M698" s="14" t="s">
        <v>5644</v>
      </c>
      <c r="N698" s="14" t="s">
        <v>70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2" t="n">
        <f aca="false">AB698*(1+$L$3)</f>
        <v>0</v>
      </c>
      <c r="AD698" s="20"/>
      <c r="AE698" s="23" t="n">
        <f aca="false">AC698-AD698</f>
        <v>0</v>
      </c>
      <c r="AF698" s="21" t="str">
        <f aca="false">IFERROR(AD698/AC698,"")</f>
        <v/>
      </c>
    </row>
    <row r="699" customFormat="false" ht="15" hidden="false" customHeight="true" outlineLevel="0" collapsed="false">
      <c r="A699" s="14" t="n">
        <v>655635</v>
      </c>
      <c r="B699" s="14" t="n">
        <v>496765</v>
      </c>
      <c r="C699" s="14" t="s">
        <v>5645</v>
      </c>
      <c r="D699" s="14" t="s">
        <v>5646</v>
      </c>
      <c r="E699" s="14" t="s">
        <v>5647</v>
      </c>
      <c r="F699" s="14" t="s">
        <v>5648</v>
      </c>
      <c r="G699" s="14" t="s">
        <v>5649</v>
      </c>
      <c r="H699" s="14" t="s">
        <v>5650</v>
      </c>
      <c r="I699" s="14"/>
      <c r="J699" s="14" t="s">
        <v>5651</v>
      </c>
      <c r="K699" s="14" t="s">
        <v>307</v>
      </c>
      <c r="L699" s="14" t="s">
        <v>5652</v>
      </c>
      <c r="M699" s="14" t="s">
        <v>5653</v>
      </c>
      <c r="N699" s="14" t="s">
        <v>70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2" t="n">
        <f aca="false">AB699*(1+$L$3)</f>
        <v>0</v>
      </c>
      <c r="AD699" s="20"/>
      <c r="AE699" s="23" t="n">
        <f aca="false">AC699-AD699</f>
        <v>0</v>
      </c>
      <c r="AF699" s="21" t="str">
        <f aca="false">IFERROR(AD699/AC699,"")</f>
        <v/>
      </c>
    </row>
    <row r="700" customFormat="false" ht="15" hidden="false" customHeight="true" outlineLevel="0" collapsed="false">
      <c r="A700" s="14" t="n">
        <v>655634</v>
      </c>
      <c r="B700" s="14" t="n">
        <v>496764</v>
      </c>
      <c r="C700" s="14" t="s">
        <v>5654</v>
      </c>
      <c r="D700" s="14" t="s">
        <v>5655</v>
      </c>
      <c r="E700" s="14" t="s">
        <v>5656</v>
      </c>
      <c r="F700" s="14" t="s">
        <v>5657</v>
      </c>
      <c r="G700" s="14" t="s">
        <v>5649</v>
      </c>
      <c r="H700" s="14" t="s">
        <v>5658</v>
      </c>
      <c r="I700" s="14" t="s">
        <v>5659</v>
      </c>
      <c r="J700" s="14" t="s">
        <v>5490</v>
      </c>
      <c r="K700" s="14" t="s">
        <v>307</v>
      </c>
      <c r="L700" s="14" t="s">
        <v>5660</v>
      </c>
      <c r="M700" s="14" t="s">
        <v>5653</v>
      </c>
      <c r="N700" s="14" t="s">
        <v>70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2" t="n">
        <f aca="false">AB700*(1+$L$3)</f>
        <v>0</v>
      </c>
      <c r="AD700" s="20"/>
      <c r="AE700" s="23" t="n">
        <f aca="false">AC700-AD700</f>
        <v>0</v>
      </c>
      <c r="AF700" s="21" t="str">
        <f aca="false">IFERROR(AD700/AC700,"")</f>
        <v/>
      </c>
    </row>
    <row r="701" customFormat="false" ht="15" hidden="false" customHeight="true" outlineLevel="0" collapsed="false">
      <c r="A701" s="14" t="n">
        <v>655627</v>
      </c>
      <c r="B701" s="14" t="n">
        <v>496757</v>
      </c>
      <c r="C701" s="14" t="s">
        <v>5661</v>
      </c>
      <c r="D701" s="14" t="s">
        <v>5646</v>
      </c>
      <c r="E701" s="14" t="s">
        <v>5647</v>
      </c>
      <c r="F701" s="14" t="s">
        <v>5657</v>
      </c>
      <c r="G701" s="14" t="s">
        <v>5649</v>
      </c>
      <c r="H701" s="14" t="s">
        <v>5662</v>
      </c>
      <c r="I701" s="14"/>
      <c r="J701" s="14" t="s">
        <v>4215</v>
      </c>
      <c r="K701" s="14" t="s">
        <v>307</v>
      </c>
      <c r="L701" s="14" t="s">
        <v>5663</v>
      </c>
      <c r="M701" s="14" t="s">
        <v>5653</v>
      </c>
      <c r="N701" s="14" t="s">
        <v>70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2" t="n">
        <f aca="false">AB701*(1+$L$3)</f>
        <v>0</v>
      </c>
      <c r="AD701" s="20"/>
      <c r="AE701" s="23" t="n">
        <f aca="false">AC701-AD701</f>
        <v>0</v>
      </c>
      <c r="AF701" s="21" t="str">
        <f aca="false">IFERROR(AD701/AC701,"")</f>
        <v/>
      </c>
    </row>
    <row r="702" customFormat="false" ht="15" hidden="false" customHeight="true" outlineLevel="0" collapsed="false">
      <c r="A702" s="14" t="n">
        <v>655624</v>
      </c>
      <c r="B702" s="14" t="n">
        <v>496754</v>
      </c>
      <c r="C702" s="14" t="s">
        <v>5664</v>
      </c>
      <c r="D702" s="14" t="s">
        <v>5665</v>
      </c>
      <c r="E702" s="14" t="s">
        <v>5666</v>
      </c>
      <c r="F702" s="14" t="s">
        <v>5667</v>
      </c>
      <c r="G702" s="14" t="s">
        <v>5668</v>
      </c>
      <c r="H702" s="14" t="s">
        <v>5669</v>
      </c>
      <c r="I702" s="14"/>
      <c r="J702" s="14" t="s">
        <v>5670</v>
      </c>
      <c r="K702" s="14" t="s">
        <v>67</v>
      </c>
      <c r="L702" s="14" t="s">
        <v>5671</v>
      </c>
      <c r="M702" s="14" t="s">
        <v>5672</v>
      </c>
      <c r="N702" s="14" t="s">
        <v>70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2" t="n">
        <f aca="false">AB702*(1+$L$3)</f>
        <v>0</v>
      </c>
      <c r="AD702" s="20"/>
      <c r="AE702" s="23" t="n">
        <f aca="false">AC702-AD702</f>
        <v>0</v>
      </c>
      <c r="AF702" s="21" t="str">
        <f aca="false">IFERROR(AD702/AC702,"")</f>
        <v/>
      </c>
    </row>
    <row r="703" customFormat="false" ht="15" hidden="false" customHeight="true" outlineLevel="0" collapsed="false">
      <c r="A703" s="14" t="n">
        <v>655416</v>
      </c>
      <c r="B703" s="14" t="n">
        <v>496565</v>
      </c>
      <c r="C703" s="14" t="s">
        <v>5673</v>
      </c>
      <c r="D703" s="14" t="s">
        <v>484</v>
      </c>
      <c r="E703" s="14" t="s">
        <v>485</v>
      </c>
      <c r="F703" s="14" t="s">
        <v>5674</v>
      </c>
      <c r="G703" s="14" t="s">
        <v>487</v>
      </c>
      <c r="H703" s="14" t="s">
        <v>5675</v>
      </c>
      <c r="I703" s="14"/>
      <c r="J703" s="14" t="s">
        <v>5676</v>
      </c>
      <c r="K703" s="14" t="s">
        <v>307</v>
      </c>
      <c r="L703" s="14" t="s">
        <v>5677</v>
      </c>
      <c r="M703" s="14" t="s">
        <v>491</v>
      </c>
      <c r="N703" s="14" t="s">
        <v>70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2" t="n">
        <f aca="false">AB703*(1+$L$3)</f>
        <v>0</v>
      </c>
      <c r="AD703" s="20"/>
      <c r="AE703" s="23" t="n">
        <f aca="false">AC703-AD703</f>
        <v>0</v>
      </c>
      <c r="AF703" s="21" t="str">
        <f aca="false">IFERROR(AD703/AC703,"")</f>
        <v/>
      </c>
    </row>
    <row r="704" customFormat="false" ht="15" hidden="false" customHeight="true" outlineLevel="0" collapsed="false">
      <c r="A704" s="14" t="n">
        <v>655581</v>
      </c>
      <c r="B704" s="14" t="n">
        <v>496710</v>
      </c>
      <c r="C704" s="14" t="s">
        <v>5678</v>
      </c>
      <c r="D704" s="14" t="s">
        <v>5679</v>
      </c>
      <c r="E704" s="14" t="s">
        <v>5680</v>
      </c>
      <c r="F704" s="14" t="s">
        <v>5681</v>
      </c>
      <c r="G704" s="14" t="s">
        <v>5682</v>
      </c>
      <c r="H704" s="14" t="s">
        <v>5683</v>
      </c>
      <c r="I704" s="14"/>
      <c r="J704" s="14" t="s">
        <v>1714</v>
      </c>
      <c r="K704" s="14" t="s">
        <v>1715</v>
      </c>
      <c r="L704" s="14" t="s">
        <v>5684</v>
      </c>
      <c r="M704" s="14" t="s">
        <v>5685</v>
      </c>
      <c r="N704" s="14" t="s">
        <v>70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2" t="n">
        <f aca="false">AB704*(1+$L$3)</f>
        <v>0</v>
      </c>
      <c r="AD704" s="20"/>
      <c r="AE704" s="23" t="n">
        <f aca="false">AC704-AD704</f>
        <v>0</v>
      </c>
      <c r="AF704" s="21" t="str">
        <f aca="false">IFERROR(AD704/AC704,"")</f>
        <v/>
      </c>
    </row>
    <row r="705" customFormat="false" ht="15" hidden="false" customHeight="true" outlineLevel="0" collapsed="false">
      <c r="A705" s="14" t="n">
        <v>496726</v>
      </c>
      <c r="B705" s="14" t="n">
        <v>213317</v>
      </c>
      <c r="C705" s="14" t="s">
        <v>5686</v>
      </c>
      <c r="D705" s="14" t="s">
        <v>5687</v>
      </c>
      <c r="E705" s="14" t="s">
        <v>5688</v>
      </c>
      <c r="F705" s="14" t="s">
        <v>5689</v>
      </c>
      <c r="G705" s="14" t="s">
        <v>5690</v>
      </c>
      <c r="H705" s="14" t="s">
        <v>5691</v>
      </c>
      <c r="I705" s="14"/>
      <c r="J705" s="14" t="s">
        <v>638</v>
      </c>
      <c r="K705" s="14" t="s">
        <v>67</v>
      </c>
      <c r="L705" s="14" t="s">
        <v>5692</v>
      </c>
      <c r="M705" s="14" t="s">
        <v>5693</v>
      </c>
      <c r="N705" s="14" t="s">
        <v>70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2" t="n">
        <f aca="false">AB705*(1+$L$3)</f>
        <v>0</v>
      </c>
      <c r="AD705" s="20"/>
      <c r="AE705" s="23" t="n">
        <f aca="false">AC705-AD705</f>
        <v>0</v>
      </c>
      <c r="AF705" s="21" t="str">
        <f aca="false">IFERROR(AD705/AC705,"")</f>
        <v/>
      </c>
    </row>
    <row r="706" customFormat="false" ht="15" hidden="false" customHeight="true" outlineLevel="0" collapsed="false">
      <c r="A706" s="14" t="n">
        <v>655524</v>
      </c>
      <c r="B706" s="14" t="n">
        <v>496662</v>
      </c>
      <c r="C706" s="14" t="s">
        <v>5694</v>
      </c>
      <c r="D706" s="14" t="s">
        <v>5695</v>
      </c>
      <c r="E706" s="14" t="s">
        <v>5696</v>
      </c>
      <c r="F706" s="14" t="s">
        <v>5697</v>
      </c>
      <c r="G706" s="14" t="s">
        <v>5698</v>
      </c>
      <c r="H706" s="14" t="s">
        <v>5699</v>
      </c>
      <c r="I706" s="14"/>
      <c r="J706" s="14" t="s">
        <v>306</v>
      </c>
      <c r="K706" s="14" t="s">
        <v>307</v>
      </c>
      <c r="L706" s="14" t="s">
        <v>5700</v>
      </c>
      <c r="M706" s="14" t="s">
        <v>5701</v>
      </c>
      <c r="N706" s="14" t="s">
        <v>70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2" t="n">
        <f aca="false">AB706*(1+$L$3)</f>
        <v>0</v>
      </c>
      <c r="AD706" s="20"/>
      <c r="AE706" s="23" t="n">
        <f aca="false">AC706-AD706</f>
        <v>0</v>
      </c>
      <c r="AF706" s="21" t="str">
        <f aca="false">IFERROR(AD706/AC706,"")</f>
        <v/>
      </c>
    </row>
    <row r="707" customFormat="false" ht="15" hidden="false" customHeight="true" outlineLevel="0" collapsed="false">
      <c r="A707" s="14" t="n">
        <v>655552</v>
      </c>
      <c r="B707" s="14" t="n">
        <v>496690</v>
      </c>
      <c r="C707" s="14" t="s">
        <v>5702</v>
      </c>
      <c r="D707" s="14" t="s">
        <v>5703</v>
      </c>
      <c r="E707" s="14" t="s">
        <v>5704</v>
      </c>
      <c r="F707" s="14" t="s">
        <v>5705</v>
      </c>
      <c r="G707" s="14" t="s">
        <v>5706</v>
      </c>
      <c r="H707" s="14" t="s">
        <v>5707</v>
      </c>
      <c r="I707" s="14"/>
      <c r="J707" s="14" t="s">
        <v>5708</v>
      </c>
      <c r="K707" s="14" t="s">
        <v>67</v>
      </c>
      <c r="L707" s="14" t="s">
        <v>5709</v>
      </c>
      <c r="M707" s="14" t="s">
        <v>5710</v>
      </c>
      <c r="N707" s="14" t="s">
        <v>70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2" t="n">
        <f aca="false">AB707*(1+$L$3)</f>
        <v>0</v>
      </c>
      <c r="AD707" s="20"/>
      <c r="AE707" s="23" t="n">
        <f aca="false">AC707-AD707</f>
        <v>0</v>
      </c>
      <c r="AF707" s="21" t="str">
        <f aca="false">IFERROR(AD707/AC707,"")</f>
        <v/>
      </c>
    </row>
    <row r="708" customFormat="false" ht="15" hidden="false" customHeight="true" outlineLevel="0" collapsed="false">
      <c r="A708" s="14" t="n">
        <v>655549</v>
      </c>
      <c r="B708" s="14" t="n">
        <v>496687</v>
      </c>
      <c r="C708" s="14" t="s">
        <v>5711</v>
      </c>
      <c r="D708" s="14" t="s">
        <v>5712</v>
      </c>
      <c r="E708" s="14" t="s">
        <v>5713</v>
      </c>
      <c r="F708" s="14" t="s">
        <v>5714</v>
      </c>
      <c r="G708" s="14" t="s">
        <v>5715</v>
      </c>
      <c r="H708" s="14" t="s">
        <v>5716</v>
      </c>
      <c r="I708" s="14"/>
      <c r="J708" s="14" t="s">
        <v>638</v>
      </c>
      <c r="K708" s="14" t="s">
        <v>67</v>
      </c>
      <c r="L708" s="14" t="s">
        <v>1440</v>
      </c>
      <c r="M708" s="14" t="s">
        <v>5717</v>
      </c>
      <c r="N708" s="14" t="s">
        <v>70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2" t="n">
        <f aca="false">AB708*(1+$L$3)</f>
        <v>0</v>
      </c>
      <c r="AD708" s="20"/>
      <c r="AE708" s="23" t="n">
        <f aca="false">AC708-AD708</f>
        <v>0</v>
      </c>
      <c r="AF708" s="21" t="str">
        <f aca="false">IFERROR(AD708/AC708,"")</f>
        <v/>
      </c>
    </row>
    <row r="709" customFormat="false" ht="15" hidden="false" customHeight="true" outlineLevel="0" collapsed="false">
      <c r="A709" s="14" t="n">
        <v>655509</v>
      </c>
      <c r="B709" s="14" t="n">
        <v>496648</v>
      </c>
      <c r="C709" s="14" t="s">
        <v>5718</v>
      </c>
      <c r="D709" s="14" t="s">
        <v>5719</v>
      </c>
      <c r="E709" s="14" t="s">
        <v>5720</v>
      </c>
      <c r="F709" s="14" t="s">
        <v>5721</v>
      </c>
      <c r="G709" s="14" t="s">
        <v>5722</v>
      </c>
      <c r="H709" s="14" t="s">
        <v>5723</v>
      </c>
      <c r="I709" s="14" t="s">
        <v>5724</v>
      </c>
      <c r="J709" s="14" t="s">
        <v>3068</v>
      </c>
      <c r="K709" s="14" t="s">
        <v>67</v>
      </c>
      <c r="L709" s="14" t="s">
        <v>3235</v>
      </c>
      <c r="M709" s="14" t="s">
        <v>5725</v>
      </c>
      <c r="N709" s="14" t="s">
        <v>70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 t="n">
        <v>1</v>
      </c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2" t="n">
        <f aca="false">AB709*(1+$L$3)</f>
        <v>0</v>
      </c>
      <c r="AD709" s="20"/>
      <c r="AE709" s="23" t="n">
        <f aca="false">AC709-AD709</f>
        <v>0</v>
      </c>
      <c r="AF709" s="21" t="str">
        <f aca="false">IFERROR(AD709/AC709,"")</f>
        <v/>
      </c>
    </row>
    <row r="710" customFormat="false" ht="15" hidden="false" customHeight="true" outlineLevel="0" collapsed="false">
      <c r="A710" s="14"/>
      <c r="B710" s="14"/>
      <c r="C710" s="14" t="s">
        <v>5726</v>
      </c>
      <c r="D710" s="14" t="s">
        <v>5727</v>
      </c>
      <c r="E710" s="14" t="s">
        <v>5728</v>
      </c>
      <c r="F710" s="14" t="s">
        <v>5729</v>
      </c>
      <c r="G710" s="14" t="s">
        <v>5730</v>
      </c>
      <c r="H710" s="14" t="s">
        <v>5731</v>
      </c>
      <c r="I710" s="14"/>
      <c r="J710" s="14" t="s">
        <v>5732</v>
      </c>
      <c r="K710" s="14" t="s">
        <v>67</v>
      </c>
      <c r="L710" s="14" t="s">
        <v>5733</v>
      </c>
      <c r="M710" s="14" t="s">
        <v>5734</v>
      </c>
      <c r="N710" s="14" t="s">
        <v>70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2" t="n">
        <f aca="false">AB710*(1+$L$3)</f>
        <v>0</v>
      </c>
      <c r="AD710" s="20"/>
      <c r="AE710" s="23" t="n">
        <f aca="false">AC710-AD710</f>
        <v>0</v>
      </c>
      <c r="AF710" s="21" t="str">
        <f aca="false">IFERROR(AD710/AC710,"")</f>
        <v/>
      </c>
    </row>
    <row r="711" customFormat="false" ht="15" hidden="false" customHeight="true" outlineLevel="0" collapsed="false">
      <c r="A711" s="14" t="n">
        <v>655423</v>
      </c>
      <c r="B711" s="14" t="n">
        <v>496572</v>
      </c>
      <c r="C711" s="14" t="s">
        <v>5735</v>
      </c>
      <c r="D711" s="14" t="s">
        <v>5736</v>
      </c>
      <c r="E711" s="14" t="s">
        <v>5737</v>
      </c>
      <c r="F711" s="14" t="s">
        <v>5738</v>
      </c>
      <c r="G711" s="14" t="s">
        <v>5739</v>
      </c>
      <c r="H711" s="14" t="s">
        <v>5740</v>
      </c>
      <c r="I711" s="14"/>
      <c r="J711" s="14" t="s">
        <v>5741</v>
      </c>
      <c r="K711" s="14" t="s">
        <v>67</v>
      </c>
      <c r="L711" s="14" t="s">
        <v>2820</v>
      </c>
      <c r="M711" s="14" t="s">
        <v>5742</v>
      </c>
      <c r="N711" s="14" t="s">
        <v>70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2" t="n">
        <f aca="false">AB711*(1+$L$3)</f>
        <v>0</v>
      </c>
      <c r="AD711" s="20"/>
      <c r="AE711" s="23" t="n">
        <f aca="false">AC711-AD711</f>
        <v>0</v>
      </c>
      <c r="AF711" s="21" t="str">
        <f aca="false">IFERROR(AD711/AC711,"")</f>
        <v/>
      </c>
    </row>
    <row r="712" customFormat="false" ht="15" hidden="false" customHeight="true" outlineLevel="0" collapsed="false">
      <c r="A712" s="14" t="n">
        <v>655412</v>
      </c>
      <c r="B712" s="14" t="n">
        <v>496561</v>
      </c>
      <c r="C712" s="14" t="s">
        <v>5743</v>
      </c>
      <c r="D712" s="14" t="s">
        <v>5744</v>
      </c>
      <c r="E712" s="14" t="s">
        <v>5745</v>
      </c>
      <c r="F712" s="14" t="s">
        <v>5746</v>
      </c>
      <c r="G712" s="14" t="s">
        <v>5747</v>
      </c>
      <c r="H712" s="14" t="s">
        <v>5748</v>
      </c>
      <c r="I712" s="14" t="s">
        <v>3276</v>
      </c>
      <c r="J712" s="14" t="s">
        <v>2784</v>
      </c>
      <c r="K712" s="14" t="s">
        <v>307</v>
      </c>
      <c r="L712" s="14" t="s">
        <v>1487</v>
      </c>
      <c r="M712" s="14" t="s">
        <v>5749</v>
      </c>
      <c r="N712" s="14" t="s">
        <v>70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2" t="n">
        <f aca="false">AB712*(1+$L$3)</f>
        <v>0</v>
      </c>
      <c r="AD712" s="20"/>
      <c r="AE712" s="23" t="n">
        <f aca="false">AC712-AD712</f>
        <v>0</v>
      </c>
      <c r="AF712" s="21" t="str">
        <f aca="false">IFERROR(AD712/AC712,"")</f>
        <v/>
      </c>
    </row>
    <row r="713" customFormat="false" ht="15" hidden="false" customHeight="true" outlineLevel="0" collapsed="false">
      <c r="A713" s="14"/>
      <c r="B713" s="14"/>
      <c r="C713" s="14" t="s">
        <v>5750</v>
      </c>
      <c r="D713" s="14" t="s">
        <v>5751</v>
      </c>
      <c r="E713" s="14" t="s">
        <v>5752</v>
      </c>
      <c r="F713" s="14"/>
      <c r="G713" s="14"/>
      <c r="H713" s="14" t="s">
        <v>5753</v>
      </c>
      <c r="I713" s="14"/>
      <c r="J713" s="14" t="s">
        <v>2905</v>
      </c>
      <c r="K713" s="14" t="s">
        <v>2316</v>
      </c>
      <c r="L713" s="14" t="s">
        <v>5754</v>
      </c>
      <c r="M713" s="14" t="s">
        <v>3752</v>
      </c>
      <c r="N713" s="14" t="s">
        <v>70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2" t="n">
        <f aca="false">AB713*(1+$L$3)</f>
        <v>0</v>
      </c>
      <c r="AD713" s="20"/>
      <c r="AE713" s="23" t="n">
        <f aca="false">AC713-AD713</f>
        <v>0</v>
      </c>
      <c r="AF713" s="21" t="str">
        <f aca="false">IFERROR(AD713/AC713,"")</f>
        <v/>
      </c>
    </row>
    <row r="714" customFormat="false" ht="15" hidden="false" customHeight="true" outlineLevel="0" collapsed="false">
      <c r="A714" s="14" t="n">
        <v>655350</v>
      </c>
      <c r="B714" s="14" t="n">
        <v>496497</v>
      </c>
      <c r="C714" s="14" t="s">
        <v>5755</v>
      </c>
      <c r="D714" s="14" t="s">
        <v>5756</v>
      </c>
      <c r="E714" s="14" t="s">
        <v>5757</v>
      </c>
      <c r="F714" s="14" t="s">
        <v>5758</v>
      </c>
      <c r="G714" s="14" t="s">
        <v>5759</v>
      </c>
      <c r="H714" s="14" t="s">
        <v>5760</v>
      </c>
      <c r="I714" s="14"/>
      <c r="J714" s="14" t="s">
        <v>5761</v>
      </c>
      <c r="K714" s="14" t="s">
        <v>2316</v>
      </c>
      <c r="L714" s="14" t="s">
        <v>5762</v>
      </c>
      <c r="M714" s="14" t="s">
        <v>5763</v>
      </c>
      <c r="N714" s="14" t="s">
        <v>70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2" t="n">
        <f aca="false">AB714*(1+$L$3)</f>
        <v>0</v>
      </c>
      <c r="AD714" s="20"/>
      <c r="AE714" s="23" t="n">
        <f aca="false">AC714-AD714</f>
        <v>0</v>
      </c>
      <c r="AF714" s="21" t="str">
        <f aca="false">IFERROR(AD714/AC714,"")</f>
        <v/>
      </c>
    </row>
    <row r="715" customFormat="false" ht="15" hidden="false" customHeight="true" outlineLevel="0" collapsed="false">
      <c r="A715" s="14" t="n">
        <v>655323</v>
      </c>
      <c r="B715" s="14" t="n">
        <v>496471</v>
      </c>
      <c r="C715" s="14" t="s">
        <v>5764</v>
      </c>
      <c r="D715" s="14" t="s">
        <v>5765</v>
      </c>
      <c r="E715" s="14" t="s">
        <v>5766</v>
      </c>
      <c r="F715" s="14" t="s">
        <v>5767</v>
      </c>
      <c r="G715" s="14" t="s">
        <v>5768</v>
      </c>
      <c r="H715" s="14" t="s">
        <v>5769</v>
      </c>
      <c r="I715" s="14"/>
      <c r="J715" s="14" t="s">
        <v>5770</v>
      </c>
      <c r="K715" s="14" t="s">
        <v>2316</v>
      </c>
      <c r="L715" s="14" t="s">
        <v>5771</v>
      </c>
      <c r="M715" s="14" t="s">
        <v>5772</v>
      </c>
      <c r="N715" s="14" t="s">
        <v>70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2" t="n">
        <f aca="false">AB715*(1+$L$3)</f>
        <v>0</v>
      </c>
      <c r="AD715" s="20"/>
      <c r="AE715" s="23" t="n">
        <f aca="false">AC715-AD715</f>
        <v>0</v>
      </c>
      <c r="AF715" s="21" t="str">
        <f aca="false">IFERROR(AD715/AC715,"")</f>
        <v/>
      </c>
    </row>
    <row r="716" customFormat="false" ht="15" hidden="false" customHeight="true" outlineLevel="0" collapsed="false">
      <c r="A716" s="14" t="n">
        <v>655314</v>
      </c>
      <c r="B716" s="14" t="n">
        <v>496462</v>
      </c>
      <c r="C716" s="14" t="s">
        <v>5773</v>
      </c>
      <c r="D716" s="14" t="s">
        <v>5774</v>
      </c>
      <c r="E716" s="14" t="s">
        <v>5775</v>
      </c>
      <c r="F716" s="14" t="s">
        <v>5776</v>
      </c>
      <c r="G716" s="14" t="s">
        <v>5777</v>
      </c>
      <c r="H716" s="14" t="s">
        <v>5778</v>
      </c>
      <c r="I716" s="14"/>
      <c r="J716" s="14" t="s">
        <v>2985</v>
      </c>
      <c r="K716" s="14" t="s">
        <v>2986</v>
      </c>
      <c r="L716" s="14" t="s">
        <v>3261</v>
      </c>
      <c r="M716" s="14" t="s">
        <v>5779</v>
      </c>
      <c r="N716" s="14" t="s">
        <v>70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2" t="n">
        <f aca="false">AB716*(1+$L$3)</f>
        <v>0</v>
      </c>
      <c r="AD716" s="20"/>
      <c r="AE716" s="23" t="n">
        <f aca="false">AC716-AD716</f>
        <v>0</v>
      </c>
      <c r="AF716" s="21" t="str">
        <f aca="false">IFERROR(AD716/AC716,"")</f>
        <v/>
      </c>
    </row>
    <row r="717" customFormat="false" ht="15" hidden="false" customHeight="true" outlineLevel="0" collapsed="false">
      <c r="A717" s="14" t="n">
        <v>655295</v>
      </c>
      <c r="B717" s="14" t="n">
        <v>496443</v>
      </c>
      <c r="C717" s="14" t="s">
        <v>5780</v>
      </c>
      <c r="D717" s="14" t="s">
        <v>5781</v>
      </c>
      <c r="E717" s="14" t="s">
        <v>5782</v>
      </c>
      <c r="F717" s="14" t="s">
        <v>5783</v>
      </c>
      <c r="G717" s="14" t="s">
        <v>5784</v>
      </c>
      <c r="H717" s="14" t="s">
        <v>5785</v>
      </c>
      <c r="I717" s="14" t="s">
        <v>4823</v>
      </c>
      <c r="J717" s="14" t="s">
        <v>5786</v>
      </c>
      <c r="K717" s="14" t="s">
        <v>981</v>
      </c>
      <c r="L717" s="14" t="s">
        <v>5787</v>
      </c>
      <c r="M717" s="14" t="s">
        <v>5788</v>
      </c>
      <c r="N717" s="14" t="s">
        <v>70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2" t="n">
        <f aca="false">AB717*(1+$L$3)</f>
        <v>0</v>
      </c>
      <c r="AD717" s="20"/>
      <c r="AE717" s="23" t="n">
        <f aca="false">AC717-AD717</f>
        <v>0</v>
      </c>
      <c r="AF717" s="21" t="str">
        <f aca="false">IFERROR(AD717/AC717,"")</f>
        <v/>
      </c>
    </row>
    <row r="718" customFormat="false" ht="15" hidden="false" customHeight="true" outlineLevel="0" collapsed="false">
      <c r="A718" s="14" t="n">
        <v>655212</v>
      </c>
      <c r="B718" s="14" t="n">
        <v>496360</v>
      </c>
      <c r="C718" s="14" t="s">
        <v>5789</v>
      </c>
      <c r="D718" s="14" t="s">
        <v>5790</v>
      </c>
      <c r="E718" s="14" t="s">
        <v>5791</v>
      </c>
      <c r="F718" s="14" t="s">
        <v>5792</v>
      </c>
      <c r="G718" s="14" t="s">
        <v>5793</v>
      </c>
      <c r="H718" s="14" t="s">
        <v>5794</v>
      </c>
      <c r="I718" s="14"/>
      <c r="J718" s="14" t="s">
        <v>5795</v>
      </c>
      <c r="K718" s="14" t="s">
        <v>307</v>
      </c>
      <c r="L718" s="14" t="s">
        <v>5796</v>
      </c>
      <c r="M718" s="14" t="s">
        <v>5797</v>
      </c>
      <c r="N718" s="14" t="s">
        <v>70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2" t="n">
        <f aca="false">AB718*(1+$L$3)</f>
        <v>0</v>
      </c>
      <c r="AD718" s="20"/>
      <c r="AE718" s="23" t="n">
        <f aca="false">AC718-AD718</f>
        <v>0</v>
      </c>
      <c r="AF718" s="21" t="str">
        <f aca="false">IFERROR(AD718/AC718,"")</f>
        <v/>
      </c>
    </row>
    <row r="719" customFormat="false" ht="15" hidden="false" customHeight="true" outlineLevel="0" collapsed="false">
      <c r="A719" s="14" t="n">
        <v>655211</v>
      </c>
      <c r="B719" s="14" t="n">
        <v>496359</v>
      </c>
      <c r="C719" s="14" t="s">
        <v>5798</v>
      </c>
      <c r="D719" s="14" t="s">
        <v>5799</v>
      </c>
      <c r="E719" s="14" t="s">
        <v>5800</v>
      </c>
      <c r="F719" s="14" t="s">
        <v>5801</v>
      </c>
      <c r="G719" s="14" t="s">
        <v>5802</v>
      </c>
      <c r="H719" s="14" t="s">
        <v>5803</v>
      </c>
      <c r="I719" s="14"/>
      <c r="J719" s="14" t="s">
        <v>5795</v>
      </c>
      <c r="K719" s="14" t="s">
        <v>307</v>
      </c>
      <c r="L719" s="14" t="s">
        <v>5804</v>
      </c>
      <c r="M719" s="14" t="s">
        <v>5805</v>
      </c>
      <c r="N719" s="14" t="s">
        <v>70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/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2" t="n">
        <f aca="false">AB719*(1+$L$3)</f>
        <v>0</v>
      </c>
      <c r="AD719" s="20"/>
      <c r="AE719" s="23" t="n">
        <f aca="false">AC719-AD719</f>
        <v>0</v>
      </c>
      <c r="AF719" s="21" t="str">
        <f aca="false">IFERROR(AD719/AC719,"")</f>
        <v/>
      </c>
    </row>
    <row r="720" customFormat="false" ht="15" hidden="false" customHeight="true" outlineLevel="0" collapsed="false">
      <c r="A720" s="14" t="n">
        <v>655192</v>
      </c>
      <c r="B720" s="14" t="n">
        <v>496340</v>
      </c>
      <c r="C720" s="14" t="s">
        <v>5806</v>
      </c>
      <c r="D720" s="14" t="s">
        <v>5807</v>
      </c>
      <c r="E720" s="14" t="s">
        <v>5808</v>
      </c>
      <c r="F720" s="14" t="s">
        <v>5809</v>
      </c>
      <c r="G720" s="14" t="s">
        <v>5810</v>
      </c>
      <c r="H720" s="14" t="s">
        <v>5811</v>
      </c>
      <c r="I720" s="14"/>
      <c r="J720" s="14" t="s">
        <v>556</v>
      </c>
      <c r="K720" s="14" t="s">
        <v>557</v>
      </c>
      <c r="L720" s="14" t="s">
        <v>4586</v>
      </c>
      <c r="M720" s="14" t="s">
        <v>5812</v>
      </c>
      <c r="N720" s="14" t="s">
        <v>70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2" t="n">
        <f aca="false">AB720*(1+$L$3)</f>
        <v>0</v>
      </c>
      <c r="AD720" s="20"/>
      <c r="AE720" s="23" t="n">
        <f aca="false">AC720-AD720</f>
        <v>0</v>
      </c>
      <c r="AF720" s="21" t="str">
        <f aca="false">IFERROR(AD720/AC720,"")</f>
        <v/>
      </c>
    </row>
    <row r="721" customFormat="false" ht="15" hidden="false" customHeight="true" outlineLevel="0" collapsed="false">
      <c r="A721" s="14" t="n">
        <v>655151</v>
      </c>
      <c r="B721" s="14" t="n">
        <v>496301</v>
      </c>
      <c r="C721" s="14" t="s">
        <v>5813</v>
      </c>
      <c r="D721" s="14" t="s">
        <v>5814</v>
      </c>
      <c r="E721" s="14" t="s">
        <v>5815</v>
      </c>
      <c r="F721" s="14" t="s">
        <v>5816</v>
      </c>
      <c r="G721" s="14" t="s">
        <v>5817</v>
      </c>
      <c r="H721" s="14" t="s">
        <v>5818</v>
      </c>
      <c r="I721" s="14"/>
      <c r="J721" s="14" t="s">
        <v>1142</v>
      </c>
      <c r="K721" s="14" t="s">
        <v>557</v>
      </c>
      <c r="L721" s="14" t="s">
        <v>5819</v>
      </c>
      <c r="M721" s="14" t="s">
        <v>5820</v>
      </c>
      <c r="N721" s="14" t="s">
        <v>70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2" t="n">
        <f aca="false">AB721*(1+$L$3)</f>
        <v>0</v>
      </c>
      <c r="AD721" s="20"/>
      <c r="AE721" s="23" t="n">
        <f aca="false">AC721-AD721</f>
        <v>0</v>
      </c>
      <c r="AF721" s="21" t="str">
        <f aca="false">IFERROR(AD721/AC721,"")</f>
        <v/>
      </c>
    </row>
    <row r="722" customFormat="false" ht="15" hidden="false" customHeight="true" outlineLevel="0" collapsed="false">
      <c r="A722" s="14" t="n">
        <v>655157</v>
      </c>
      <c r="B722" s="14" t="n">
        <v>496307</v>
      </c>
      <c r="C722" s="14" t="s">
        <v>5821</v>
      </c>
      <c r="D722" s="14" t="s">
        <v>5822</v>
      </c>
      <c r="E722" s="14" t="s">
        <v>5823</v>
      </c>
      <c r="F722" s="14" t="s">
        <v>5746</v>
      </c>
      <c r="G722" s="14" t="s">
        <v>5747</v>
      </c>
      <c r="H722" s="14" t="s">
        <v>5824</v>
      </c>
      <c r="I722" s="14"/>
      <c r="J722" s="14" t="s">
        <v>306</v>
      </c>
      <c r="K722" s="14" t="s">
        <v>307</v>
      </c>
      <c r="L722" s="14" t="s">
        <v>3505</v>
      </c>
      <c r="M722" s="14" t="s">
        <v>5749</v>
      </c>
      <c r="N722" s="14" t="s">
        <v>70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2" t="n">
        <f aca="false">AB722*(1+$L$3)</f>
        <v>0</v>
      </c>
      <c r="AD722" s="20"/>
      <c r="AE722" s="23" t="n">
        <f aca="false">AC722-AD722</f>
        <v>0</v>
      </c>
      <c r="AF722" s="21" t="str">
        <f aca="false">IFERROR(AD722/AC722,"")</f>
        <v/>
      </c>
    </row>
    <row r="723" customFormat="false" ht="15" hidden="false" customHeight="true" outlineLevel="0" collapsed="false">
      <c r="A723" s="14" t="n">
        <v>651896</v>
      </c>
      <c r="B723" s="14" t="n">
        <v>493133</v>
      </c>
      <c r="C723" s="14" t="s">
        <v>5825</v>
      </c>
      <c r="D723" s="14" t="s">
        <v>5826</v>
      </c>
      <c r="E723" s="14" t="s">
        <v>5827</v>
      </c>
      <c r="F723" s="14" t="s">
        <v>5828</v>
      </c>
      <c r="G723" s="14" t="s">
        <v>5829</v>
      </c>
      <c r="H723" s="14" t="s">
        <v>5830</v>
      </c>
      <c r="I723" s="14"/>
      <c r="J723" s="14" t="s">
        <v>5831</v>
      </c>
      <c r="K723" s="14" t="s">
        <v>307</v>
      </c>
      <c r="L723" s="14" t="s">
        <v>5832</v>
      </c>
      <c r="M723" s="14" t="s">
        <v>5833</v>
      </c>
      <c r="N723" s="14" t="s">
        <v>70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2" t="n">
        <f aca="false">AB723*(1+$L$3)</f>
        <v>0</v>
      </c>
      <c r="AD723" s="20"/>
      <c r="AE723" s="23" t="n">
        <f aca="false">AC723-AD723</f>
        <v>0</v>
      </c>
      <c r="AF723" s="21" t="str">
        <f aca="false">IFERROR(AD723/AC723,"")</f>
        <v/>
      </c>
    </row>
    <row r="724" customFormat="false" ht="15" hidden="false" customHeight="true" outlineLevel="0" collapsed="false">
      <c r="A724" s="14" t="n">
        <v>654912</v>
      </c>
      <c r="B724" s="14" t="n">
        <v>496062</v>
      </c>
      <c r="C724" s="14" t="s">
        <v>5834</v>
      </c>
      <c r="D724" s="14" t="s">
        <v>5835</v>
      </c>
      <c r="E724" s="14" t="s">
        <v>5836</v>
      </c>
      <c r="F724" s="14" t="s">
        <v>5837</v>
      </c>
      <c r="G724" s="14" t="s">
        <v>5838</v>
      </c>
      <c r="H724" s="14" t="s">
        <v>5839</v>
      </c>
      <c r="I724" s="14"/>
      <c r="J724" s="14" t="s">
        <v>5840</v>
      </c>
      <c r="K724" s="14" t="s">
        <v>307</v>
      </c>
      <c r="L724" s="14" t="s">
        <v>5841</v>
      </c>
      <c r="M724" s="14" t="s">
        <v>5842</v>
      </c>
      <c r="N724" s="14" t="s">
        <v>70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2" t="n">
        <f aca="false">AB724*(1+$L$3)</f>
        <v>0</v>
      </c>
      <c r="AD724" s="20"/>
      <c r="AE724" s="23" t="n">
        <f aca="false">AC724-AD724</f>
        <v>0</v>
      </c>
      <c r="AF724" s="21" t="str">
        <f aca="false">IFERROR(AD724/AC724,"")</f>
        <v/>
      </c>
    </row>
    <row r="725" customFormat="false" ht="15" hidden="false" customHeight="true" outlineLevel="0" collapsed="false">
      <c r="A725" s="14" t="n">
        <v>119808</v>
      </c>
      <c r="B725" s="14" t="n">
        <v>133038</v>
      </c>
      <c r="C725" s="14" t="s">
        <v>5843</v>
      </c>
      <c r="D725" s="14" t="s">
        <v>5844</v>
      </c>
      <c r="E725" s="14" t="s">
        <v>5845</v>
      </c>
      <c r="F725" s="14" t="s">
        <v>5846</v>
      </c>
      <c r="G725" s="14" t="s">
        <v>5847</v>
      </c>
      <c r="H725" s="14" t="s">
        <v>5848</v>
      </c>
      <c r="I725" s="14"/>
      <c r="J725" s="14" t="s">
        <v>638</v>
      </c>
      <c r="K725" s="14" t="s">
        <v>67</v>
      </c>
      <c r="L725" s="14" t="s">
        <v>5849</v>
      </c>
      <c r="M725" s="14" t="s">
        <v>5850</v>
      </c>
      <c r="N725" s="14" t="s">
        <v>70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2" t="n">
        <f aca="false">AB725*(1+$L$3)</f>
        <v>0</v>
      </c>
      <c r="AD725" s="20"/>
      <c r="AE725" s="23" t="n">
        <f aca="false">AC725-AD725</f>
        <v>0</v>
      </c>
      <c r="AF725" s="21" t="str">
        <f aca="false">IFERROR(AD725/AC725,"")</f>
        <v/>
      </c>
    </row>
    <row r="726" customFormat="false" ht="15" hidden="false" customHeight="true" outlineLevel="0" collapsed="false">
      <c r="A726" s="14" t="n">
        <v>654828</v>
      </c>
      <c r="B726" s="14" t="n">
        <v>495978</v>
      </c>
      <c r="C726" s="14" t="s">
        <v>5851</v>
      </c>
      <c r="D726" s="14" t="s">
        <v>5852</v>
      </c>
      <c r="E726" s="14" t="s">
        <v>3265</v>
      </c>
      <c r="F726" s="14" t="s">
        <v>5853</v>
      </c>
      <c r="G726" s="14" t="s">
        <v>3267</v>
      </c>
      <c r="H726" s="14" t="s">
        <v>5854</v>
      </c>
      <c r="I726" s="14" t="s">
        <v>1317</v>
      </c>
      <c r="J726" s="14" t="s">
        <v>4215</v>
      </c>
      <c r="K726" s="14" t="s">
        <v>307</v>
      </c>
      <c r="L726" s="14" t="s">
        <v>5663</v>
      </c>
      <c r="M726" s="14" t="s">
        <v>3270</v>
      </c>
      <c r="N726" s="14" t="s">
        <v>70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2" t="n">
        <f aca="false">AB726*(1+$L$3)</f>
        <v>0</v>
      </c>
      <c r="AD726" s="20"/>
      <c r="AE726" s="23" t="n">
        <f aca="false">AC726-AD726</f>
        <v>0</v>
      </c>
      <c r="AF726" s="21" t="str">
        <f aca="false">IFERROR(AD726/AC726,"")</f>
        <v/>
      </c>
    </row>
    <row r="727" customFormat="false" ht="15" hidden="false" customHeight="true" outlineLevel="0" collapsed="false">
      <c r="A727" s="14" t="n">
        <v>654668</v>
      </c>
      <c r="B727" s="14" t="n">
        <v>495820</v>
      </c>
      <c r="C727" s="14" t="s">
        <v>5855</v>
      </c>
      <c r="D727" s="14" t="s">
        <v>435</v>
      </c>
      <c r="E727" s="14" t="s">
        <v>5856</v>
      </c>
      <c r="F727" s="14" t="s">
        <v>5857</v>
      </c>
      <c r="G727" s="14" t="s">
        <v>438</v>
      </c>
      <c r="H727" s="14" t="s">
        <v>5858</v>
      </c>
      <c r="I727" s="14"/>
      <c r="J727" s="14" t="s">
        <v>5859</v>
      </c>
      <c r="K727" s="14" t="s">
        <v>307</v>
      </c>
      <c r="L727" s="14" t="s">
        <v>441</v>
      </c>
      <c r="M727" s="14" t="s">
        <v>442</v>
      </c>
      <c r="N727" s="14" t="s">
        <v>70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2" t="n">
        <f aca="false">AB727*(1+$L$3)</f>
        <v>0</v>
      </c>
      <c r="AD727" s="20"/>
      <c r="AE727" s="23" t="n">
        <f aca="false">AC727-AD727</f>
        <v>0</v>
      </c>
      <c r="AF727" s="21" t="str">
        <f aca="false">IFERROR(AD727/AC727,"")</f>
        <v/>
      </c>
    </row>
    <row r="728" customFormat="false" ht="15" hidden="false" customHeight="true" outlineLevel="0" collapsed="false">
      <c r="A728" s="14"/>
      <c r="B728" s="14"/>
      <c r="C728" s="14" t="s">
        <v>5860</v>
      </c>
      <c r="D728" s="14" t="s">
        <v>5861</v>
      </c>
      <c r="E728" s="14" t="s">
        <v>5862</v>
      </c>
      <c r="F728" s="14"/>
      <c r="G728" s="14"/>
      <c r="H728" s="14" t="s">
        <v>5863</v>
      </c>
      <c r="I728" s="14"/>
      <c r="J728" s="14" t="s">
        <v>5864</v>
      </c>
      <c r="K728" s="14" t="s">
        <v>1026</v>
      </c>
      <c r="L728" s="14" t="s">
        <v>5865</v>
      </c>
      <c r="M728" s="14" t="s">
        <v>3752</v>
      </c>
      <c r="N728" s="14" t="s">
        <v>70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2" t="n">
        <f aca="false">AB728*(1+$L$3)</f>
        <v>0</v>
      </c>
      <c r="AD728" s="20"/>
      <c r="AE728" s="23" t="n">
        <f aca="false">AC728-AD728</f>
        <v>0</v>
      </c>
      <c r="AF728" s="21" t="str">
        <f aca="false">IFERROR(AD728/AC728,"")</f>
        <v/>
      </c>
    </row>
    <row r="729" customFormat="false" ht="15" hidden="false" customHeight="true" outlineLevel="0" collapsed="false">
      <c r="A729" s="14" t="n">
        <v>654787</v>
      </c>
      <c r="B729" s="14" t="n">
        <v>495938</v>
      </c>
      <c r="C729" s="14" t="s">
        <v>5866</v>
      </c>
      <c r="D729" s="14" t="s">
        <v>5867</v>
      </c>
      <c r="E729" s="14" t="s">
        <v>5868</v>
      </c>
      <c r="F729" s="14" t="s">
        <v>5869</v>
      </c>
      <c r="G729" s="14" t="s">
        <v>5870</v>
      </c>
      <c r="H729" s="14" t="s">
        <v>5871</v>
      </c>
      <c r="I729" s="14"/>
      <c r="J729" s="14" t="s">
        <v>3321</v>
      </c>
      <c r="K729" s="14" t="s">
        <v>3322</v>
      </c>
      <c r="L729" s="14" t="s">
        <v>5872</v>
      </c>
      <c r="M729" s="14" t="s">
        <v>5873</v>
      </c>
      <c r="N729" s="14" t="s">
        <v>70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2" t="n">
        <f aca="false">AB729*(1+$L$3)</f>
        <v>0</v>
      </c>
      <c r="AD729" s="20"/>
      <c r="AE729" s="23" t="n">
        <f aca="false">AC729-AD729</f>
        <v>0</v>
      </c>
      <c r="AF729" s="21" t="str">
        <f aca="false">IFERROR(AD729/AC729,"")</f>
        <v/>
      </c>
    </row>
    <row r="730" customFormat="false" ht="15" hidden="false" customHeight="true" outlineLevel="0" collapsed="false">
      <c r="A730" s="14" t="n">
        <v>654766</v>
      </c>
      <c r="B730" s="14" t="n">
        <v>495918</v>
      </c>
      <c r="C730" s="14" t="s">
        <v>5874</v>
      </c>
      <c r="D730" s="14" t="s">
        <v>5875</v>
      </c>
      <c r="E730" s="14" t="s">
        <v>5876</v>
      </c>
      <c r="F730" s="14" t="s">
        <v>5877</v>
      </c>
      <c r="G730" s="14" t="s">
        <v>5878</v>
      </c>
      <c r="H730" s="14" t="s">
        <v>5879</v>
      </c>
      <c r="I730" s="14" t="s">
        <v>3234</v>
      </c>
      <c r="J730" s="14" t="s">
        <v>5880</v>
      </c>
      <c r="K730" s="14" t="s">
        <v>506</v>
      </c>
      <c r="L730" s="14" t="s">
        <v>5881</v>
      </c>
      <c r="M730" s="14" t="s">
        <v>5882</v>
      </c>
      <c r="N730" s="14" t="s">
        <v>70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2" t="n">
        <f aca="false">AB730*(1+$L$3)</f>
        <v>0</v>
      </c>
      <c r="AD730" s="20"/>
      <c r="AE730" s="23" t="n">
        <f aca="false">AC730-AD730</f>
        <v>0</v>
      </c>
      <c r="AF730" s="21" t="str">
        <f aca="false">IFERROR(AD730/AC730,"")</f>
        <v/>
      </c>
    </row>
    <row r="731" customFormat="false" ht="15" hidden="false" customHeight="true" outlineLevel="0" collapsed="false">
      <c r="A731" s="14" t="n">
        <v>654761</v>
      </c>
      <c r="B731" s="14" t="n">
        <v>495913</v>
      </c>
      <c r="C731" s="14" t="s">
        <v>5883</v>
      </c>
      <c r="D731" s="14" t="s">
        <v>5884</v>
      </c>
      <c r="E731" s="14" t="s">
        <v>5885</v>
      </c>
      <c r="F731" s="14" t="s">
        <v>5886</v>
      </c>
      <c r="G731" s="14" t="s">
        <v>5887</v>
      </c>
      <c r="H731" s="14" t="s">
        <v>5888</v>
      </c>
      <c r="I731" s="14"/>
      <c r="J731" s="14" t="s">
        <v>638</v>
      </c>
      <c r="K731" s="14" t="s">
        <v>67</v>
      </c>
      <c r="L731" s="14" t="s">
        <v>5889</v>
      </c>
      <c r="M731" s="14" t="s">
        <v>5890</v>
      </c>
      <c r="N731" s="14" t="s">
        <v>70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2" t="n">
        <f aca="false">AB731*(1+$L$3)</f>
        <v>0</v>
      </c>
      <c r="AD731" s="20"/>
      <c r="AE731" s="23" t="n">
        <f aca="false">AC731-AD731</f>
        <v>0</v>
      </c>
      <c r="AF731" s="21" t="str">
        <f aca="false">IFERROR(AD731/AC731,"")</f>
        <v/>
      </c>
    </row>
    <row r="732" customFormat="false" ht="15" hidden="false" customHeight="true" outlineLevel="0" collapsed="false">
      <c r="A732" s="14" t="n">
        <v>654757</v>
      </c>
      <c r="B732" s="14" t="n">
        <v>495909</v>
      </c>
      <c r="C732" s="14" t="s">
        <v>5891</v>
      </c>
      <c r="D732" s="14" t="s">
        <v>5892</v>
      </c>
      <c r="E732" s="14" t="s">
        <v>5893</v>
      </c>
      <c r="F732" s="14" t="s">
        <v>5894</v>
      </c>
      <c r="G732" s="14" t="s">
        <v>5895</v>
      </c>
      <c r="H732" s="14" t="s">
        <v>5896</v>
      </c>
      <c r="I732" s="14"/>
      <c r="J732" s="14" t="s">
        <v>5897</v>
      </c>
      <c r="K732" s="14" t="s">
        <v>307</v>
      </c>
      <c r="L732" s="14" t="s">
        <v>5898</v>
      </c>
      <c r="M732" s="14" t="s">
        <v>5899</v>
      </c>
      <c r="N732" s="14" t="s">
        <v>70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2" t="n">
        <f aca="false">AB732*(1+$L$3)</f>
        <v>0</v>
      </c>
      <c r="AD732" s="20"/>
      <c r="AE732" s="23" t="n">
        <f aca="false">AC732-AD732</f>
        <v>0</v>
      </c>
      <c r="AF732" s="21" t="str">
        <f aca="false">IFERROR(AD732/AC732,"")</f>
        <v/>
      </c>
    </row>
    <row r="733" customFormat="false" ht="15" hidden="false" customHeight="true" outlineLevel="0" collapsed="false">
      <c r="A733" s="14" t="n">
        <v>654758</v>
      </c>
      <c r="B733" s="14" t="n">
        <v>495910</v>
      </c>
      <c r="C733" s="14" t="s">
        <v>5900</v>
      </c>
      <c r="D733" s="14" t="s">
        <v>5901</v>
      </c>
      <c r="E733" s="14" t="s">
        <v>5902</v>
      </c>
      <c r="F733" s="14" t="s">
        <v>5903</v>
      </c>
      <c r="G733" s="14" t="s">
        <v>5904</v>
      </c>
      <c r="H733" s="14" t="s">
        <v>5905</v>
      </c>
      <c r="I733" s="14"/>
      <c r="J733" s="14" t="s">
        <v>664</v>
      </c>
      <c r="K733" s="14" t="s">
        <v>604</v>
      </c>
      <c r="L733" s="14" t="s">
        <v>5906</v>
      </c>
      <c r="M733" s="14" t="s">
        <v>5907</v>
      </c>
      <c r="N733" s="14" t="s">
        <v>70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2" t="n">
        <f aca="false">AB733*(1+$L$3)</f>
        <v>0</v>
      </c>
      <c r="AD733" s="20"/>
      <c r="AE733" s="23" t="n">
        <f aca="false">AC733-AD733</f>
        <v>0</v>
      </c>
      <c r="AF733" s="21" t="str">
        <f aca="false">IFERROR(AD733/AC733,"")</f>
        <v/>
      </c>
    </row>
    <row r="734" customFormat="false" ht="15" hidden="false" customHeight="true" outlineLevel="0" collapsed="false">
      <c r="A734" s="14" t="n">
        <v>654751</v>
      </c>
      <c r="B734" s="14" t="n">
        <v>495903</v>
      </c>
      <c r="C734" s="14" t="s">
        <v>5908</v>
      </c>
      <c r="D734" s="14" t="s">
        <v>5892</v>
      </c>
      <c r="E734" s="14" t="s">
        <v>5893</v>
      </c>
      <c r="F734" s="14" t="s">
        <v>5909</v>
      </c>
      <c r="G734" s="14" t="s">
        <v>5895</v>
      </c>
      <c r="H734" s="14" t="s">
        <v>5910</v>
      </c>
      <c r="I734" s="14" t="s">
        <v>276</v>
      </c>
      <c r="J734" s="14" t="s">
        <v>5911</v>
      </c>
      <c r="K734" s="14" t="s">
        <v>307</v>
      </c>
      <c r="L734" s="14" t="s">
        <v>5912</v>
      </c>
      <c r="M734" s="14" t="s">
        <v>5899</v>
      </c>
      <c r="N734" s="14" t="s">
        <v>70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2" t="n">
        <f aca="false">AB734*(1+$L$3)</f>
        <v>0</v>
      </c>
      <c r="AD734" s="20"/>
      <c r="AE734" s="23" t="n">
        <f aca="false">AC734-AD734</f>
        <v>0</v>
      </c>
      <c r="AF734" s="21" t="str">
        <f aca="false">IFERROR(AD734/AC734,"")</f>
        <v/>
      </c>
    </row>
    <row r="735" customFormat="false" ht="15" hidden="false" customHeight="true" outlineLevel="0" collapsed="false">
      <c r="A735" s="14" t="n">
        <v>654743</v>
      </c>
      <c r="B735" s="14" t="n">
        <v>495895</v>
      </c>
      <c r="C735" s="14" t="s">
        <v>5913</v>
      </c>
      <c r="D735" s="14" t="s">
        <v>5914</v>
      </c>
      <c r="E735" s="14" t="s">
        <v>5915</v>
      </c>
      <c r="F735" s="14" t="s">
        <v>5916</v>
      </c>
      <c r="G735" s="14" t="s">
        <v>5917</v>
      </c>
      <c r="H735" s="14" t="s">
        <v>5918</v>
      </c>
      <c r="I735" s="14"/>
      <c r="J735" s="14" t="s">
        <v>664</v>
      </c>
      <c r="K735" s="14" t="s">
        <v>604</v>
      </c>
      <c r="L735" s="14" t="s">
        <v>2726</v>
      </c>
      <c r="M735" s="14" t="s">
        <v>5919</v>
      </c>
      <c r="N735" s="14" t="s">
        <v>70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2" t="n">
        <f aca="false">AB735*(1+$L$3)</f>
        <v>0</v>
      </c>
      <c r="AD735" s="20"/>
      <c r="AE735" s="23" t="n">
        <f aca="false">AC735-AD735</f>
        <v>0</v>
      </c>
      <c r="AF735" s="21" t="str">
        <f aca="false">IFERROR(AD735/AC735,"")</f>
        <v/>
      </c>
    </row>
    <row r="736" customFormat="false" ht="15" hidden="false" customHeight="true" outlineLevel="0" collapsed="false">
      <c r="A736" s="14" t="n">
        <v>654664</v>
      </c>
      <c r="B736" s="14" t="n">
        <v>495816</v>
      </c>
      <c r="C736" s="14" t="s">
        <v>5920</v>
      </c>
      <c r="D736" s="14" t="s">
        <v>435</v>
      </c>
      <c r="E736" s="14" t="s">
        <v>5921</v>
      </c>
      <c r="F736" s="14" t="s">
        <v>5857</v>
      </c>
      <c r="G736" s="14" t="s">
        <v>438</v>
      </c>
      <c r="H736" s="14" t="s">
        <v>5922</v>
      </c>
      <c r="I736" s="14"/>
      <c r="J736" s="14" t="s">
        <v>440</v>
      </c>
      <c r="K736" s="14" t="s">
        <v>307</v>
      </c>
      <c r="L736" s="14" t="s">
        <v>441</v>
      </c>
      <c r="M736" s="14" t="s">
        <v>442</v>
      </c>
      <c r="N736" s="14" t="s">
        <v>70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2" t="n">
        <f aca="false">AB736*(1+$L$3)</f>
        <v>0</v>
      </c>
      <c r="AD736" s="20"/>
      <c r="AE736" s="23" t="n">
        <f aca="false">AC736-AD736</f>
        <v>0</v>
      </c>
      <c r="AF736" s="21" t="str">
        <f aca="false">IFERROR(AD736/AC736,"")</f>
        <v/>
      </c>
    </row>
    <row r="737" customFormat="false" ht="15" hidden="false" customHeight="true" outlineLevel="0" collapsed="false">
      <c r="A737" s="14" t="n">
        <v>654658</v>
      </c>
      <c r="B737" s="14" t="n">
        <v>495810</v>
      </c>
      <c r="C737" s="14" t="s">
        <v>5923</v>
      </c>
      <c r="D737" s="14" t="s">
        <v>5924</v>
      </c>
      <c r="E737" s="14" t="s">
        <v>5925</v>
      </c>
      <c r="F737" s="14" t="s">
        <v>5926</v>
      </c>
      <c r="G737" s="14" t="s">
        <v>5927</v>
      </c>
      <c r="H737" s="14" t="s">
        <v>5928</v>
      </c>
      <c r="I737" s="14" t="s">
        <v>2407</v>
      </c>
      <c r="J737" s="14" t="s">
        <v>5897</v>
      </c>
      <c r="K737" s="14" t="s">
        <v>307</v>
      </c>
      <c r="L737" s="14" t="s">
        <v>5898</v>
      </c>
      <c r="M737" s="14" t="s">
        <v>5929</v>
      </c>
      <c r="N737" s="14" t="s">
        <v>70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2" t="n">
        <f aca="false">AB737*(1+$L$3)</f>
        <v>0</v>
      </c>
      <c r="AD737" s="20"/>
      <c r="AE737" s="23" t="n">
        <f aca="false">AC737-AD737</f>
        <v>0</v>
      </c>
      <c r="AF737" s="21" t="str">
        <f aca="false">IFERROR(AD737/AC737,"")</f>
        <v/>
      </c>
    </row>
    <row r="738" customFormat="false" ht="15" hidden="false" customHeight="true" outlineLevel="0" collapsed="false">
      <c r="A738" s="14" t="n">
        <v>654657</v>
      </c>
      <c r="B738" s="14" t="n">
        <v>495809</v>
      </c>
      <c r="C738" s="14" t="s">
        <v>5930</v>
      </c>
      <c r="D738" s="14" t="s">
        <v>5931</v>
      </c>
      <c r="E738" s="14" t="s">
        <v>5932</v>
      </c>
      <c r="F738" s="14" t="s">
        <v>5933</v>
      </c>
      <c r="G738" s="14" t="s">
        <v>4799</v>
      </c>
      <c r="H738" s="14" t="s">
        <v>5934</v>
      </c>
      <c r="I738" s="14"/>
      <c r="J738" s="14" t="s">
        <v>489</v>
      </c>
      <c r="K738" s="14" t="s">
        <v>307</v>
      </c>
      <c r="L738" s="14" t="s">
        <v>4801</v>
      </c>
      <c r="M738" s="14" t="s">
        <v>5935</v>
      </c>
      <c r="N738" s="14" t="s">
        <v>70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2" t="n">
        <f aca="false">AB738*(1+$L$3)</f>
        <v>0</v>
      </c>
      <c r="AD738" s="20"/>
      <c r="AE738" s="23" t="n">
        <f aca="false">AC738-AD738</f>
        <v>0</v>
      </c>
      <c r="AF738" s="21" t="str">
        <f aca="false">IFERROR(AD738/AC738,"")</f>
        <v/>
      </c>
    </row>
    <row r="739" customFormat="false" ht="15" hidden="false" customHeight="true" outlineLevel="0" collapsed="false">
      <c r="A739" s="14" t="n">
        <v>654599</v>
      </c>
      <c r="B739" s="14" t="n">
        <v>495753</v>
      </c>
      <c r="C739" s="14" t="s">
        <v>5936</v>
      </c>
      <c r="D739" s="14" t="s">
        <v>5937</v>
      </c>
      <c r="E739" s="14" t="s">
        <v>5938</v>
      </c>
      <c r="F739" s="14" t="s">
        <v>5939</v>
      </c>
      <c r="G739" s="14" t="s">
        <v>5940</v>
      </c>
      <c r="H739" s="14" t="s">
        <v>5941</v>
      </c>
      <c r="I739" s="14"/>
      <c r="J739" s="14" t="s">
        <v>5942</v>
      </c>
      <c r="K739" s="14" t="s">
        <v>709</v>
      </c>
      <c r="L739" s="14" t="s">
        <v>5943</v>
      </c>
      <c r="M739" s="14" t="s">
        <v>5944</v>
      </c>
      <c r="N739" s="14" t="s">
        <v>70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2" t="n">
        <f aca="false">AB739*(1+$L$3)</f>
        <v>0</v>
      </c>
      <c r="AD739" s="20"/>
      <c r="AE739" s="23" t="n">
        <f aca="false">AC739-AD739</f>
        <v>0</v>
      </c>
      <c r="AF739" s="21" t="str">
        <f aca="false">IFERROR(AD739/AC739,"")</f>
        <v/>
      </c>
    </row>
    <row r="740" customFormat="false" ht="15" hidden="false" customHeight="true" outlineLevel="0" collapsed="false">
      <c r="A740" s="14" t="n">
        <v>607193</v>
      </c>
      <c r="B740" s="14" t="n">
        <v>456785</v>
      </c>
      <c r="C740" s="14" t="s">
        <v>5945</v>
      </c>
      <c r="D740" s="14" t="s">
        <v>5946</v>
      </c>
      <c r="E740" s="14" t="s">
        <v>5947</v>
      </c>
      <c r="F740" s="14" t="s">
        <v>5948</v>
      </c>
      <c r="G740" s="14" t="s">
        <v>5949</v>
      </c>
      <c r="H740" s="14" t="s">
        <v>5950</v>
      </c>
      <c r="I740" s="14"/>
      <c r="J740" s="14" t="s">
        <v>1704</v>
      </c>
      <c r="K740" s="14" t="s">
        <v>48</v>
      </c>
      <c r="L740" s="14" t="s">
        <v>5951</v>
      </c>
      <c r="M740" s="14" t="s">
        <v>5952</v>
      </c>
      <c r="N740" s="14" t="s">
        <v>70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2" t="n">
        <f aca="false">AB740*(1+$L$3)</f>
        <v>0</v>
      </c>
      <c r="AD740" s="20"/>
      <c r="AE740" s="23" t="n">
        <f aca="false">AC740-AD740</f>
        <v>0</v>
      </c>
      <c r="AF740" s="21" t="str">
        <f aca="false">IFERROR(AD740/AC740,"")</f>
        <v/>
      </c>
    </row>
    <row r="741" customFormat="false" ht="15" hidden="false" customHeight="true" outlineLevel="0" collapsed="false">
      <c r="A741" s="14" t="n">
        <v>654422</v>
      </c>
      <c r="B741" s="14" t="n">
        <v>495575</v>
      </c>
      <c r="C741" s="14" t="s">
        <v>5953</v>
      </c>
      <c r="D741" s="14" t="s">
        <v>5954</v>
      </c>
      <c r="E741" s="14" t="s">
        <v>5955</v>
      </c>
      <c r="F741" s="14" t="s">
        <v>5956</v>
      </c>
      <c r="G741" s="14" t="s">
        <v>5957</v>
      </c>
      <c r="H741" s="14" t="s">
        <v>5958</v>
      </c>
      <c r="I741" s="14"/>
      <c r="J741" s="14" t="s">
        <v>5959</v>
      </c>
      <c r="K741" s="14" t="s">
        <v>557</v>
      </c>
      <c r="L741" s="14" t="s">
        <v>5960</v>
      </c>
      <c r="M741" s="14" t="s">
        <v>5961</v>
      </c>
      <c r="N741" s="14" t="s">
        <v>70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2" t="n">
        <f aca="false">AB741*(1+$L$3)</f>
        <v>0</v>
      </c>
      <c r="AD741" s="20"/>
      <c r="AE741" s="23" t="n">
        <f aca="false">AC741-AD741</f>
        <v>0</v>
      </c>
      <c r="AF741" s="21" t="str">
        <f aca="false">IFERROR(AD741/AC741,"")</f>
        <v/>
      </c>
    </row>
    <row r="742" customFormat="false" ht="15" hidden="false" customHeight="true" outlineLevel="0" collapsed="false">
      <c r="A742" s="14" t="n">
        <v>654267</v>
      </c>
      <c r="B742" s="14" t="n">
        <v>495419</v>
      </c>
      <c r="C742" s="14" t="s">
        <v>5962</v>
      </c>
      <c r="D742" s="14" t="s">
        <v>5963</v>
      </c>
      <c r="E742" s="14" t="s">
        <v>5964</v>
      </c>
      <c r="F742" s="14" t="s">
        <v>5965</v>
      </c>
      <c r="G742" s="14" t="s">
        <v>5966</v>
      </c>
      <c r="H742" s="14" t="s">
        <v>5967</v>
      </c>
      <c r="I742" s="14"/>
      <c r="J742" s="14" t="s">
        <v>5968</v>
      </c>
      <c r="K742" s="14" t="s">
        <v>2297</v>
      </c>
      <c r="L742" s="14" t="s">
        <v>5969</v>
      </c>
      <c r="M742" s="14" t="s">
        <v>5970</v>
      </c>
      <c r="N742" s="14" t="s">
        <v>70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2" t="n">
        <f aca="false">AB742*(1+$L$3)</f>
        <v>0</v>
      </c>
      <c r="AD742" s="20"/>
      <c r="AE742" s="23" t="n">
        <f aca="false">AC742-AD742</f>
        <v>0</v>
      </c>
      <c r="AF742" s="21" t="str">
        <f aca="false">IFERROR(AD742/AC742,"")</f>
        <v/>
      </c>
    </row>
    <row r="743" customFormat="false" ht="15" hidden="false" customHeight="true" outlineLevel="0" collapsed="false">
      <c r="A743" s="14" t="n">
        <v>654279</v>
      </c>
      <c r="B743" s="14" t="n">
        <v>495431</v>
      </c>
      <c r="C743" s="14" t="s">
        <v>5971</v>
      </c>
      <c r="D743" s="14" t="s">
        <v>5972</v>
      </c>
      <c r="E743" s="14" t="s">
        <v>5973</v>
      </c>
      <c r="F743" s="14" t="s">
        <v>5974</v>
      </c>
      <c r="G743" s="14" t="s">
        <v>5975</v>
      </c>
      <c r="H743" s="14" t="s">
        <v>5976</v>
      </c>
      <c r="I743" s="14"/>
      <c r="J743" s="14" t="s">
        <v>2953</v>
      </c>
      <c r="K743" s="14" t="s">
        <v>67</v>
      </c>
      <c r="L743" s="14" t="s">
        <v>2954</v>
      </c>
      <c r="M743" s="14" t="s">
        <v>5977</v>
      </c>
      <c r="N743" s="14" t="s">
        <v>70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2" t="n">
        <f aca="false">AB743*(1+$L$3)</f>
        <v>0</v>
      </c>
      <c r="AD743" s="20"/>
      <c r="AE743" s="23" t="n">
        <f aca="false">AC743-AD743</f>
        <v>0</v>
      </c>
      <c r="AF743" s="21" t="str">
        <f aca="false">IFERROR(AD743/AC743,"")</f>
        <v/>
      </c>
    </row>
    <row r="744" customFormat="false" ht="15" hidden="false" customHeight="true" outlineLevel="0" collapsed="false">
      <c r="A744" s="14" t="n">
        <v>654257</v>
      </c>
      <c r="B744" s="14" t="n">
        <v>495409</v>
      </c>
      <c r="C744" s="14" t="s">
        <v>5978</v>
      </c>
      <c r="D744" s="14" t="s">
        <v>5979</v>
      </c>
      <c r="E744" s="14" t="s">
        <v>1269</v>
      </c>
      <c r="F744" s="14" t="s">
        <v>5980</v>
      </c>
      <c r="G744" s="14" t="s">
        <v>1271</v>
      </c>
      <c r="H744" s="14" t="s">
        <v>5981</v>
      </c>
      <c r="I744" s="14"/>
      <c r="J744" s="14" t="s">
        <v>638</v>
      </c>
      <c r="K744" s="14" t="s">
        <v>67</v>
      </c>
      <c r="L744" s="14" t="s">
        <v>3020</v>
      </c>
      <c r="M744" s="14" t="s">
        <v>1274</v>
      </c>
      <c r="N744" s="14" t="s">
        <v>70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2" t="n">
        <f aca="false">AB744*(1+$L$3)</f>
        <v>0</v>
      </c>
      <c r="AD744" s="20"/>
      <c r="AE744" s="23" t="n">
        <f aca="false">AC744-AD744</f>
        <v>0</v>
      </c>
      <c r="AF744" s="21" t="str">
        <f aca="false">IFERROR(AD744/AC744,"")</f>
        <v/>
      </c>
    </row>
    <row r="745" customFormat="false" ht="15" hidden="false" customHeight="true" outlineLevel="0" collapsed="false">
      <c r="A745" s="14" t="n">
        <v>652977</v>
      </c>
      <c r="B745" s="14" t="n">
        <v>494127</v>
      </c>
      <c r="C745" s="14" t="s">
        <v>5982</v>
      </c>
      <c r="D745" s="14" t="s">
        <v>5983</v>
      </c>
      <c r="E745" s="14" t="s">
        <v>5984</v>
      </c>
      <c r="F745" s="14" t="s">
        <v>5985</v>
      </c>
      <c r="G745" s="14" t="s">
        <v>5986</v>
      </c>
      <c r="H745" s="14" t="s">
        <v>5987</v>
      </c>
      <c r="I745" s="14" t="s">
        <v>5988</v>
      </c>
      <c r="J745" s="14" t="s">
        <v>1215</v>
      </c>
      <c r="K745" s="14" t="s">
        <v>67</v>
      </c>
      <c r="L745" s="14" t="s">
        <v>5989</v>
      </c>
      <c r="M745" s="14" t="s">
        <v>5990</v>
      </c>
      <c r="N745" s="14" t="s">
        <v>70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2" t="n">
        <f aca="false">AB745*(1+$L$3)</f>
        <v>0</v>
      </c>
      <c r="AD745" s="20"/>
      <c r="AE745" s="23" t="n">
        <f aca="false">AC745-AD745</f>
        <v>0</v>
      </c>
      <c r="AF745" s="21" t="str">
        <f aca="false">IFERROR(AD745/AC745,"")</f>
        <v/>
      </c>
    </row>
    <row r="746" customFormat="false" ht="15" hidden="false" customHeight="true" outlineLevel="0" collapsed="false">
      <c r="A746" s="14" t="n">
        <v>652950</v>
      </c>
      <c r="B746" s="14" t="n">
        <v>494099</v>
      </c>
      <c r="C746" s="14" t="s">
        <v>5991</v>
      </c>
      <c r="D746" s="14" t="s">
        <v>5992</v>
      </c>
      <c r="E746" s="14" t="s">
        <v>5993</v>
      </c>
      <c r="F746" s="14" t="s">
        <v>5994</v>
      </c>
      <c r="G746" s="14" t="s">
        <v>5995</v>
      </c>
      <c r="H746" s="14" t="s">
        <v>5996</v>
      </c>
      <c r="I746" s="14"/>
      <c r="J746" s="14" t="s">
        <v>1714</v>
      </c>
      <c r="K746" s="14" t="s">
        <v>1715</v>
      </c>
      <c r="L746" s="14" t="s">
        <v>5997</v>
      </c>
      <c r="M746" s="14" t="s">
        <v>5998</v>
      </c>
      <c r="N746" s="14" t="s">
        <v>70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2" t="n">
        <f aca="false">AB746*(1+$L$3)</f>
        <v>0</v>
      </c>
      <c r="AD746" s="20"/>
      <c r="AE746" s="23" t="n">
        <f aca="false">AC746-AD746</f>
        <v>0</v>
      </c>
      <c r="AF746" s="21" t="str">
        <f aca="false">IFERROR(AD746/AC746,"")</f>
        <v/>
      </c>
    </row>
    <row r="747" customFormat="false" ht="15" hidden="false" customHeight="true" outlineLevel="0" collapsed="false">
      <c r="A747" s="14" t="n">
        <v>652924</v>
      </c>
      <c r="B747" s="14" t="n">
        <v>494073</v>
      </c>
      <c r="C747" s="14" t="s">
        <v>5999</v>
      </c>
      <c r="D747" s="14" t="s">
        <v>6000</v>
      </c>
      <c r="E747" s="14" t="s">
        <v>6001</v>
      </c>
      <c r="F747" s="14" t="s">
        <v>6002</v>
      </c>
      <c r="G747" s="14" t="s">
        <v>6003</v>
      </c>
      <c r="H747" s="14" t="s">
        <v>6004</v>
      </c>
      <c r="I747" s="14"/>
      <c r="J747" s="14" t="s">
        <v>638</v>
      </c>
      <c r="K747" s="14" t="s">
        <v>67</v>
      </c>
      <c r="L747" s="14" t="s">
        <v>6005</v>
      </c>
      <c r="M747" s="14" t="s">
        <v>6006</v>
      </c>
      <c r="N747" s="14" t="s">
        <v>70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2" t="n">
        <f aca="false">AB747*(1+$L$3)</f>
        <v>0</v>
      </c>
      <c r="AD747" s="20"/>
      <c r="AE747" s="23" t="n">
        <f aca="false">AC747-AD747</f>
        <v>0</v>
      </c>
      <c r="AF747" s="21" t="str">
        <f aca="false">IFERROR(AD747/AC747,"")</f>
        <v/>
      </c>
    </row>
    <row r="748" customFormat="false" ht="15" hidden="false" customHeight="true" outlineLevel="0" collapsed="false">
      <c r="A748" s="14"/>
      <c r="B748" s="14"/>
      <c r="C748" s="14" t="s">
        <v>6007</v>
      </c>
      <c r="D748" s="14" t="s">
        <v>6008</v>
      </c>
      <c r="E748" s="14" t="s">
        <v>6009</v>
      </c>
      <c r="F748" s="14"/>
      <c r="G748" s="14"/>
      <c r="H748" s="14" t="s">
        <v>6010</v>
      </c>
      <c r="I748" s="14"/>
      <c r="J748" s="14" t="s">
        <v>6011</v>
      </c>
      <c r="K748" s="14" t="s">
        <v>2316</v>
      </c>
      <c r="L748" s="14" t="s">
        <v>6012</v>
      </c>
      <c r="M748" s="14" t="s">
        <v>3752</v>
      </c>
      <c r="N748" s="14" t="s">
        <v>70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2" t="n">
        <f aca="false">AB748*(1+$L$3)</f>
        <v>0</v>
      </c>
      <c r="AD748" s="20"/>
      <c r="AE748" s="23" t="n">
        <f aca="false">AC748-AD748</f>
        <v>0</v>
      </c>
      <c r="AF748" s="21" t="str">
        <f aca="false">IFERROR(AD748/AC748,"")</f>
        <v/>
      </c>
    </row>
    <row r="749" customFormat="false" ht="15" hidden="false" customHeight="true" outlineLevel="0" collapsed="false">
      <c r="A749" s="14" t="n">
        <v>652695</v>
      </c>
      <c r="B749" s="14" t="n">
        <v>493845</v>
      </c>
      <c r="C749" s="14" t="s">
        <v>6013</v>
      </c>
      <c r="D749" s="14" t="s">
        <v>6014</v>
      </c>
      <c r="E749" s="14" t="s">
        <v>1757</v>
      </c>
      <c r="F749" s="14" t="s">
        <v>1758</v>
      </c>
      <c r="G749" s="14" t="s">
        <v>1759</v>
      </c>
      <c r="H749" s="14" t="s">
        <v>6015</v>
      </c>
      <c r="I749" s="14"/>
      <c r="J749" s="14" t="s">
        <v>6016</v>
      </c>
      <c r="K749" s="14" t="s">
        <v>604</v>
      </c>
      <c r="L749" s="14" t="s">
        <v>6017</v>
      </c>
      <c r="M749" s="14" t="s">
        <v>6018</v>
      </c>
      <c r="N749" s="14" t="s">
        <v>70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2" t="n">
        <f aca="false">AB749*(1+$L$3)</f>
        <v>0</v>
      </c>
      <c r="AD749" s="20"/>
      <c r="AE749" s="23" t="n">
        <f aca="false">AC749-AD749</f>
        <v>0</v>
      </c>
      <c r="AF749" s="21" t="str">
        <f aca="false">IFERROR(AD749/AC749,"")</f>
        <v/>
      </c>
    </row>
    <row r="750" customFormat="false" ht="15" hidden="false" customHeight="true" outlineLevel="0" collapsed="false">
      <c r="A750" s="14" t="n">
        <v>652732</v>
      </c>
      <c r="B750" s="14" t="n">
        <v>493882</v>
      </c>
      <c r="C750" s="14" t="s">
        <v>6019</v>
      </c>
      <c r="D750" s="14" t="s">
        <v>6020</v>
      </c>
      <c r="E750" s="14" t="s">
        <v>6021</v>
      </c>
      <c r="F750" s="14" t="s">
        <v>6022</v>
      </c>
      <c r="G750" s="14" t="s">
        <v>6023</v>
      </c>
      <c r="H750" s="14" t="s">
        <v>6024</v>
      </c>
      <c r="I750" s="14"/>
      <c r="J750" s="14" t="s">
        <v>6025</v>
      </c>
      <c r="K750" s="14" t="s">
        <v>2316</v>
      </c>
      <c r="L750" s="14" t="s">
        <v>6026</v>
      </c>
      <c r="M750" s="14" t="s">
        <v>6027</v>
      </c>
      <c r="N750" s="14" t="s">
        <v>70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2" t="n">
        <f aca="false">AB750*(1+$L$3)</f>
        <v>0</v>
      </c>
      <c r="AD750" s="20"/>
      <c r="AE750" s="23" t="n">
        <f aca="false">AC750-AD750</f>
        <v>0</v>
      </c>
      <c r="AF750" s="21" t="str">
        <f aca="false">IFERROR(AD750/AC750,"")</f>
        <v/>
      </c>
    </row>
    <row r="751" customFormat="false" ht="15" hidden="false" customHeight="true" outlineLevel="0" collapsed="false">
      <c r="A751" s="14" t="n">
        <v>652733</v>
      </c>
      <c r="B751" s="14" t="n">
        <v>493883</v>
      </c>
      <c r="C751" s="14" t="s">
        <v>6028</v>
      </c>
      <c r="D751" s="14" t="s">
        <v>6029</v>
      </c>
      <c r="E751" s="14" t="s">
        <v>6030</v>
      </c>
      <c r="F751" s="14" t="s">
        <v>6031</v>
      </c>
      <c r="G751" s="14" t="s">
        <v>6032</v>
      </c>
      <c r="H751" s="14" t="s">
        <v>6033</v>
      </c>
      <c r="I751" s="14"/>
      <c r="J751" s="14" t="s">
        <v>566</v>
      </c>
      <c r="K751" s="14" t="s">
        <v>48</v>
      </c>
      <c r="L751" s="14" t="s">
        <v>1432</v>
      </c>
      <c r="M751" s="14" t="s">
        <v>6034</v>
      </c>
      <c r="N751" s="14" t="s">
        <v>70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2" t="n">
        <f aca="false">AB751*(1+$L$3)</f>
        <v>0</v>
      </c>
      <c r="AD751" s="20"/>
      <c r="AE751" s="23" t="n">
        <f aca="false">AC751-AD751</f>
        <v>0</v>
      </c>
      <c r="AF751" s="21" t="str">
        <f aca="false">IFERROR(AD751/AC751,"")</f>
        <v/>
      </c>
    </row>
    <row r="752" customFormat="false" ht="15" hidden="false" customHeight="true" outlineLevel="0" collapsed="false">
      <c r="A752" s="14" t="n">
        <v>630806</v>
      </c>
      <c r="B752" s="14" t="n">
        <v>477273</v>
      </c>
      <c r="C752" s="14" t="s">
        <v>6035</v>
      </c>
      <c r="D752" s="14" t="s">
        <v>6036</v>
      </c>
      <c r="E752" s="14" t="s">
        <v>6037</v>
      </c>
      <c r="F752" s="14" t="s">
        <v>6038</v>
      </c>
      <c r="G752" s="14" t="s">
        <v>6039</v>
      </c>
      <c r="H752" s="14" t="s">
        <v>6040</v>
      </c>
      <c r="I752" s="14"/>
      <c r="J752" s="14" t="s">
        <v>566</v>
      </c>
      <c r="K752" s="14" t="s">
        <v>48</v>
      </c>
      <c r="L752" s="14" t="s">
        <v>1432</v>
      </c>
      <c r="M752" s="14" t="s">
        <v>6041</v>
      </c>
      <c r="N752" s="14" t="s">
        <v>70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2" t="n">
        <f aca="false">AB752*(1+$L$3)</f>
        <v>0</v>
      </c>
      <c r="AD752" s="20"/>
      <c r="AE752" s="23" t="n">
        <f aca="false">AC752-AD752</f>
        <v>0</v>
      </c>
      <c r="AF752" s="21" t="str">
        <f aca="false">IFERROR(AD752/AC752,"")</f>
        <v/>
      </c>
    </row>
    <row r="753" customFormat="false" ht="15" hidden="false" customHeight="true" outlineLevel="0" collapsed="false">
      <c r="A753" s="14" t="n">
        <v>652706</v>
      </c>
      <c r="B753" s="14" t="n">
        <v>493856</v>
      </c>
      <c r="C753" s="14" t="s">
        <v>6042</v>
      </c>
      <c r="D753" s="14" t="s">
        <v>6043</v>
      </c>
      <c r="E753" s="14" t="s">
        <v>6044</v>
      </c>
      <c r="F753" s="14" t="s">
        <v>6045</v>
      </c>
      <c r="G753" s="14" t="s">
        <v>6046</v>
      </c>
      <c r="H753" s="14" t="s">
        <v>6047</v>
      </c>
      <c r="I753" s="14" t="s">
        <v>793</v>
      </c>
      <c r="J753" s="14" t="s">
        <v>6048</v>
      </c>
      <c r="K753" s="14" t="s">
        <v>709</v>
      </c>
      <c r="L753" s="14" t="s">
        <v>6049</v>
      </c>
      <c r="M753" s="14" t="s">
        <v>6050</v>
      </c>
      <c r="N753" s="14" t="s">
        <v>70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2" t="n">
        <f aca="false">AB753*(1+$L$3)</f>
        <v>0</v>
      </c>
      <c r="AD753" s="20"/>
      <c r="AE753" s="23" t="n">
        <f aca="false">AC753-AD753</f>
        <v>0</v>
      </c>
      <c r="AF753" s="21" t="str">
        <f aca="false">IFERROR(AD753/AC753,"")</f>
        <v/>
      </c>
    </row>
    <row r="754" customFormat="false" ht="15" hidden="false" customHeight="true" outlineLevel="0" collapsed="false">
      <c r="A754" s="14" t="n">
        <v>652683</v>
      </c>
      <c r="B754" s="14" t="n">
        <v>493833</v>
      </c>
      <c r="C754" s="14" t="s">
        <v>6051</v>
      </c>
      <c r="D754" s="14" t="s">
        <v>6052</v>
      </c>
      <c r="E754" s="14" t="s">
        <v>6053</v>
      </c>
      <c r="F754" s="14" t="s">
        <v>6054</v>
      </c>
      <c r="G754" s="14" t="s">
        <v>6055</v>
      </c>
      <c r="H754" s="14" t="s">
        <v>6056</v>
      </c>
      <c r="I754" s="14"/>
      <c r="J754" s="14" t="s">
        <v>2985</v>
      </c>
      <c r="K754" s="14" t="s">
        <v>2986</v>
      </c>
      <c r="L754" s="14" t="s">
        <v>6057</v>
      </c>
      <c r="M754" s="14" t="s">
        <v>6058</v>
      </c>
      <c r="N754" s="14" t="s">
        <v>70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/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2" t="n">
        <f aca="false">AB754*(1+$L$3)</f>
        <v>0</v>
      </c>
      <c r="AD754" s="20"/>
      <c r="AE754" s="23" t="n">
        <f aca="false">AC754-AD754</f>
        <v>0</v>
      </c>
      <c r="AF754" s="21" t="str">
        <f aca="false">IFERROR(AD754/AC754,"")</f>
        <v/>
      </c>
    </row>
    <row r="755" customFormat="false" ht="15" hidden="false" customHeight="true" outlineLevel="0" collapsed="false">
      <c r="A755" s="14" t="n">
        <v>652686</v>
      </c>
      <c r="B755" s="14" t="n">
        <v>493835</v>
      </c>
      <c r="C755" s="14" t="s">
        <v>6059</v>
      </c>
      <c r="D755" s="14" t="s">
        <v>6060</v>
      </c>
      <c r="E755" s="14" t="s">
        <v>1757</v>
      </c>
      <c r="F755" s="14" t="s">
        <v>6061</v>
      </c>
      <c r="G755" s="14" t="s">
        <v>1759</v>
      </c>
      <c r="H755" s="14" t="s">
        <v>6062</v>
      </c>
      <c r="I755" s="14"/>
      <c r="J755" s="14" t="s">
        <v>6063</v>
      </c>
      <c r="K755" s="14" t="s">
        <v>604</v>
      </c>
      <c r="L755" s="14" t="s">
        <v>6064</v>
      </c>
      <c r="M755" s="14" t="s">
        <v>1763</v>
      </c>
      <c r="N755" s="14" t="s">
        <v>70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2" t="n">
        <f aca="false">AB755*(1+$L$3)</f>
        <v>0</v>
      </c>
      <c r="AD755" s="20"/>
      <c r="AE755" s="23" t="n">
        <f aca="false">AC755-AD755</f>
        <v>0</v>
      </c>
      <c r="AF755" s="21" t="str">
        <f aca="false">IFERROR(AD755/AC755,"")</f>
        <v/>
      </c>
    </row>
    <row r="756" customFormat="false" ht="15" hidden="false" customHeight="true" outlineLevel="0" collapsed="false">
      <c r="A756" s="14" t="n">
        <v>651097</v>
      </c>
      <c r="B756" s="14" t="n">
        <v>492353</v>
      </c>
      <c r="C756" s="14" t="s">
        <v>6065</v>
      </c>
      <c r="D756" s="14" t="s">
        <v>6066</v>
      </c>
      <c r="E756" s="14" t="s">
        <v>6067</v>
      </c>
      <c r="F756" s="14" t="s">
        <v>6068</v>
      </c>
      <c r="G756" s="14" t="s">
        <v>2033</v>
      </c>
      <c r="H756" s="14" t="s">
        <v>6069</v>
      </c>
      <c r="I756" s="14"/>
      <c r="J756" s="14" t="s">
        <v>1848</v>
      </c>
      <c r="K756" s="14" t="s">
        <v>1160</v>
      </c>
      <c r="L756" s="14" t="s">
        <v>6070</v>
      </c>
      <c r="M756" s="14" t="s">
        <v>2037</v>
      </c>
      <c r="N756" s="14" t="s">
        <v>70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2" t="n">
        <f aca="false">AB756*(1+$L$3)</f>
        <v>0</v>
      </c>
      <c r="AD756" s="20"/>
      <c r="AE756" s="23" t="n">
        <f aca="false">AC756-AD756</f>
        <v>0</v>
      </c>
      <c r="AF756" s="21" t="str">
        <f aca="false">IFERROR(AD756/AC756,"")</f>
        <v/>
      </c>
    </row>
    <row r="757" customFormat="false" ht="15" hidden="false" customHeight="true" outlineLevel="0" collapsed="false">
      <c r="A757" s="14" t="n">
        <v>652651</v>
      </c>
      <c r="B757" s="14" t="n">
        <v>493810</v>
      </c>
      <c r="C757" s="14" t="s">
        <v>6071</v>
      </c>
      <c r="D757" s="14" t="s">
        <v>6072</v>
      </c>
      <c r="E757" s="14" t="s">
        <v>6073</v>
      </c>
      <c r="F757" s="14" t="s">
        <v>6074</v>
      </c>
      <c r="G757" s="14" t="s">
        <v>6075</v>
      </c>
      <c r="H757" s="14" t="s">
        <v>6076</v>
      </c>
      <c r="I757" s="14"/>
      <c r="J757" s="14" t="s">
        <v>4831</v>
      </c>
      <c r="K757" s="14" t="s">
        <v>4832</v>
      </c>
      <c r="L757" s="14" t="s">
        <v>6077</v>
      </c>
      <c r="M757" s="14" t="s">
        <v>6078</v>
      </c>
      <c r="N757" s="14" t="s">
        <v>70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2" t="n">
        <f aca="false">AB757*(1+$L$3)</f>
        <v>0</v>
      </c>
      <c r="AD757" s="20"/>
      <c r="AE757" s="23" t="n">
        <f aca="false">AC757-AD757</f>
        <v>0</v>
      </c>
      <c r="AF757" s="21" t="str">
        <f aca="false">IFERROR(AD757/AC757,"")</f>
        <v/>
      </c>
    </row>
    <row r="758" customFormat="false" ht="15" hidden="false" customHeight="true" outlineLevel="0" collapsed="false">
      <c r="A758" s="14" t="n">
        <v>652540</v>
      </c>
      <c r="B758" s="14" t="n">
        <v>493698</v>
      </c>
      <c r="C758" s="14" t="s">
        <v>6079</v>
      </c>
      <c r="D758" s="14" t="s">
        <v>6080</v>
      </c>
      <c r="E758" s="14" t="s">
        <v>485</v>
      </c>
      <c r="F758" s="14" t="s">
        <v>5536</v>
      </c>
      <c r="G758" s="14" t="s">
        <v>487</v>
      </c>
      <c r="H758" s="14" t="s">
        <v>6081</v>
      </c>
      <c r="I758" s="14"/>
      <c r="J758" s="14" t="s">
        <v>6082</v>
      </c>
      <c r="K758" s="14" t="s">
        <v>307</v>
      </c>
      <c r="L758" s="14" t="s">
        <v>5543</v>
      </c>
      <c r="M758" s="14" t="s">
        <v>491</v>
      </c>
      <c r="N758" s="14" t="s">
        <v>70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2" t="n">
        <f aca="false">AB758*(1+$L$3)</f>
        <v>0</v>
      </c>
      <c r="AD758" s="20"/>
      <c r="AE758" s="23" t="n">
        <f aca="false">AC758-AD758</f>
        <v>0</v>
      </c>
      <c r="AF758" s="21" t="str">
        <f aca="false">IFERROR(AD758/AC758,"")</f>
        <v/>
      </c>
    </row>
    <row r="759" customFormat="false" ht="15" hidden="false" customHeight="true" outlineLevel="0" collapsed="false">
      <c r="A759" s="14" t="n">
        <v>652589</v>
      </c>
      <c r="B759" s="14" t="n">
        <v>493747</v>
      </c>
      <c r="C759" s="14" t="s">
        <v>6083</v>
      </c>
      <c r="D759" s="14" t="s">
        <v>6084</v>
      </c>
      <c r="E759" s="14" t="s">
        <v>6085</v>
      </c>
      <c r="F759" s="14" t="s">
        <v>6086</v>
      </c>
      <c r="G759" s="14" t="s">
        <v>6087</v>
      </c>
      <c r="H759" s="14" t="s">
        <v>6088</v>
      </c>
      <c r="I759" s="14"/>
      <c r="J759" s="14" t="s">
        <v>2193</v>
      </c>
      <c r="K759" s="14" t="s">
        <v>307</v>
      </c>
      <c r="L759" s="14" t="s">
        <v>2194</v>
      </c>
      <c r="M759" s="14" t="s">
        <v>6089</v>
      </c>
      <c r="N759" s="14" t="s">
        <v>70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2" t="n">
        <f aca="false">AB759*(1+$L$3)</f>
        <v>0</v>
      </c>
      <c r="AD759" s="20"/>
      <c r="AE759" s="23" t="n">
        <f aca="false">AC759-AD759</f>
        <v>0</v>
      </c>
      <c r="AF759" s="21" t="str">
        <f aca="false">IFERROR(AD759/AC759,"")</f>
        <v/>
      </c>
    </row>
    <row r="760" customFormat="false" ht="15" hidden="false" customHeight="true" outlineLevel="0" collapsed="false">
      <c r="A760" s="14" t="n">
        <v>652542</v>
      </c>
      <c r="B760" s="14" t="n">
        <v>493700</v>
      </c>
      <c r="C760" s="14" t="s">
        <v>6090</v>
      </c>
      <c r="D760" s="14" t="s">
        <v>6091</v>
      </c>
      <c r="E760" s="14" t="s">
        <v>6092</v>
      </c>
      <c r="F760" s="14" t="s">
        <v>6093</v>
      </c>
      <c r="G760" s="14" t="s">
        <v>6094</v>
      </c>
      <c r="H760" s="14" t="s">
        <v>6095</v>
      </c>
      <c r="I760" s="14" t="s">
        <v>793</v>
      </c>
      <c r="J760" s="14" t="s">
        <v>2985</v>
      </c>
      <c r="K760" s="14" t="s">
        <v>2986</v>
      </c>
      <c r="L760" s="14" t="s">
        <v>3261</v>
      </c>
      <c r="M760" s="14" t="s">
        <v>6096</v>
      </c>
      <c r="N760" s="14" t="s">
        <v>70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2" t="n">
        <f aca="false">AB760*(1+$L$3)</f>
        <v>0</v>
      </c>
      <c r="AD760" s="20"/>
      <c r="AE760" s="23" t="n">
        <f aca="false">AC760-AD760</f>
        <v>0</v>
      </c>
      <c r="AF760" s="21" t="str">
        <f aca="false">IFERROR(AD760/AC760,"")</f>
        <v/>
      </c>
    </row>
    <row r="761" customFormat="false" ht="15" hidden="false" customHeight="true" outlineLevel="0" collapsed="false">
      <c r="A761" s="14" t="n">
        <v>652629</v>
      </c>
      <c r="B761" s="14" t="n">
        <v>493788</v>
      </c>
      <c r="C761" s="14" t="s">
        <v>6097</v>
      </c>
      <c r="D761" s="14" t="s">
        <v>6098</v>
      </c>
      <c r="E761" s="14" t="s">
        <v>6099</v>
      </c>
      <c r="F761" s="14"/>
      <c r="G761" s="14"/>
      <c r="H761" s="14" t="s">
        <v>6100</v>
      </c>
      <c r="I761" s="14"/>
      <c r="J761" s="14" t="s">
        <v>6101</v>
      </c>
      <c r="K761" s="14" t="s">
        <v>1752</v>
      </c>
      <c r="L761" s="14" t="s">
        <v>6102</v>
      </c>
      <c r="M761" s="14" t="s">
        <v>3752</v>
      </c>
      <c r="N761" s="14" t="s">
        <v>70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2" t="n">
        <f aca="false">AB761*(1+$L$3)</f>
        <v>0</v>
      </c>
      <c r="AD761" s="20"/>
      <c r="AE761" s="23" t="n">
        <f aca="false">AC761-AD761</f>
        <v>0</v>
      </c>
      <c r="AF761" s="21" t="str">
        <f aca="false">IFERROR(AD761/AC761,"")</f>
        <v/>
      </c>
    </row>
    <row r="762" customFormat="false" ht="15" hidden="false" customHeight="true" outlineLevel="0" collapsed="false">
      <c r="A762" s="14" t="n">
        <v>652425</v>
      </c>
      <c r="B762" s="14" t="n">
        <v>493588</v>
      </c>
      <c r="C762" s="14" t="s">
        <v>6103</v>
      </c>
      <c r="D762" s="14" t="s">
        <v>6104</v>
      </c>
      <c r="E762" s="14" t="s">
        <v>6105</v>
      </c>
      <c r="F762" s="14" t="s">
        <v>6106</v>
      </c>
      <c r="G762" s="14" t="s">
        <v>6107</v>
      </c>
      <c r="H762" s="14" t="s">
        <v>6108</v>
      </c>
      <c r="I762" s="14"/>
      <c r="J762" s="14" t="s">
        <v>316</v>
      </c>
      <c r="K762" s="14" t="s">
        <v>307</v>
      </c>
      <c r="L762" s="14" t="s">
        <v>317</v>
      </c>
      <c r="M762" s="14" t="s">
        <v>6109</v>
      </c>
      <c r="N762" s="14" t="s">
        <v>70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2" t="n">
        <f aca="false">AB762*(1+$L$3)</f>
        <v>0</v>
      </c>
      <c r="AD762" s="20"/>
      <c r="AE762" s="23" t="n">
        <f aca="false">AC762-AD762</f>
        <v>0</v>
      </c>
      <c r="AF762" s="21" t="str">
        <f aca="false">IFERROR(AD762/AC762,"")</f>
        <v/>
      </c>
    </row>
    <row r="763" customFormat="false" ht="15" hidden="false" customHeight="true" outlineLevel="0" collapsed="false">
      <c r="A763" s="14" t="n">
        <v>652366</v>
      </c>
      <c r="B763" s="14" t="n">
        <v>493528</v>
      </c>
      <c r="C763" s="14" t="s">
        <v>6110</v>
      </c>
      <c r="D763" s="14" t="s">
        <v>6111</v>
      </c>
      <c r="E763" s="14" t="s">
        <v>6112</v>
      </c>
      <c r="F763" s="14" t="s">
        <v>6113</v>
      </c>
      <c r="G763" s="14" t="s">
        <v>6114</v>
      </c>
      <c r="H763" s="14" t="s">
        <v>6115</v>
      </c>
      <c r="I763" s="14"/>
      <c r="J763" s="14" t="s">
        <v>2347</v>
      </c>
      <c r="K763" s="14" t="s">
        <v>464</v>
      </c>
      <c r="L763" s="14" t="s">
        <v>6116</v>
      </c>
      <c r="M763" s="14" t="s">
        <v>6117</v>
      </c>
      <c r="N763" s="14" t="s">
        <v>70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2" t="n">
        <f aca="false">AB763*(1+$L$3)</f>
        <v>0</v>
      </c>
      <c r="AD763" s="20"/>
      <c r="AE763" s="23" t="n">
        <f aca="false">AC763-AD763</f>
        <v>0</v>
      </c>
      <c r="AF763" s="21" t="str">
        <f aca="false">IFERROR(AD763/AC763,"")</f>
        <v/>
      </c>
    </row>
    <row r="764" customFormat="false" ht="15" hidden="false" customHeight="true" outlineLevel="0" collapsed="false">
      <c r="A764" s="14" t="n">
        <v>652322</v>
      </c>
      <c r="B764" s="14" t="n">
        <v>493486</v>
      </c>
      <c r="C764" s="14" t="s">
        <v>6118</v>
      </c>
      <c r="D764" s="14" t="s">
        <v>6119</v>
      </c>
      <c r="E764" s="14" t="s">
        <v>6120</v>
      </c>
      <c r="F764" s="14" t="s">
        <v>6121</v>
      </c>
      <c r="G764" s="14" t="s">
        <v>6122</v>
      </c>
      <c r="H764" s="14" t="s">
        <v>6123</v>
      </c>
      <c r="I764" s="14" t="s">
        <v>159</v>
      </c>
      <c r="J764" s="14" t="s">
        <v>6124</v>
      </c>
      <c r="K764" s="14" t="s">
        <v>2297</v>
      </c>
      <c r="L764" s="14" t="s">
        <v>6125</v>
      </c>
      <c r="M764" s="14" t="s">
        <v>6126</v>
      </c>
      <c r="N764" s="14" t="s">
        <v>70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2" t="n">
        <f aca="false">AB764*(1+$L$3)</f>
        <v>0</v>
      </c>
      <c r="AD764" s="20"/>
      <c r="AE764" s="23" t="n">
        <f aca="false">AC764-AD764</f>
        <v>0</v>
      </c>
      <c r="AF764" s="21" t="str">
        <f aca="false">IFERROR(AD764/AC764,"")</f>
        <v/>
      </c>
    </row>
    <row r="765" customFormat="false" ht="15" hidden="false" customHeight="true" outlineLevel="0" collapsed="false">
      <c r="A765" s="14" t="n">
        <v>652307</v>
      </c>
      <c r="B765" s="14" t="n">
        <v>493471</v>
      </c>
      <c r="C765" s="14" t="s">
        <v>6127</v>
      </c>
      <c r="D765" s="14" t="s">
        <v>6128</v>
      </c>
      <c r="E765" s="14" t="s">
        <v>6129</v>
      </c>
      <c r="F765" s="14" t="s">
        <v>6130</v>
      </c>
      <c r="G765" s="14" t="s">
        <v>6131</v>
      </c>
      <c r="H765" s="14" t="s">
        <v>6132</v>
      </c>
      <c r="I765" s="14" t="s">
        <v>1741</v>
      </c>
      <c r="J765" s="14" t="s">
        <v>6133</v>
      </c>
      <c r="K765" s="14" t="s">
        <v>307</v>
      </c>
      <c r="L765" s="14" t="s">
        <v>6134</v>
      </c>
      <c r="M765" s="14" t="s">
        <v>6135</v>
      </c>
      <c r="N765" s="14" t="s">
        <v>70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2" t="n">
        <f aca="false">AB765*(1+$L$3)</f>
        <v>0</v>
      </c>
      <c r="AD765" s="20"/>
      <c r="AE765" s="23" t="n">
        <f aca="false">AC765-AD765</f>
        <v>0</v>
      </c>
      <c r="AF765" s="21" t="str">
        <f aca="false">IFERROR(AD765/AC765,"")</f>
        <v/>
      </c>
    </row>
    <row r="766" customFormat="false" ht="15" hidden="false" customHeight="true" outlineLevel="0" collapsed="false">
      <c r="A766" s="14" t="n">
        <v>652174</v>
      </c>
      <c r="B766" s="14" t="n">
        <v>493341</v>
      </c>
      <c r="C766" s="14" t="s">
        <v>6136</v>
      </c>
      <c r="D766" s="14" t="s">
        <v>6137</v>
      </c>
      <c r="E766" s="14" t="s">
        <v>6138</v>
      </c>
      <c r="F766" s="14" t="s">
        <v>6139</v>
      </c>
      <c r="G766" s="14" t="s">
        <v>6140</v>
      </c>
      <c r="H766" s="14" t="s">
        <v>6141</v>
      </c>
      <c r="I766" s="14"/>
      <c r="J766" s="14" t="s">
        <v>6142</v>
      </c>
      <c r="K766" s="14" t="s">
        <v>67</v>
      </c>
      <c r="L766" s="14" t="s">
        <v>6143</v>
      </c>
      <c r="M766" s="14" t="s">
        <v>6144</v>
      </c>
      <c r="N766" s="14" t="s">
        <v>70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2" t="n">
        <f aca="false">AB766*(1+$L$3)</f>
        <v>0</v>
      </c>
      <c r="AD766" s="20"/>
      <c r="AE766" s="23" t="n">
        <f aca="false">AC766-AD766</f>
        <v>0</v>
      </c>
      <c r="AF766" s="21" t="str">
        <f aca="false">IFERROR(AD766/AC766,"")</f>
        <v/>
      </c>
    </row>
    <row r="767" customFormat="false" ht="15" hidden="false" customHeight="true" outlineLevel="0" collapsed="false">
      <c r="A767" s="14" t="n">
        <v>651920</v>
      </c>
      <c r="B767" s="14" t="n">
        <v>493155</v>
      </c>
      <c r="C767" s="14" t="s">
        <v>6145</v>
      </c>
      <c r="D767" s="14" t="s">
        <v>6146</v>
      </c>
      <c r="E767" s="14" t="s">
        <v>6147</v>
      </c>
      <c r="F767" s="14" t="s">
        <v>6148</v>
      </c>
      <c r="G767" s="14" t="s">
        <v>6149</v>
      </c>
      <c r="H767" s="14" t="s">
        <v>6150</v>
      </c>
      <c r="I767" s="14"/>
      <c r="J767" s="14" t="s">
        <v>3646</v>
      </c>
      <c r="K767" s="14" t="s">
        <v>1026</v>
      </c>
      <c r="L767" s="14" t="s">
        <v>6151</v>
      </c>
      <c r="M767" s="14" t="s">
        <v>6152</v>
      </c>
      <c r="N767" s="14" t="s">
        <v>70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2" t="n">
        <f aca="false">AB767*(1+$L$3)</f>
        <v>0</v>
      </c>
      <c r="AD767" s="20"/>
      <c r="AE767" s="23" t="n">
        <f aca="false">AC767-AD767</f>
        <v>0</v>
      </c>
      <c r="AF767" s="21" t="str">
        <f aca="false">IFERROR(AD767/AC767,"")</f>
        <v/>
      </c>
    </row>
    <row r="768" customFormat="false" ht="15" hidden="false" customHeight="true" outlineLevel="0" collapsed="false">
      <c r="A768" s="14" t="n">
        <v>651877</v>
      </c>
      <c r="B768" s="14" t="n">
        <v>493114</v>
      </c>
      <c r="C768" s="14" t="s">
        <v>6153</v>
      </c>
      <c r="D768" s="14" t="s">
        <v>6154</v>
      </c>
      <c r="E768" s="14" t="s">
        <v>6155</v>
      </c>
      <c r="F768" s="14" t="s">
        <v>6156</v>
      </c>
      <c r="G768" s="14" t="s">
        <v>6157</v>
      </c>
      <c r="H768" s="14" t="s">
        <v>6158</v>
      </c>
      <c r="I768" s="14" t="s">
        <v>2382</v>
      </c>
      <c r="J768" s="14" t="s">
        <v>3340</v>
      </c>
      <c r="K768" s="14" t="s">
        <v>2088</v>
      </c>
      <c r="L768" s="14" t="s">
        <v>6159</v>
      </c>
      <c r="M768" s="14" t="s">
        <v>6160</v>
      </c>
      <c r="N768" s="14" t="s">
        <v>70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2" t="n">
        <f aca="false">AB768*(1+$L$3)</f>
        <v>0</v>
      </c>
      <c r="AD768" s="20"/>
      <c r="AE768" s="23" t="n">
        <f aca="false">AC768-AD768</f>
        <v>0</v>
      </c>
      <c r="AF768" s="21" t="str">
        <f aca="false">IFERROR(AD768/AC768,"")</f>
        <v/>
      </c>
    </row>
    <row r="769" customFormat="false" ht="15" hidden="false" customHeight="true" outlineLevel="0" collapsed="false">
      <c r="A769" s="14" t="n">
        <v>651758</v>
      </c>
      <c r="B769" s="14" t="n">
        <v>493006</v>
      </c>
      <c r="C769" s="14" t="s">
        <v>6161</v>
      </c>
      <c r="D769" s="14" t="s">
        <v>6162</v>
      </c>
      <c r="E769" s="14" t="s">
        <v>6163</v>
      </c>
      <c r="F769" s="14" t="s">
        <v>6164</v>
      </c>
      <c r="G769" s="14" t="s">
        <v>6165</v>
      </c>
      <c r="H769" s="14" t="s">
        <v>6166</v>
      </c>
      <c r="I769" s="14"/>
      <c r="J769" s="14" t="s">
        <v>6167</v>
      </c>
      <c r="K769" s="14" t="s">
        <v>557</v>
      </c>
      <c r="L769" s="14" t="s">
        <v>6168</v>
      </c>
      <c r="M769" s="14" t="s">
        <v>6169</v>
      </c>
      <c r="N769" s="14" t="s">
        <v>70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2" t="n">
        <f aca="false">AB769*(1+$L$3)</f>
        <v>0</v>
      </c>
      <c r="AD769" s="20"/>
      <c r="AE769" s="23" t="n">
        <f aca="false">AC769-AD769</f>
        <v>0</v>
      </c>
      <c r="AF769" s="21" t="str">
        <f aca="false">IFERROR(AD769/AC769,"")</f>
        <v/>
      </c>
    </row>
    <row r="770" customFormat="false" ht="15" hidden="false" customHeight="true" outlineLevel="0" collapsed="false">
      <c r="A770" s="14" t="n">
        <v>651590</v>
      </c>
      <c r="B770" s="14" t="n">
        <v>492845</v>
      </c>
      <c r="C770" s="14" t="s">
        <v>6170</v>
      </c>
      <c r="D770" s="14" t="s">
        <v>5822</v>
      </c>
      <c r="E770" s="14" t="s">
        <v>5823</v>
      </c>
      <c r="F770" s="14" t="s">
        <v>6171</v>
      </c>
      <c r="G770" s="14" t="s">
        <v>5747</v>
      </c>
      <c r="H770" s="14" t="s">
        <v>6172</v>
      </c>
      <c r="I770" s="14"/>
      <c r="J770" s="14" t="s">
        <v>2334</v>
      </c>
      <c r="K770" s="14" t="s">
        <v>307</v>
      </c>
      <c r="L770" s="14" t="s">
        <v>2335</v>
      </c>
      <c r="M770" s="14" t="s">
        <v>5749</v>
      </c>
      <c r="N770" s="14" t="s">
        <v>70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2" t="n">
        <f aca="false">AB770*(1+$L$3)</f>
        <v>0</v>
      </c>
      <c r="AD770" s="20"/>
      <c r="AE770" s="23" t="n">
        <f aca="false">AC770-AD770</f>
        <v>0</v>
      </c>
      <c r="AF770" s="21" t="str">
        <f aca="false">IFERROR(AD770/AC770,"")</f>
        <v/>
      </c>
    </row>
    <row r="771" customFormat="false" ht="15" hidden="false" customHeight="true" outlineLevel="0" collapsed="false">
      <c r="A771" s="14" t="n">
        <v>651481</v>
      </c>
      <c r="B771" s="14" t="n">
        <v>492740</v>
      </c>
      <c r="C771" s="14" t="s">
        <v>6173</v>
      </c>
      <c r="D771" s="14" t="s">
        <v>1241</v>
      </c>
      <c r="E771" s="14" t="s">
        <v>1242</v>
      </c>
      <c r="F771" s="14" t="s">
        <v>6174</v>
      </c>
      <c r="G771" s="14" t="s">
        <v>1244</v>
      </c>
      <c r="H771" s="14" t="s">
        <v>6175</v>
      </c>
      <c r="I771" s="14" t="s">
        <v>1632</v>
      </c>
      <c r="J771" s="14" t="s">
        <v>6016</v>
      </c>
      <c r="K771" s="14" t="s">
        <v>604</v>
      </c>
      <c r="L771" s="14" t="s">
        <v>6017</v>
      </c>
      <c r="M771" s="14" t="s">
        <v>1248</v>
      </c>
      <c r="N771" s="14" t="s">
        <v>70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2" t="n">
        <f aca="false">AB771*(1+$L$3)</f>
        <v>0</v>
      </c>
      <c r="AD771" s="20"/>
      <c r="AE771" s="23" t="n">
        <f aca="false">AC771-AD771</f>
        <v>0</v>
      </c>
      <c r="AF771" s="21" t="str">
        <f aca="false">IFERROR(AD771/AC771,"")</f>
        <v/>
      </c>
    </row>
    <row r="772" customFormat="false" ht="15" hidden="false" customHeight="true" outlineLevel="0" collapsed="false">
      <c r="A772" s="14" t="n">
        <v>650804</v>
      </c>
      <c r="B772" s="14" t="n">
        <v>492054</v>
      </c>
      <c r="C772" s="14" t="s">
        <v>6176</v>
      </c>
      <c r="D772" s="14" t="s">
        <v>1736</v>
      </c>
      <c r="E772" s="14" t="s">
        <v>1737</v>
      </c>
      <c r="F772" s="14" t="s">
        <v>1738</v>
      </c>
      <c r="G772" s="14" t="s">
        <v>1739</v>
      </c>
      <c r="H772" s="14" t="s">
        <v>6177</v>
      </c>
      <c r="I772" s="14" t="s">
        <v>6178</v>
      </c>
      <c r="J772" s="14" t="s">
        <v>6179</v>
      </c>
      <c r="K772" s="14" t="s">
        <v>1026</v>
      </c>
      <c r="L772" s="14" t="s">
        <v>6180</v>
      </c>
      <c r="M772" s="14" t="s">
        <v>1744</v>
      </c>
      <c r="N772" s="14" t="s">
        <v>70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2" t="n">
        <f aca="false">AB772*(1+$L$3)</f>
        <v>0</v>
      </c>
      <c r="AD772" s="20"/>
      <c r="AE772" s="23" t="n">
        <f aca="false">AC772-AD772</f>
        <v>0</v>
      </c>
      <c r="AF772" s="21" t="str">
        <f aca="false">IFERROR(AD772/AC772,"")</f>
        <v/>
      </c>
    </row>
    <row r="773" customFormat="false" ht="15" hidden="false" customHeight="true" outlineLevel="0" collapsed="false">
      <c r="A773" s="14" t="n">
        <v>650776</v>
      </c>
      <c r="B773" s="14" t="n">
        <v>492026</v>
      </c>
      <c r="C773" s="14" t="s">
        <v>6181</v>
      </c>
      <c r="D773" s="14" t="s">
        <v>6182</v>
      </c>
      <c r="E773" s="14" t="s">
        <v>3936</v>
      </c>
      <c r="F773" s="14" t="s">
        <v>6183</v>
      </c>
      <c r="G773" s="14" t="s">
        <v>3938</v>
      </c>
      <c r="H773" s="14" t="s">
        <v>6184</v>
      </c>
      <c r="I773" s="14"/>
      <c r="J773" s="14" t="s">
        <v>3940</v>
      </c>
      <c r="K773" s="14" t="s">
        <v>67</v>
      </c>
      <c r="L773" s="14" t="s">
        <v>6185</v>
      </c>
      <c r="M773" s="14" t="s">
        <v>3942</v>
      </c>
      <c r="N773" s="14" t="s">
        <v>70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2" t="n">
        <f aca="false">AB773*(1+$L$3)</f>
        <v>0</v>
      </c>
      <c r="AD773" s="20"/>
      <c r="AE773" s="23" t="n">
        <f aca="false">AC773-AD773</f>
        <v>0</v>
      </c>
      <c r="AF773" s="21" t="str">
        <f aca="false">IFERROR(AD773/AC773,"")</f>
        <v/>
      </c>
    </row>
    <row r="774" customFormat="false" ht="15" hidden="false" customHeight="true" outlineLevel="0" collapsed="false">
      <c r="A774" s="14" t="n">
        <v>650828</v>
      </c>
      <c r="B774" s="14" t="n">
        <v>492078</v>
      </c>
      <c r="C774" s="14" t="s">
        <v>6186</v>
      </c>
      <c r="D774" s="14" t="s">
        <v>6187</v>
      </c>
      <c r="E774" s="14" t="s">
        <v>6188</v>
      </c>
      <c r="F774" s="14" t="s">
        <v>6189</v>
      </c>
      <c r="G774" s="14" t="s">
        <v>6190</v>
      </c>
      <c r="H774" s="14" t="s">
        <v>6191</v>
      </c>
      <c r="I774" s="14"/>
      <c r="J774" s="14" t="s">
        <v>6192</v>
      </c>
      <c r="K774" s="14" t="s">
        <v>67</v>
      </c>
      <c r="L774" s="14" t="s">
        <v>6193</v>
      </c>
      <c r="M774" s="14" t="s">
        <v>6194</v>
      </c>
      <c r="N774" s="14" t="s">
        <v>70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2" t="n">
        <f aca="false">AB774*(1+$L$3)</f>
        <v>0</v>
      </c>
      <c r="AD774" s="20"/>
      <c r="AE774" s="23" t="n">
        <f aca="false">AC774-AD774</f>
        <v>0</v>
      </c>
      <c r="AF774" s="21" t="str">
        <f aca="false">IFERROR(AD774/AC774,"")</f>
        <v/>
      </c>
    </row>
    <row r="775" customFormat="false" ht="15" hidden="false" customHeight="true" outlineLevel="0" collapsed="false">
      <c r="A775" s="14" t="n">
        <v>651399</v>
      </c>
      <c r="B775" s="14" t="n">
        <v>492658</v>
      </c>
      <c r="C775" s="14" t="s">
        <v>6195</v>
      </c>
      <c r="D775" s="14" t="s">
        <v>6196</v>
      </c>
      <c r="E775" s="14" t="s">
        <v>6197</v>
      </c>
      <c r="F775" s="14" t="s">
        <v>6198</v>
      </c>
      <c r="G775" s="14" t="s">
        <v>6199</v>
      </c>
      <c r="H775" s="14" t="s">
        <v>6200</v>
      </c>
      <c r="I775" s="14" t="s">
        <v>6201</v>
      </c>
      <c r="J775" s="14" t="s">
        <v>3286</v>
      </c>
      <c r="K775" s="14" t="s">
        <v>307</v>
      </c>
      <c r="L775" s="14" t="s">
        <v>6202</v>
      </c>
      <c r="M775" s="14" t="s">
        <v>6203</v>
      </c>
      <c r="N775" s="14" t="s">
        <v>70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2" t="n">
        <f aca="false">AB775*(1+$L$3)</f>
        <v>0</v>
      </c>
      <c r="AD775" s="20"/>
      <c r="AE775" s="23" t="n">
        <f aca="false">AC775-AD775</f>
        <v>0</v>
      </c>
      <c r="AF775" s="21" t="str">
        <f aca="false">IFERROR(AD775/AC775,"")</f>
        <v/>
      </c>
    </row>
    <row r="776" customFormat="false" ht="15" hidden="false" customHeight="true" outlineLevel="0" collapsed="false">
      <c r="A776" s="14" t="n">
        <v>651360</v>
      </c>
      <c r="B776" s="14" t="n">
        <v>492618</v>
      </c>
      <c r="C776" s="14" t="s">
        <v>6204</v>
      </c>
      <c r="D776" s="14" t="s">
        <v>6205</v>
      </c>
      <c r="E776" s="14" t="s">
        <v>6206</v>
      </c>
      <c r="F776" s="14" t="s">
        <v>6207</v>
      </c>
      <c r="G776" s="14" t="s">
        <v>6208</v>
      </c>
      <c r="H776" s="14" t="s">
        <v>6209</v>
      </c>
      <c r="I776" s="14" t="s">
        <v>1632</v>
      </c>
      <c r="J776" s="14" t="s">
        <v>6210</v>
      </c>
      <c r="K776" s="14" t="s">
        <v>307</v>
      </c>
      <c r="L776" s="14" t="s">
        <v>6211</v>
      </c>
      <c r="M776" s="14" t="s">
        <v>6212</v>
      </c>
      <c r="N776" s="14" t="s">
        <v>70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2" t="n">
        <f aca="false">AB776*(1+$L$3)</f>
        <v>0</v>
      </c>
      <c r="AD776" s="20"/>
      <c r="AE776" s="23" t="n">
        <f aca="false">AC776-AD776</f>
        <v>0</v>
      </c>
      <c r="AF776" s="21" t="str">
        <f aca="false">IFERROR(AD776/AC776,"")</f>
        <v/>
      </c>
    </row>
    <row r="777" customFormat="false" ht="15" hidden="false" customHeight="true" outlineLevel="0" collapsed="false">
      <c r="A777" s="14"/>
      <c r="B777" s="14"/>
      <c r="C777" s="14" t="s">
        <v>6213</v>
      </c>
      <c r="D777" s="14" t="s">
        <v>6214</v>
      </c>
      <c r="E777" s="14" t="s">
        <v>6215</v>
      </c>
      <c r="F777" s="14"/>
      <c r="G777" s="14"/>
      <c r="H777" s="14" t="s">
        <v>6216</v>
      </c>
      <c r="I777" s="14"/>
      <c r="J777" s="14" t="s">
        <v>638</v>
      </c>
      <c r="K777" s="14" t="s">
        <v>67</v>
      </c>
      <c r="L777" s="14" t="s">
        <v>3020</v>
      </c>
      <c r="M777" s="14" t="s">
        <v>3752</v>
      </c>
      <c r="N777" s="14" t="s">
        <v>70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2" t="n">
        <f aca="false">AB777*(1+$L$3)</f>
        <v>0</v>
      </c>
      <c r="AD777" s="20"/>
      <c r="AE777" s="23" t="n">
        <f aca="false">AC777-AD777</f>
        <v>0</v>
      </c>
      <c r="AF777" s="21" t="str">
        <f aca="false">IFERROR(AD777/AC777,"")</f>
        <v/>
      </c>
    </row>
    <row r="778" customFormat="false" ht="15" hidden="false" customHeight="true" outlineLevel="0" collapsed="false">
      <c r="A778" s="14" t="n">
        <v>650774</v>
      </c>
      <c r="B778" s="14" t="n">
        <v>492024</v>
      </c>
      <c r="C778" s="14" t="s">
        <v>6217</v>
      </c>
      <c r="D778" s="14" t="s">
        <v>6218</v>
      </c>
      <c r="E778" s="14" t="s">
        <v>6219</v>
      </c>
      <c r="F778" s="14" t="s">
        <v>5714</v>
      </c>
      <c r="G778" s="14" t="s">
        <v>5715</v>
      </c>
      <c r="H778" s="14" t="s">
        <v>6220</v>
      </c>
      <c r="I778" s="14" t="s">
        <v>6221</v>
      </c>
      <c r="J778" s="14" t="s">
        <v>638</v>
      </c>
      <c r="K778" s="14" t="s">
        <v>67</v>
      </c>
      <c r="L778" s="14" t="s">
        <v>1440</v>
      </c>
      <c r="M778" s="14" t="s">
        <v>5717</v>
      </c>
      <c r="N778" s="14" t="s">
        <v>70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2" t="n">
        <f aca="false">AB778*(1+$L$3)</f>
        <v>0</v>
      </c>
      <c r="AD778" s="20"/>
      <c r="AE778" s="23" t="n">
        <f aca="false">AC778-AD778</f>
        <v>0</v>
      </c>
      <c r="AF778" s="21" t="str">
        <f aca="false">IFERROR(AD778/AC778,"")</f>
        <v/>
      </c>
    </row>
    <row r="779" customFormat="false" ht="15" hidden="false" customHeight="true" outlineLevel="0" collapsed="false">
      <c r="A779" s="14" t="n">
        <v>650934</v>
      </c>
      <c r="B779" s="14" t="n">
        <v>492186</v>
      </c>
      <c r="C779" s="14" t="s">
        <v>6222</v>
      </c>
      <c r="D779" s="14" t="s">
        <v>6223</v>
      </c>
      <c r="E779" s="14" t="s">
        <v>6224</v>
      </c>
      <c r="F779" s="14" t="s">
        <v>6225</v>
      </c>
      <c r="G779" s="14" t="s">
        <v>6226</v>
      </c>
      <c r="H779" s="14" t="s">
        <v>6227</v>
      </c>
      <c r="I779" s="14"/>
      <c r="J779" s="14" t="s">
        <v>6228</v>
      </c>
      <c r="K779" s="14" t="s">
        <v>307</v>
      </c>
      <c r="L779" s="14" t="s">
        <v>6229</v>
      </c>
      <c r="M779" s="14" t="s">
        <v>6230</v>
      </c>
      <c r="N779" s="14" t="s">
        <v>70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2" t="n">
        <f aca="false">AB779*(1+$L$3)</f>
        <v>0</v>
      </c>
      <c r="AD779" s="20"/>
      <c r="AE779" s="23" t="n">
        <f aca="false">AC779-AD779</f>
        <v>0</v>
      </c>
      <c r="AF779" s="21" t="str">
        <f aca="false">IFERROR(AD779/AC779,"")</f>
        <v/>
      </c>
    </row>
    <row r="780" customFormat="false" ht="15" hidden="false" customHeight="true" outlineLevel="0" collapsed="false">
      <c r="A780" s="14" t="n">
        <v>183752</v>
      </c>
      <c r="B780" s="14" t="n">
        <v>193656</v>
      </c>
      <c r="C780" s="14" t="s">
        <v>6231</v>
      </c>
      <c r="D780" s="14" t="s">
        <v>6232</v>
      </c>
      <c r="E780" s="14" t="s">
        <v>6233</v>
      </c>
      <c r="F780" s="14" t="s">
        <v>6234</v>
      </c>
      <c r="G780" s="14" t="s">
        <v>6235</v>
      </c>
      <c r="H780" s="14" t="s">
        <v>6236</v>
      </c>
      <c r="I780" s="14"/>
      <c r="J780" s="14" t="s">
        <v>6237</v>
      </c>
      <c r="K780" s="14" t="s">
        <v>307</v>
      </c>
      <c r="L780" s="14" t="s">
        <v>6238</v>
      </c>
      <c r="M780" s="14" t="s">
        <v>6239</v>
      </c>
      <c r="N780" s="14" t="s">
        <v>70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2" t="n">
        <f aca="false">AB780*(1+$L$3)</f>
        <v>0</v>
      </c>
      <c r="AD780" s="20"/>
      <c r="AE780" s="23" t="n">
        <f aca="false">AC780-AD780</f>
        <v>0</v>
      </c>
      <c r="AF780" s="21" t="str">
        <f aca="false">IFERROR(AD780/AC780,"")</f>
        <v/>
      </c>
    </row>
    <row r="781" customFormat="false" ht="15" hidden="false" customHeight="true" outlineLevel="0" collapsed="false">
      <c r="A781" s="14" t="n">
        <v>650767</v>
      </c>
      <c r="B781" s="14" t="n">
        <v>492017</v>
      </c>
      <c r="C781" s="14" t="s">
        <v>6240</v>
      </c>
      <c r="D781" s="14" t="s">
        <v>6241</v>
      </c>
      <c r="E781" s="14" t="s">
        <v>5893</v>
      </c>
      <c r="F781" s="14" t="s">
        <v>6242</v>
      </c>
      <c r="G781" s="14" t="s">
        <v>5895</v>
      </c>
      <c r="H781" s="14" t="s">
        <v>6243</v>
      </c>
      <c r="I781" s="14" t="s">
        <v>3872</v>
      </c>
      <c r="J781" s="14" t="s">
        <v>6244</v>
      </c>
      <c r="K781" s="14" t="s">
        <v>307</v>
      </c>
      <c r="L781" s="14" t="s">
        <v>5898</v>
      </c>
      <c r="M781" s="14" t="s">
        <v>5899</v>
      </c>
      <c r="N781" s="14" t="s">
        <v>70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2" t="n">
        <f aca="false">AB781*(1+$L$3)</f>
        <v>0</v>
      </c>
      <c r="AD781" s="20"/>
      <c r="AE781" s="23" t="n">
        <f aca="false">AC781-AD781</f>
        <v>0</v>
      </c>
      <c r="AF781" s="21" t="str">
        <f aca="false">IFERROR(AD781/AC781,"")</f>
        <v/>
      </c>
    </row>
    <row r="782" customFormat="false" ht="15" hidden="false" customHeight="true" outlineLevel="0" collapsed="false">
      <c r="A782" s="14" t="n">
        <v>651318</v>
      </c>
      <c r="B782" s="14" t="n">
        <v>492576</v>
      </c>
      <c r="C782" s="14" t="s">
        <v>6245</v>
      </c>
      <c r="D782" s="14" t="s">
        <v>6246</v>
      </c>
      <c r="E782" s="14" t="s">
        <v>6247</v>
      </c>
      <c r="F782" s="14" t="s">
        <v>1015</v>
      </c>
      <c r="G782" s="14" t="s">
        <v>6248</v>
      </c>
      <c r="H782" s="14" t="s">
        <v>6249</v>
      </c>
      <c r="I782" s="14" t="s">
        <v>2984</v>
      </c>
      <c r="J782" s="14" t="s">
        <v>77</v>
      </c>
      <c r="K782" s="14" t="s">
        <v>48</v>
      </c>
      <c r="L782" s="14" t="s">
        <v>86</v>
      </c>
      <c r="M782" s="14" t="s">
        <v>6250</v>
      </c>
      <c r="N782" s="14" t="s">
        <v>70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2" t="n">
        <f aca="false">AB782*(1+$L$3)</f>
        <v>0</v>
      </c>
      <c r="AD782" s="20"/>
      <c r="AE782" s="23" t="n">
        <f aca="false">AC782-AD782</f>
        <v>0</v>
      </c>
      <c r="AF782" s="21" t="str">
        <f aca="false">IFERROR(AD782/AC782,"")</f>
        <v/>
      </c>
    </row>
    <row r="783" customFormat="false" ht="15" hidden="false" customHeight="true" outlineLevel="0" collapsed="false">
      <c r="A783" s="14"/>
      <c r="B783" s="14"/>
      <c r="C783" s="14" t="s">
        <v>6251</v>
      </c>
      <c r="D783" s="14" t="s">
        <v>6252</v>
      </c>
      <c r="E783" s="14" t="s">
        <v>6253</v>
      </c>
      <c r="F783" s="14"/>
      <c r="G783" s="14"/>
      <c r="H783" s="14" t="s">
        <v>6254</v>
      </c>
      <c r="I783" s="14"/>
      <c r="J783" s="14" t="s">
        <v>6255</v>
      </c>
      <c r="K783" s="14" t="s">
        <v>506</v>
      </c>
      <c r="L783" s="14" t="s">
        <v>6256</v>
      </c>
      <c r="M783" s="14" t="s">
        <v>3752</v>
      </c>
      <c r="N783" s="14" t="s">
        <v>70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2" t="n">
        <f aca="false">AB783*(1+$L$3)</f>
        <v>0</v>
      </c>
      <c r="AD783" s="20"/>
      <c r="AE783" s="23" t="n">
        <f aca="false">AC783-AD783</f>
        <v>0</v>
      </c>
      <c r="AF783" s="21" t="str">
        <f aca="false">IFERROR(AD783/AC783,"")</f>
        <v/>
      </c>
    </row>
    <row r="784" customFormat="false" ht="15" hidden="false" customHeight="true" outlineLevel="0" collapsed="false">
      <c r="A784" s="14" t="n">
        <v>650805</v>
      </c>
      <c r="B784" s="14" t="n">
        <v>492055</v>
      </c>
      <c r="C784" s="14" t="s">
        <v>6257</v>
      </c>
      <c r="D784" s="14" t="s">
        <v>6258</v>
      </c>
      <c r="E784" s="14" t="s">
        <v>6259</v>
      </c>
      <c r="F784" s="14" t="s">
        <v>6260</v>
      </c>
      <c r="G784" s="14" t="s">
        <v>6261</v>
      </c>
      <c r="H784" s="14" t="s">
        <v>6262</v>
      </c>
      <c r="I784" s="14"/>
      <c r="J784" s="14" t="s">
        <v>871</v>
      </c>
      <c r="K784" s="14" t="s">
        <v>307</v>
      </c>
      <c r="L784" s="14" t="s">
        <v>872</v>
      </c>
      <c r="M784" s="14" t="s">
        <v>6263</v>
      </c>
      <c r="N784" s="14" t="s">
        <v>70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/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2" t="n">
        <f aca="false">AB784*(1+$L$3)</f>
        <v>0</v>
      </c>
      <c r="AD784" s="20"/>
      <c r="AE784" s="23" t="n">
        <f aca="false">AC784-AD784</f>
        <v>0</v>
      </c>
      <c r="AF784" s="21" t="str">
        <f aca="false">IFERROR(AD784/AC784,"")</f>
        <v/>
      </c>
    </row>
    <row r="785" customFormat="false" ht="15" hidden="false" customHeight="true" outlineLevel="0" collapsed="false">
      <c r="A785" s="14" t="n">
        <v>650811</v>
      </c>
      <c r="B785" s="14" t="n">
        <v>492061</v>
      </c>
      <c r="C785" s="14" t="s">
        <v>6264</v>
      </c>
      <c r="D785" s="14" t="s">
        <v>6265</v>
      </c>
      <c r="E785" s="14" t="s">
        <v>6266</v>
      </c>
      <c r="F785" s="14" t="s">
        <v>6267</v>
      </c>
      <c r="G785" s="14" t="s">
        <v>6268</v>
      </c>
      <c r="H785" s="14" t="s">
        <v>6269</v>
      </c>
      <c r="I785" s="14" t="s">
        <v>6270</v>
      </c>
      <c r="J785" s="14" t="s">
        <v>812</v>
      </c>
      <c r="K785" s="14" t="s">
        <v>307</v>
      </c>
      <c r="L785" s="14" t="s">
        <v>5055</v>
      </c>
      <c r="M785" s="14" t="s">
        <v>6271</v>
      </c>
      <c r="N785" s="14" t="s">
        <v>70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2" t="n">
        <f aca="false">AB785*(1+$L$3)</f>
        <v>0</v>
      </c>
      <c r="AD785" s="20"/>
      <c r="AE785" s="23" t="n">
        <f aca="false">AC785-AD785</f>
        <v>0</v>
      </c>
      <c r="AF785" s="21" t="str">
        <f aca="false">IFERROR(AD785/AC785,"")</f>
        <v/>
      </c>
    </row>
    <row r="786" customFormat="false" ht="15" hidden="false" customHeight="true" outlineLevel="0" collapsed="false">
      <c r="A786" s="14" t="n">
        <v>651241</v>
      </c>
      <c r="B786" s="14" t="n">
        <v>492498</v>
      </c>
      <c r="C786" s="14" t="s">
        <v>6272</v>
      </c>
      <c r="D786" s="14" t="s">
        <v>6273</v>
      </c>
      <c r="E786" s="14" t="s">
        <v>6274</v>
      </c>
      <c r="F786" s="14" t="s">
        <v>6275</v>
      </c>
      <c r="G786" s="14" t="s">
        <v>6276</v>
      </c>
      <c r="H786" s="14" t="s">
        <v>6277</v>
      </c>
      <c r="I786" s="14" t="s">
        <v>2818</v>
      </c>
      <c r="J786" s="14" t="s">
        <v>6278</v>
      </c>
      <c r="K786" s="14" t="s">
        <v>709</v>
      </c>
      <c r="L786" s="14" t="s">
        <v>5617</v>
      </c>
      <c r="M786" s="14" t="s">
        <v>6279</v>
      </c>
      <c r="N786" s="14" t="s">
        <v>70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2" t="n">
        <f aca="false">AB786*(1+$L$3)</f>
        <v>0</v>
      </c>
      <c r="AD786" s="20"/>
      <c r="AE786" s="23" t="n">
        <f aca="false">AC786-AD786</f>
        <v>0</v>
      </c>
      <c r="AF786" s="21" t="str">
        <f aca="false">IFERROR(AD786/AC786,"")</f>
        <v/>
      </c>
    </row>
    <row r="787" customFormat="false" ht="15" hidden="false" customHeight="true" outlineLevel="0" collapsed="false">
      <c r="A787" s="14" t="n">
        <v>650773</v>
      </c>
      <c r="B787" s="14" t="n">
        <v>492023</v>
      </c>
      <c r="C787" s="14" t="s">
        <v>6280</v>
      </c>
      <c r="D787" s="14" t="s">
        <v>6281</v>
      </c>
      <c r="E787" s="14" t="s">
        <v>6282</v>
      </c>
      <c r="F787" s="14" t="s">
        <v>6283</v>
      </c>
      <c r="G787" s="14" t="s">
        <v>6284</v>
      </c>
      <c r="H787" s="14" t="s">
        <v>6285</v>
      </c>
      <c r="I787" s="14" t="s">
        <v>4664</v>
      </c>
      <c r="J787" s="14" t="s">
        <v>1448</v>
      </c>
      <c r="K787" s="14" t="s">
        <v>709</v>
      </c>
      <c r="L787" s="14" t="s">
        <v>3368</v>
      </c>
      <c r="M787" s="14" t="s">
        <v>6286</v>
      </c>
      <c r="N787" s="14" t="s">
        <v>70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2" t="n">
        <f aca="false">AB787*(1+$L$3)</f>
        <v>0</v>
      </c>
      <c r="AD787" s="20"/>
      <c r="AE787" s="23" t="n">
        <f aca="false">AC787-AD787</f>
        <v>0</v>
      </c>
      <c r="AF787" s="21" t="str">
        <f aca="false">IFERROR(AD787/AC787,"")</f>
        <v/>
      </c>
    </row>
    <row r="788" customFormat="false" ht="15" hidden="false" customHeight="true" outlineLevel="0" collapsed="false">
      <c r="A788" s="14" t="n">
        <v>651235</v>
      </c>
      <c r="B788" s="14" t="n">
        <v>492492</v>
      </c>
      <c r="C788" s="14" t="s">
        <v>6287</v>
      </c>
      <c r="D788" s="14" t="s">
        <v>6288</v>
      </c>
      <c r="E788" s="14" t="s">
        <v>6289</v>
      </c>
      <c r="F788" s="14" t="s">
        <v>6290</v>
      </c>
      <c r="G788" s="14" t="s">
        <v>6291</v>
      </c>
      <c r="H788" s="14" t="s">
        <v>6292</v>
      </c>
      <c r="I788" s="14" t="s">
        <v>6293</v>
      </c>
      <c r="J788" s="14" t="s">
        <v>306</v>
      </c>
      <c r="K788" s="14" t="s">
        <v>307</v>
      </c>
      <c r="L788" s="14" t="s">
        <v>6294</v>
      </c>
      <c r="M788" s="14" t="s">
        <v>6295</v>
      </c>
      <c r="N788" s="14" t="s">
        <v>70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2" t="n">
        <f aca="false">AB788*(1+$L$3)</f>
        <v>0</v>
      </c>
      <c r="AD788" s="20"/>
      <c r="AE788" s="23" t="n">
        <f aca="false">AC788-AD788</f>
        <v>0</v>
      </c>
      <c r="AF788" s="21" t="str">
        <f aca="false">IFERROR(AD788/AC788,"")</f>
        <v/>
      </c>
    </row>
    <row r="789" customFormat="false" ht="15" hidden="false" customHeight="true" outlineLevel="0" collapsed="false">
      <c r="A789" s="14" t="n">
        <v>661687</v>
      </c>
      <c r="B789" s="14" t="n">
        <v>502715</v>
      </c>
      <c r="C789" s="14" t="s">
        <v>6296</v>
      </c>
      <c r="D789" s="14" t="s">
        <v>6297</v>
      </c>
      <c r="E789" s="14" t="s">
        <v>6298</v>
      </c>
      <c r="F789" s="14"/>
      <c r="G789" s="14" t="s">
        <v>6299</v>
      </c>
      <c r="H789" s="14" t="s">
        <v>6300</v>
      </c>
      <c r="I789" s="14"/>
      <c r="J789" s="14" t="s">
        <v>862</v>
      </c>
      <c r="K789" s="14" t="s">
        <v>48</v>
      </c>
      <c r="L789" s="14" t="s">
        <v>6301</v>
      </c>
      <c r="M789" s="14" t="s">
        <v>6302</v>
      </c>
      <c r="N789" s="14" t="s">
        <v>70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2" t="n">
        <f aca="false">AB789*(1+$L$3)</f>
        <v>0</v>
      </c>
      <c r="AD789" s="20"/>
      <c r="AE789" s="23" t="n">
        <f aca="false">AC789-AD789</f>
        <v>0</v>
      </c>
      <c r="AF789" s="21" t="str">
        <f aca="false">IFERROR(AD789/AC789,"")</f>
        <v/>
      </c>
    </row>
    <row r="790" customFormat="false" ht="15" hidden="false" customHeight="true" outlineLevel="0" collapsed="false">
      <c r="A790" s="14" t="n">
        <v>650771</v>
      </c>
      <c r="B790" s="14" t="n">
        <v>492021</v>
      </c>
      <c r="C790" s="14" t="s">
        <v>6303</v>
      </c>
      <c r="D790" s="14" t="s">
        <v>6304</v>
      </c>
      <c r="E790" s="14" t="s">
        <v>6305</v>
      </c>
      <c r="F790" s="14" t="s">
        <v>6306</v>
      </c>
      <c r="G790" s="14" t="s">
        <v>6307</v>
      </c>
      <c r="H790" s="14" t="s">
        <v>6308</v>
      </c>
      <c r="I790" s="14"/>
      <c r="J790" s="14" t="s">
        <v>6309</v>
      </c>
      <c r="K790" s="14" t="s">
        <v>709</v>
      </c>
      <c r="L790" s="14" t="s">
        <v>1449</v>
      </c>
      <c r="M790" s="14" t="s">
        <v>6310</v>
      </c>
      <c r="N790" s="14" t="s">
        <v>70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2" t="n">
        <f aca="false">AB790*(1+$L$3)</f>
        <v>0</v>
      </c>
      <c r="AD790" s="20"/>
      <c r="AE790" s="23" t="n">
        <f aca="false">AC790-AD790</f>
        <v>0</v>
      </c>
      <c r="AF790" s="21" t="str">
        <f aca="false">IFERROR(AD790/AC790,"")</f>
        <v/>
      </c>
    </row>
    <row r="791" customFormat="false" ht="15" hidden="false" customHeight="true" outlineLevel="0" collapsed="false">
      <c r="A791" s="14" t="n">
        <v>650809</v>
      </c>
      <c r="B791" s="14" t="n">
        <v>492059</v>
      </c>
      <c r="C791" s="14" t="s">
        <v>6311</v>
      </c>
      <c r="D791" s="14" t="s">
        <v>6312</v>
      </c>
      <c r="E791" s="14" t="s">
        <v>6313</v>
      </c>
      <c r="F791" s="14" t="s">
        <v>6314</v>
      </c>
      <c r="G791" s="14" t="s">
        <v>6315</v>
      </c>
      <c r="H791" s="14" t="s">
        <v>6316</v>
      </c>
      <c r="I791" s="14" t="s">
        <v>6317</v>
      </c>
      <c r="J791" s="14" t="s">
        <v>6318</v>
      </c>
      <c r="K791" s="14" t="s">
        <v>67</v>
      </c>
      <c r="L791" s="14" t="s">
        <v>6319</v>
      </c>
      <c r="M791" s="14" t="s">
        <v>6320</v>
      </c>
      <c r="N791" s="14" t="s">
        <v>70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 t="n">
        <v>1</v>
      </c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2" t="n">
        <f aca="false">AB791*(1+$L$3)</f>
        <v>0</v>
      </c>
      <c r="AD791" s="20"/>
      <c r="AE791" s="23" t="n">
        <f aca="false">AC791-AD791</f>
        <v>0</v>
      </c>
      <c r="AF791" s="21" t="str">
        <f aca="false">IFERROR(AD791/AC791,"")</f>
        <v/>
      </c>
    </row>
    <row r="792" customFormat="false" ht="15" hidden="false" customHeight="true" outlineLevel="0" collapsed="false">
      <c r="A792" s="14" t="n">
        <v>618868</v>
      </c>
      <c r="B792" s="14" t="n">
        <v>469315</v>
      </c>
      <c r="C792" s="14" t="s">
        <v>6321</v>
      </c>
      <c r="D792" s="14" t="s">
        <v>6322</v>
      </c>
      <c r="E792" s="14" t="s">
        <v>6323</v>
      </c>
      <c r="F792" s="14" t="s">
        <v>6324</v>
      </c>
      <c r="G792" s="14" t="s">
        <v>6325</v>
      </c>
      <c r="H792" s="14" t="s">
        <v>6326</v>
      </c>
      <c r="I792" s="14"/>
      <c r="J792" s="14" t="s">
        <v>6327</v>
      </c>
      <c r="K792" s="14" t="s">
        <v>67</v>
      </c>
      <c r="L792" s="14" t="s">
        <v>6328</v>
      </c>
      <c r="M792" s="14" t="s">
        <v>6329</v>
      </c>
      <c r="N792" s="14" t="s">
        <v>70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2" t="n">
        <f aca="false">AB792*(1+$L$3)</f>
        <v>0</v>
      </c>
      <c r="AD792" s="20"/>
      <c r="AE792" s="23" t="n">
        <f aca="false">AC792-AD792</f>
        <v>0</v>
      </c>
      <c r="AF792" s="21" t="str">
        <f aca="false">IFERROR(AD792/AC792,"")</f>
        <v/>
      </c>
    </row>
    <row r="793" customFormat="false" ht="15" hidden="false" customHeight="true" outlineLevel="0" collapsed="false">
      <c r="A793" s="14" t="n">
        <v>651087</v>
      </c>
      <c r="B793" s="14" t="n">
        <v>492343</v>
      </c>
      <c r="C793" s="14" t="s">
        <v>6330</v>
      </c>
      <c r="D793" s="14" t="s">
        <v>6331</v>
      </c>
      <c r="E793" s="14" t="s">
        <v>6332</v>
      </c>
      <c r="F793" s="14" t="s">
        <v>6333</v>
      </c>
      <c r="G793" s="14" t="s">
        <v>6334</v>
      </c>
      <c r="H793" s="14" t="s">
        <v>6335</v>
      </c>
      <c r="I793" s="14" t="s">
        <v>6336</v>
      </c>
      <c r="J793" s="14" t="s">
        <v>1934</v>
      </c>
      <c r="K793" s="14" t="s">
        <v>307</v>
      </c>
      <c r="L793" s="14" t="s">
        <v>1935</v>
      </c>
      <c r="M793" s="14" t="s">
        <v>6337</v>
      </c>
      <c r="N793" s="14" t="s">
        <v>70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2" t="n">
        <f aca="false">AB793*(1+$L$3)</f>
        <v>0</v>
      </c>
      <c r="AD793" s="20"/>
      <c r="AE793" s="23" t="n">
        <f aca="false">AC793-AD793</f>
        <v>0</v>
      </c>
      <c r="AF793" s="21" t="str">
        <f aca="false">IFERROR(AD793/AC793,"")</f>
        <v/>
      </c>
    </row>
    <row r="794" customFormat="false" ht="15" hidden="false" customHeight="true" outlineLevel="0" collapsed="false">
      <c r="A794" s="14" t="n">
        <v>651073</v>
      </c>
      <c r="B794" s="14" t="n">
        <v>492329</v>
      </c>
      <c r="C794" s="14" t="s">
        <v>6338</v>
      </c>
      <c r="D794" s="14" t="s">
        <v>6339</v>
      </c>
      <c r="E794" s="14" t="s">
        <v>6340</v>
      </c>
      <c r="F794" s="14" t="s">
        <v>6341</v>
      </c>
      <c r="G794" s="14" t="s">
        <v>6342</v>
      </c>
      <c r="H794" s="14" t="s">
        <v>6343</v>
      </c>
      <c r="I794" s="14"/>
      <c r="J794" s="14" t="s">
        <v>5018</v>
      </c>
      <c r="K794" s="14" t="s">
        <v>307</v>
      </c>
      <c r="L794" s="14" t="s">
        <v>6344</v>
      </c>
      <c r="M794" s="14" t="s">
        <v>6345</v>
      </c>
      <c r="N794" s="14" t="s">
        <v>70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2" t="n">
        <f aca="false">AB794*(1+$L$3)</f>
        <v>0</v>
      </c>
      <c r="AD794" s="20"/>
      <c r="AE794" s="23" t="n">
        <f aca="false">AC794-AD794</f>
        <v>0</v>
      </c>
      <c r="AF794" s="21" t="str">
        <f aca="false">IFERROR(AD794/AC794,"")</f>
        <v/>
      </c>
    </row>
    <row r="795" customFormat="false" ht="15" hidden="false" customHeight="true" outlineLevel="0" collapsed="false">
      <c r="A795" s="14" t="n">
        <v>651058</v>
      </c>
      <c r="B795" s="14" t="n">
        <v>492313</v>
      </c>
      <c r="C795" s="14" t="s">
        <v>6346</v>
      </c>
      <c r="D795" s="14" t="s">
        <v>5058</v>
      </c>
      <c r="E795" s="14" t="s">
        <v>5465</v>
      </c>
      <c r="F795" s="14" t="s">
        <v>5060</v>
      </c>
      <c r="G795" s="14" t="s">
        <v>5061</v>
      </c>
      <c r="H795" s="14" t="s">
        <v>6347</v>
      </c>
      <c r="I795" s="14" t="s">
        <v>129</v>
      </c>
      <c r="J795" s="14" t="s">
        <v>2193</v>
      </c>
      <c r="K795" s="14" t="s">
        <v>307</v>
      </c>
      <c r="L795" s="14" t="s">
        <v>2194</v>
      </c>
      <c r="M795" s="14" t="s">
        <v>5064</v>
      </c>
      <c r="N795" s="14" t="s">
        <v>70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2" t="n">
        <f aca="false">AB795*(1+$L$3)</f>
        <v>0</v>
      </c>
      <c r="AD795" s="20"/>
      <c r="AE795" s="23" t="n">
        <f aca="false">AC795-AD795</f>
        <v>0</v>
      </c>
      <c r="AF795" s="21" t="str">
        <f aca="false">IFERROR(AD795/AC795,"")</f>
        <v/>
      </c>
    </row>
    <row r="796" customFormat="false" ht="15" hidden="false" customHeight="true" outlineLevel="0" collapsed="false">
      <c r="A796" s="14" t="n">
        <v>650831</v>
      </c>
      <c r="B796" s="14" t="n">
        <v>492081</v>
      </c>
      <c r="C796" s="14" t="s">
        <v>6348</v>
      </c>
      <c r="D796" s="14" t="s">
        <v>6349</v>
      </c>
      <c r="E796" s="14" t="s">
        <v>6350</v>
      </c>
      <c r="F796" s="14" t="s">
        <v>6351</v>
      </c>
      <c r="G796" s="14" t="s">
        <v>6352</v>
      </c>
      <c r="H796" s="14" t="s">
        <v>6353</v>
      </c>
      <c r="I796" s="14"/>
      <c r="J796" s="14" t="s">
        <v>638</v>
      </c>
      <c r="K796" s="14" t="s">
        <v>67</v>
      </c>
      <c r="L796" s="14" t="s">
        <v>1953</v>
      </c>
      <c r="M796" s="14" t="s">
        <v>6354</v>
      </c>
      <c r="N796" s="14" t="s">
        <v>70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2" t="n">
        <f aca="false">AB796*(1+$L$3)</f>
        <v>0</v>
      </c>
      <c r="AD796" s="20"/>
      <c r="AE796" s="23" t="n">
        <f aca="false">AC796-AD796</f>
        <v>0</v>
      </c>
      <c r="AF796" s="21" t="str">
        <f aca="false">IFERROR(AD796/AC796,"")</f>
        <v/>
      </c>
    </row>
    <row r="797" customFormat="false" ht="15" hidden="false" customHeight="true" outlineLevel="0" collapsed="false">
      <c r="A797" s="14" t="n">
        <v>650777</v>
      </c>
      <c r="B797" s="14" t="n">
        <v>492027</v>
      </c>
      <c r="C797" s="14" t="s">
        <v>6355</v>
      </c>
      <c r="D797" s="14" t="s">
        <v>6356</v>
      </c>
      <c r="E797" s="14" t="s">
        <v>6357</v>
      </c>
      <c r="F797" s="14" t="s">
        <v>6358</v>
      </c>
      <c r="G797" s="14" t="s">
        <v>6359</v>
      </c>
      <c r="H797" s="14" t="s">
        <v>6360</v>
      </c>
      <c r="I797" s="14"/>
      <c r="J797" s="14" t="s">
        <v>6361</v>
      </c>
      <c r="K797" s="14" t="s">
        <v>932</v>
      </c>
      <c r="L797" s="14" t="s">
        <v>6362</v>
      </c>
      <c r="M797" s="14" t="s">
        <v>6363</v>
      </c>
      <c r="N797" s="14" t="s">
        <v>70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2" t="n">
        <f aca="false">AB797*(1+$L$3)</f>
        <v>0</v>
      </c>
      <c r="AD797" s="20"/>
      <c r="AE797" s="23" t="n">
        <f aca="false">AC797-AD797</f>
        <v>0</v>
      </c>
      <c r="AF797" s="21" t="str">
        <f aca="false">IFERROR(AD797/AC797,"")</f>
        <v/>
      </c>
    </row>
    <row r="798" customFormat="false" ht="15" hidden="false" customHeight="true" outlineLevel="0" collapsed="false">
      <c r="A798" s="14" t="n">
        <v>650782</v>
      </c>
      <c r="B798" s="14" t="n">
        <v>492032</v>
      </c>
      <c r="C798" s="14" t="s">
        <v>6364</v>
      </c>
      <c r="D798" s="14" t="s">
        <v>6365</v>
      </c>
      <c r="E798" s="14" t="s">
        <v>6366</v>
      </c>
      <c r="F798" s="14" t="s">
        <v>6367</v>
      </c>
      <c r="G798" s="14" t="s">
        <v>6368</v>
      </c>
      <c r="H798" s="14" t="s">
        <v>6369</v>
      </c>
      <c r="I798" s="14" t="s">
        <v>6370</v>
      </c>
      <c r="J798" s="14" t="s">
        <v>6371</v>
      </c>
      <c r="K798" s="14" t="s">
        <v>5462</v>
      </c>
      <c r="L798" s="14" t="s">
        <v>6372</v>
      </c>
      <c r="M798" s="14" t="s">
        <v>6373</v>
      </c>
      <c r="N798" s="14" t="s">
        <v>70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2" t="n">
        <f aca="false">AB798*(1+$L$3)</f>
        <v>0</v>
      </c>
      <c r="AD798" s="20"/>
      <c r="AE798" s="23" t="n">
        <f aca="false">AC798-AD798</f>
        <v>0</v>
      </c>
      <c r="AF798" s="21" t="str">
        <f aca="false">IFERROR(AD798/AC798,"")</f>
        <v/>
      </c>
    </row>
    <row r="799" customFormat="false" ht="15" hidden="false" customHeight="true" outlineLevel="0" collapsed="false">
      <c r="A799" s="14" t="n">
        <v>650873</v>
      </c>
      <c r="B799" s="14" t="n">
        <v>492127</v>
      </c>
      <c r="C799" s="14" t="s">
        <v>6374</v>
      </c>
      <c r="D799" s="14" t="s">
        <v>6375</v>
      </c>
      <c r="E799" s="14" t="s">
        <v>6376</v>
      </c>
      <c r="F799" s="14" t="s">
        <v>4798</v>
      </c>
      <c r="G799" s="14" t="s">
        <v>4799</v>
      </c>
      <c r="H799" s="14" t="s">
        <v>6377</v>
      </c>
      <c r="I799" s="14" t="s">
        <v>5289</v>
      </c>
      <c r="J799" s="14" t="s">
        <v>489</v>
      </c>
      <c r="K799" s="14" t="s">
        <v>307</v>
      </c>
      <c r="L799" s="14" t="s">
        <v>5486</v>
      </c>
      <c r="M799" s="14" t="s">
        <v>5935</v>
      </c>
      <c r="N799" s="14" t="s">
        <v>70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2" t="n">
        <f aca="false">AB799*(1+$L$3)</f>
        <v>0</v>
      </c>
      <c r="AD799" s="20"/>
      <c r="AE799" s="23" t="n">
        <f aca="false">AC799-AD799</f>
        <v>0</v>
      </c>
      <c r="AF799" s="21" t="str">
        <f aca="false">IFERROR(AD799/AC799,"")</f>
        <v/>
      </c>
    </row>
    <row r="800" customFormat="false" ht="15" hidden="false" customHeight="true" outlineLevel="0" collapsed="false">
      <c r="A800" s="14" t="n">
        <v>650770</v>
      </c>
      <c r="B800" s="14" t="n">
        <v>492020</v>
      </c>
      <c r="C800" s="14" t="s">
        <v>6378</v>
      </c>
      <c r="D800" s="14" t="s">
        <v>6379</v>
      </c>
      <c r="E800" s="14" t="s">
        <v>6380</v>
      </c>
      <c r="F800" s="14" t="s">
        <v>6381</v>
      </c>
      <c r="G800" s="14" t="s">
        <v>6382</v>
      </c>
      <c r="H800" s="14" t="s">
        <v>6383</v>
      </c>
      <c r="I800" s="14"/>
      <c r="J800" s="14" t="s">
        <v>6384</v>
      </c>
      <c r="K800" s="14" t="s">
        <v>506</v>
      </c>
      <c r="L800" s="14" t="s">
        <v>6385</v>
      </c>
      <c r="M800" s="14" t="s">
        <v>6386</v>
      </c>
      <c r="N800" s="14" t="s">
        <v>70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2" t="n">
        <f aca="false">AB800*(1+$L$3)</f>
        <v>0</v>
      </c>
      <c r="AD800" s="20"/>
      <c r="AE800" s="23" t="n">
        <f aca="false">AC800-AD800</f>
        <v>0</v>
      </c>
      <c r="AF800" s="21" t="str">
        <f aca="false">IFERROR(AD800/AC800,"")</f>
        <v/>
      </c>
    </row>
    <row r="801" customFormat="false" ht="15" hidden="false" customHeight="true" outlineLevel="0" collapsed="false">
      <c r="A801" s="14" t="n">
        <v>633875</v>
      </c>
      <c r="B801" s="14" t="n">
        <v>480373</v>
      </c>
      <c r="C801" s="14" t="s">
        <v>6387</v>
      </c>
      <c r="D801" s="14" t="s">
        <v>6388</v>
      </c>
      <c r="E801" s="14" t="s">
        <v>6389</v>
      </c>
      <c r="F801" s="14" t="s">
        <v>6390</v>
      </c>
      <c r="G801" s="14" t="s">
        <v>6391</v>
      </c>
      <c r="H801" s="14" t="s">
        <v>6392</v>
      </c>
      <c r="I801" s="14"/>
      <c r="J801" s="14" t="s">
        <v>6393</v>
      </c>
      <c r="K801" s="14" t="s">
        <v>464</v>
      </c>
      <c r="L801" s="14" t="s">
        <v>6394</v>
      </c>
      <c r="M801" s="14" t="s">
        <v>6395</v>
      </c>
      <c r="N801" s="14" t="s">
        <v>70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2" t="n">
        <f aca="false">AB801*(1+$L$3)</f>
        <v>0</v>
      </c>
      <c r="AD801" s="20"/>
      <c r="AE801" s="23" t="n">
        <f aca="false">AC801-AD801</f>
        <v>0</v>
      </c>
      <c r="AF801" s="21" t="str">
        <f aca="false">IFERROR(AD801/AC801,"")</f>
        <v/>
      </c>
    </row>
    <row r="802" customFormat="false" ht="15" hidden="false" customHeight="true" outlineLevel="0" collapsed="false">
      <c r="A802" s="14"/>
      <c r="B802" s="14"/>
      <c r="C802" s="14" t="s">
        <v>6396</v>
      </c>
      <c r="D802" s="14" t="s">
        <v>6397</v>
      </c>
      <c r="E802" s="14" t="s">
        <v>6398</v>
      </c>
      <c r="F802" s="14"/>
      <c r="G802" s="14"/>
      <c r="H802" s="14" t="s">
        <v>6399</v>
      </c>
      <c r="I802" s="14" t="s">
        <v>4933</v>
      </c>
      <c r="J802" s="14" t="s">
        <v>6400</v>
      </c>
      <c r="K802" s="14" t="s">
        <v>307</v>
      </c>
      <c r="L802" s="14" t="s">
        <v>6401</v>
      </c>
      <c r="M802" s="14" t="s">
        <v>3752</v>
      </c>
      <c r="N802" s="14" t="s">
        <v>70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2" t="n">
        <f aca="false">AB802*(1+$L$3)</f>
        <v>0</v>
      </c>
      <c r="AD802" s="20"/>
      <c r="AE802" s="23" t="n">
        <f aca="false">AC802-AD802</f>
        <v>0</v>
      </c>
      <c r="AF802" s="21" t="str">
        <f aca="false">IFERROR(AD802/AC802,"")</f>
        <v/>
      </c>
    </row>
    <row r="803" customFormat="false" ht="15" hidden="false" customHeight="true" outlineLevel="0" collapsed="false">
      <c r="A803" s="14" t="n">
        <v>650430</v>
      </c>
      <c r="B803" s="14" t="n">
        <v>491674</v>
      </c>
      <c r="C803" s="14" t="s">
        <v>6402</v>
      </c>
      <c r="D803" s="14" t="s">
        <v>6403</v>
      </c>
      <c r="E803" s="14" t="s">
        <v>6404</v>
      </c>
      <c r="F803" s="14" t="s">
        <v>6405</v>
      </c>
      <c r="G803" s="14" t="s">
        <v>6406</v>
      </c>
      <c r="H803" s="14" t="s">
        <v>6407</v>
      </c>
      <c r="I803" s="14"/>
      <c r="J803" s="14" t="s">
        <v>47</v>
      </c>
      <c r="K803" s="14" t="s">
        <v>48</v>
      </c>
      <c r="L803" s="14" t="s">
        <v>6408</v>
      </c>
      <c r="M803" s="14" t="s">
        <v>6409</v>
      </c>
      <c r="N803" s="14" t="s">
        <v>70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2" t="n">
        <f aca="false">AB803*(1+$L$3)</f>
        <v>0</v>
      </c>
      <c r="AD803" s="20"/>
      <c r="AE803" s="23" t="n">
        <f aca="false">AC803-AD803</f>
        <v>0</v>
      </c>
      <c r="AF803" s="21" t="str">
        <f aca="false">IFERROR(AD803/AC803,"")</f>
        <v/>
      </c>
    </row>
    <row r="804" customFormat="false" ht="15" hidden="false" customHeight="true" outlineLevel="0" collapsed="false">
      <c r="A804" s="14" t="n">
        <v>650566</v>
      </c>
      <c r="B804" s="14" t="n">
        <v>491811</v>
      </c>
      <c r="C804" s="14" t="s">
        <v>6410</v>
      </c>
      <c r="D804" s="14" t="s">
        <v>6411</v>
      </c>
      <c r="E804" s="14" t="s">
        <v>6412</v>
      </c>
      <c r="F804" s="14" t="s">
        <v>6413</v>
      </c>
      <c r="G804" s="14" t="s">
        <v>6414</v>
      </c>
      <c r="H804" s="14" t="s">
        <v>6415</v>
      </c>
      <c r="I804" s="14" t="s">
        <v>129</v>
      </c>
      <c r="J804" s="14" t="s">
        <v>6416</v>
      </c>
      <c r="K804" s="14" t="s">
        <v>506</v>
      </c>
      <c r="L804" s="14" t="s">
        <v>6417</v>
      </c>
      <c r="M804" s="14" t="s">
        <v>6418</v>
      </c>
      <c r="N804" s="14" t="s">
        <v>70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2" t="n">
        <f aca="false">AB804*(1+$L$3)</f>
        <v>0</v>
      </c>
      <c r="AD804" s="20"/>
      <c r="AE804" s="23" t="n">
        <f aca="false">AC804-AD804</f>
        <v>0</v>
      </c>
      <c r="AF804" s="21" t="str">
        <f aca="false">IFERROR(AD804/AC804,"")</f>
        <v/>
      </c>
    </row>
    <row r="805" customFormat="false" ht="15" hidden="false" customHeight="true" outlineLevel="0" collapsed="false">
      <c r="A805" s="14" t="n">
        <v>650578</v>
      </c>
      <c r="B805" s="14" t="n">
        <v>491823</v>
      </c>
      <c r="C805" s="14" t="s">
        <v>6419</v>
      </c>
      <c r="D805" s="14" t="s">
        <v>6420</v>
      </c>
      <c r="E805" s="14" t="s">
        <v>6421</v>
      </c>
      <c r="F805" s="14" t="s">
        <v>6422</v>
      </c>
      <c r="G805" s="14" t="s">
        <v>6423</v>
      </c>
      <c r="H805" s="14" t="s">
        <v>6424</v>
      </c>
      <c r="I805" s="14"/>
      <c r="J805" s="14" t="s">
        <v>2985</v>
      </c>
      <c r="K805" s="14" t="s">
        <v>2986</v>
      </c>
      <c r="L805" s="14" t="s">
        <v>6425</v>
      </c>
      <c r="M805" s="14" t="s">
        <v>6426</v>
      </c>
      <c r="N805" s="14" t="s">
        <v>70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2" t="n">
        <f aca="false">AB805*(1+$L$3)</f>
        <v>0</v>
      </c>
      <c r="AD805" s="20"/>
      <c r="AE805" s="23" t="n">
        <f aca="false">AC805-AD805</f>
        <v>0</v>
      </c>
      <c r="AF805" s="21" t="str">
        <f aca="false">IFERROR(AD805/AC805,"")</f>
        <v/>
      </c>
    </row>
    <row r="806" customFormat="false" ht="15" hidden="false" customHeight="true" outlineLevel="0" collapsed="false">
      <c r="A806" s="14" t="n">
        <v>650474</v>
      </c>
      <c r="B806" s="14" t="n">
        <v>491719</v>
      </c>
      <c r="C806" s="14" t="s">
        <v>6427</v>
      </c>
      <c r="D806" s="14" t="s">
        <v>6428</v>
      </c>
      <c r="E806" s="14" t="s">
        <v>6429</v>
      </c>
      <c r="F806" s="14" t="s">
        <v>6430</v>
      </c>
      <c r="G806" s="14" t="s">
        <v>6431</v>
      </c>
      <c r="H806" s="14" t="s">
        <v>6432</v>
      </c>
      <c r="I806" s="14"/>
      <c r="J806" s="14" t="s">
        <v>1606</v>
      </c>
      <c r="K806" s="14" t="s">
        <v>307</v>
      </c>
      <c r="L806" s="14" t="s">
        <v>1607</v>
      </c>
      <c r="M806" s="14" t="s">
        <v>6433</v>
      </c>
      <c r="N806" s="14" t="s">
        <v>70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2" t="n">
        <f aca="false">AB806*(1+$L$3)</f>
        <v>0</v>
      </c>
      <c r="AD806" s="20"/>
      <c r="AE806" s="23" t="n">
        <f aca="false">AC806-AD806</f>
        <v>0</v>
      </c>
      <c r="AF806" s="21" t="str">
        <f aca="false">IFERROR(AD806/AC806,"")</f>
        <v/>
      </c>
    </row>
    <row r="807" customFormat="false" ht="15" hidden="false" customHeight="true" outlineLevel="0" collapsed="false">
      <c r="A807" s="14" t="n">
        <v>650428</v>
      </c>
      <c r="B807" s="14" t="n">
        <v>491672</v>
      </c>
      <c r="C807" s="14" t="s">
        <v>6434</v>
      </c>
      <c r="D807" s="14" t="s">
        <v>6435</v>
      </c>
      <c r="E807" s="14" t="s">
        <v>6436</v>
      </c>
      <c r="F807" s="14" t="s">
        <v>6437</v>
      </c>
      <c r="G807" s="14" t="s">
        <v>6438</v>
      </c>
      <c r="H807" s="14" t="s">
        <v>6439</v>
      </c>
      <c r="I807" s="14"/>
      <c r="J807" s="14" t="s">
        <v>47</v>
      </c>
      <c r="K807" s="14" t="s">
        <v>48</v>
      </c>
      <c r="L807" s="14" t="s">
        <v>6440</v>
      </c>
      <c r="M807" s="14" t="s">
        <v>6441</v>
      </c>
      <c r="N807" s="14" t="s">
        <v>70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2" t="n">
        <f aca="false">AB807*(1+$L$3)</f>
        <v>0</v>
      </c>
      <c r="AD807" s="20"/>
      <c r="AE807" s="23" t="n">
        <f aca="false">AC807-AD807</f>
        <v>0</v>
      </c>
      <c r="AF807" s="21" t="str">
        <f aca="false">IFERROR(AD807/AC807,"")</f>
        <v/>
      </c>
    </row>
    <row r="808" customFormat="false" ht="15" hidden="false" customHeight="true" outlineLevel="0" collapsed="false">
      <c r="A808" s="14" t="n">
        <v>650443</v>
      </c>
      <c r="B808" s="14" t="n">
        <v>491687</v>
      </c>
      <c r="C808" s="14" t="s">
        <v>6442</v>
      </c>
      <c r="D808" s="14" t="s">
        <v>6443</v>
      </c>
      <c r="E808" s="14" t="s">
        <v>6444</v>
      </c>
      <c r="F808" s="14" t="s">
        <v>6445</v>
      </c>
      <c r="G808" s="14" t="s">
        <v>6446</v>
      </c>
      <c r="H808" s="14" t="s">
        <v>6447</v>
      </c>
      <c r="I808" s="14" t="s">
        <v>793</v>
      </c>
      <c r="J808" s="14" t="s">
        <v>2193</v>
      </c>
      <c r="K808" s="14" t="s">
        <v>307</v>
      </c>
      <c r="L808" s="14" t="s">
        <v>2194</v>
      </c>
      <c r="M808" s="14" t="s">
        <v>6448</v>
      </c>
      <c r="N808" s="14" t="s">
        <v>70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2" t="n">
        <f aca="false">AB808*(1+$L$3)</f>
        <v>0</v>
      </c>
      <c r="AD808" s="20"/>
      <c r="AE808" s="23" t="n">
        <f aca="false">AC808-AD808</f>
        <v>0</v>
      </c>
      <c r="AF808" s="21" t="str">
        <f aca="false">IFERROR(AD808/AC808,"")</f>
        <v/>
      </c>
    </row>
    <row r="809" customFormat="false" ht="15" hidden="false" customHeight="true" outlineLevel="0" collapsed="false">
      <c r="A809" s="14" t="n">
        <v>650293</v>
      </c>
      <c r="B809" s="14" t="n">
        <v>491536</v>
      </c>
      <c r="C809" s="14" t="s">
        <v>6449</v>
      </c>
      <c r="D809" s="14" t="s">
        <v>6450</v>
      </c>
      <c r="E809" s="14" t="s">
        <v>6451</v>
      </c>
      <c r="F809" s="14" t="s">
        <v>6452</v>
      </c>
      <c r="G809" s="14" t="s">
        <v>6453</v>
      </c>
      <c r="H809" s="14" t="s">
        <v>6454</v>
      </c>
      <c r="I809" s="14"/>
      <c r="J809" s="14" t="s">
        <v>5625</v>
      </c>
      <c r="K809" s="14" t="s">
        <v>67</v>
      </c>
      <c r="L809" s="14" t="s">
        <v>6455</v>
      </c>
      <c r="M809" s="14" t="s">
        <v>6456</v>
      </c>
      <c r="N809" s="14" t="s">
        <v>70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2" t="n">
        <f aca="false">AB809*(1+$L$3)</f>
        <v>0</v>
      </c>
      <c r="AD809" s="20"/>
      <c r="AE809" s="23" t="n">
        <f aca="false">AC809-AD809</f>
        <v>0</v>
      </c>
      <c r="AF809" s="21" t="str">
        <f aca="false">IFERROR(AD809/AC809,"")</f>
        <v/>
      </c>
    </row>
    <row r="810" customFormat="false" ht="15" hidden="false" customHeight="true" outlineLevel="0" collapsed="false">
      <c r="A810" s="14" t="n">
        <v>649981</v>
      </c>
      <c r="B810" s="14" t="n">
        <v>491247</v>
      </c>
      <c r="C810" s="14" t="s">
        <v>6457</v>
      </c>
      <c r="D810" s="14" t="s">
        <v>6458</v>
      </c>
      <c r="E810" s="14" t="s">
        <v>6459</v>
      </c>
      <c r="F810" s="14" t="s">
        <v>6460</v>
      </c>
      <c r="G810" s="14" t="s">
        <v>6461</v>
      </c>
      <c r="H810" s="14" t="s">
        <v>6462</v>
      </c>
      <c r="I810" s="14"/>
      <c r="J810" s="14" t="s">
        <v>6463</v>
      </c>
      <c r="K810" s="14" t="s">
        <v>307</v>
      </c>
      <c r="L810" s="14" t="s">
        <v>6464</v>
      </c>
      <c r="M810" s="14" t="s">
        <v>6465</v>
      </c>
      <c r="N810" s="14" t="s">
        <v>70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2" t="n">
        <f aca="false">AB810*(1+$L$3)</f>
        <v>0</v>
      </c>
      <c r="AD810" s="20"/>
      <c r="AE810" s="23" t="n">
        <f aca="false">AC810-AD810</f>
        <v>0</v>
      </c>
      <c r="AF810" s="21" t="str">
        <f aca="false">IFERROR(AD810/AC810,"")</f>
        <v/>
      </c>
    </row>
    <row r="811" customFormat="false" ht="15" hidden="false" customHeight="true" outlineLevel="0" collapsed="false">
      <c r="A811" s="14" t="n">
        <v>649236</v>
      </c>
      <c r="B811" s="14" t="n">
        <v>490542</v>
      </c>
      <c r="C811" s="14" t="s">
        <v>6466</v>
      </c>
      <c r="D811" s="14" t="s">
        <v>6467</v>
      </c>
      <c r="E811" s="14" t="s">
        <v>6468</v>
      </c>
      <c r="F811" s="14" t="s">
        <v>2825</v>
      </c>
      <c r="G811" s="14" t="s">
        <v>6469</v>
      </c>
      <c r="H811" s="14" t="s">
        <v>6470</v>
      </c>
      <c r="I811" s="14" t="s">
        <v>1422</v>
      </c>
      <c r="J811" s="14" t="s">
        <v>2750</v>
      </c>
      <c r="K811" s="14" t="s">
        <v>506</v>
      </c>
      <c r="L811" s="14" t="s">
        <v>3053</v>
      </c>
      <c r="M811" s="14" t="s">
        <v>6471</v>
      </c>
      <c r="N811" s="14" t="s">
        <v>70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2" t="n">
        <f aca="false">AB811*(1+$L$3)</f>
        <v>0</v>
      </c>
      <c r="AD811" s="20"/>
      <c r="AE811" s="23" t="n">
        <f aca="false">AC811-AD811</f>
        <v>0</v>
      </c>
      <c r="AF811" s="21" t="str">
        <f aca="false">IFERROR(AD811/AC811,"")</f>
        <v/>
      </c>
    </row>
    <row r="812" customFormat="false" ht="15" hidden="false" customHeight="true" outlineLevel="0" collapsed="false">
      <c r="A812" s="14" t="n">
        <v>649491</v>
      </c>
      <c r="B812" s="14" t="n">
        <v>490761</v>
      </c>
      <c r="C812" s="14" t="s">
        <v>6472</v>
      </c>
      <c r="D812" s="14" t="s">
        <v>6473</v>
      </c>
      <c r="E812" s="14" t="s">
        <v>6474</v>
      </c>
      <c r="F812" s="14" t="s">
        <v>6475</v>
      </c>
      <c r="G812" s="14" t="s">
        <v>6476</v>
      </c>
      <c r="H812" s="14" t="s">
        <v>6477</v>
      </c>
      <c r="I812" s="14"/>
      <c r="J812" s="14" t="s">
        <v>1328</v>
      </c>
      <c r="K812" s="14" t="s">
        <v>506</v>
      </c>
      <c r="L812" s="14" t="s">
        <v>6478</v>
      </c>
      <c r="M812" s="14" t="s">
        <v>6479</v>
      </c>
      <c r="N812" s="14" t="s">
        <v>70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2" t="n">
        <f aca="false">AB812*(1+$L$3)</f>
        <v>0</v>
      </c>
      <c r="AD812" s="20"/>
      <c r="AE812" s="23" t="n">
        <f aca="false">AC812-AD812</f>
        <v>0</v>
      </c>
      <c r="AF812" s="21" t="str">
        <f aca="false">IFERROR(AD812/AC812,"")</f>
        <v/>
      </c>
    </row>
    <row r="813" customFormat="false" ht="15" hidden="false" customHeight="true" outlineLevel="0" collapsed="false">
      <c r="A813" s="14" t="n">
        <v>649146</v>
      </c>
      <c r="B813" s="14" t="n">
        <v>490446</v>
      </c>
      <c r="C813" s="14" t="s">
        <v>6480</v>
      </c>
      <c r="D813" s="14" t="s">
        <v>6481</v>
      </c>
      <c r="E813" s="14" t="s">
        <v>6482</v>
      </c>
      <c r="F813" s="14" t="s">
        <v>6483</v>
      </c>
      <c r="G813" s="14" t="s">
        <v>6484</v>
      </c>
      <c r="H813" s="14" t="s">
        <v>6485</v>
      </c>
      <c r="I813" s="14"/>
      <c r="J813" s="14" t="s">
        <v>47</v>
      </c>
      <c r="K813" s="14" t="s">
        <v>48</v>
      </c>
      <c r="L813" s="14" t="s">
        <v>188</v>
      </c>
      <c r="M813" s="14" t="s">
        <v>6486</v>
      </c>
      <c r="N813" s="14" t="s">
        <v>70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2" t="n">
        <f aca="false">AB813*(1+$L$3)</f>
        <v>0</v>
      </c>
      <c r="AD813" s="20"/>
      <c r="AE813" s="23" t="n">
        <f aca="false">AC813-AD813</f>
        <v>0</v>
      </c>
      <c r="AF813" s="21" t="str">
        <f aca="false">IFERROR(AD813/AC813,"")</f>
        <v/>
      </c>
    </row>
    <row r="814" customFormat="false" ht="15" hidden="false" customHeight="true" outlineLevel="0" collapsed="false">
      <c r="A814" s="14"/>
      <c r="B814" s="14"/>
      <c r="C814" s="14" t="s">
        <v>6487</v>
      </c>
      <c r="D814" s="14" t="s">
        <v>6488</v>
      </c>
      <c r="E814" s="14" t="s">
        <v>6489</v>
      </c>
      <c r="F814" s="14"/>
      <c r="G814" s="14"/>
      <c r="H814" s="14" t="s">
        <v>6490</v>
      </c>
      <c r="I814" s="14"/>
      <c r="J814" s="14" t="s">
        <v>6491</v>
      </c>
      <c r="K814" s="14" t="s">
        <v>1752</v>
      </c>
      <c r="L814" s="14" t="s">
        <v>6492</v>
      </c>
      <c r="M814" s="14" t="s">
        <v>3752</v>
      </c>
      <c r="N814" s="14" t="s">
        <v>70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2" t="n">
        <f aca="false">AB814*(1+$L$3)</f>
        <v>0</v>
      </c>
      <c r="AD814" s="20"/>
      <c r="AE814" s="23" t="n">
        <f aca="false">AC814-AD814</f>
        <v>0</v>
      </c>
      <c r="AF814" s="21" t="str">
        <f aca="false">IFERROR(AD814/AC814,"")</f>
        <v/>
      </c>
    </row>
    <row r="815" customFormat="false" ht="15" hidden="false" customHeight="true" outlineLevel="0" collapsed="false">
      <c r="A815" s="14" t="n">
        <v>648645</v>
      </c>
      <c r="B815" s="14" t="n">
        <v>489964</v>
      </c>
      <c r="C815" s="14" t="s">
        <v>6493</v>
      </c>
      <c r="D815" s="14" t="s">
        <v>6494</v>
      </c>
      <c r="E815" s="14" t="s">
        <v>6495</v>
      </c>
      <c r="F815" s="14" t="s">
        <v>6496</v>
      </c>
      <c r="G815" s="14" t="s">
        <v>6497</v>
      </c>
      <c r="H815" s="14" t="s">
        <v>6498</v>
      </c>
      <c r="I815" s="14"/>
      <c r="J815" s="14" t="s">
        <v>5840</v>
      </c>
      <c r="K815" s="14" t="s">
        <v>307</v>
      </c>
      <c r="L815" s="14" t="s">
        <v>5841</v>
      </c>
      <c r="M815" s="14" t="s">
        <v>6499</v>
      </c>
      <c r="N815" s="14" t="s">
        <v>70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2" t="n">
        <f aca="false">AB815*(1+$L$3)</f>
        <v>0</v>
      </c>
      <c r="AD815" s="20"/>
      <c r="AE815" s="23" t="n">
        <f aca="false">AC815-AD815</f>
        <v>0</v>
      </c>
      <c r="AF815" s="21" t="str">
        <f aca="false">IFERROR(AD815/AC815,"")</f>
        <v/>
      </c>
    </row>
    <row r="816" customFormat="false" ht="15" hidden="false" customHeight="true" outlineLevel="0" collapsed="false">
      <c r="A816" s="14" t="n">
        <v>595610</v>
      </c>
      <c r="B816" s="14" t="n">
        <v>444181</v>
      </c>
      <c r="C816" s="14" t="s">
        <v>6500</v>
      </c>
      <c r="D816" s="14" t="s">
        <v>6501</v>
      </c>
      <c r="E816" s="14" t="s">
        <v>6502</v>
      </c>
      <c r="F816" s="14" t="s">
        <v>6503</v>
      </c>
      <c r="G816" s="14" t="s">
        <v>6504</v>
      </c>
      <c r="H816" s="14" t="s">
        <v>6505</v>
      </c>
      <c r="I816" s="14"/>
      <c r="J816" s="14" t="s">
        <v>6506</v>
      </c>
      <c r="K816" s="14" t="s">
        <v>67</v>
      </c>
      <c r="L816" s="14" t="s">
        <v>6507</v>
      </c>
      <c r="M816" s="14" t="s">
        <v>6508</v>
      </c>
      <c r="N816" s="14" t="s">
        <v>70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2" t="n">
        <f aca="false">AB816*(1+$L$3)</f>
        <v>0</v>
      </c>
      <c r="AD816" s="20"/>
      <c r="AE816" s="23" t="n">
        <f aca="false">AC816-AD816</f>
        <v>0</v>
      </c>
      <c r="AF816" s="21" t="str">
        <f aca="false">IFERROR(AD816/AC816,"")</f>
        <v/>
      </c>
    </row>
    <row r="817" customFormat="false" ht="15" hidden="false" customHeight="true" outlineLevel="0" collapsed="false">
      <c r="A817" s="14" t="n">
        <v>648028</v>
      </c>
      <c r="B817" s="14" t="n">
        <v>489336</v>
      </c>
      <c r="C817" s="14" t="s">
        <v>6509</v>
      </c>
      <c r="D817" s="14" t="s">
        <v>6510</v>
      </c>
      <c r="E817" s="14" t="s">
        <v>6511</v>
      </c>
      <c r="F817" s="14" t="s">
        <v>6512</v>
      </c>
      <c r="G817" s="14" t="s">
        <v>6513</v>
      </c>
      <c r="H817" s="14" t="s">
        <v>6514</v>
      </c>
      <c r="I817" s="14" t="s">
        <v>276</v>
      </c>
      <c r="J817" s="14" t="s">
        <v>2750</v>
      </c>
      <c r="K817" s="14" t="s">
        <v>506</v>
      </c>
      <c r="L817" s="14" t="s">
        <v>3053</v>
      </c>
      <c r="M817" s="14" t="s">
        <v>6515</v>
      </c>
      <c r="N817" s="14" t="s">
        <v>70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2" t="n">
        <f aca="false">AB817*(1+$L$3)</f>
        <v>0</v>
      </c>
      <c r="AD817" s="20"/>
      <c r="AE817" s="23" t="n">
        <f aca="false">AC817-AD817</f>
        <v>0</v>
      </c>
      <c r="AF817" s="21" t="str">
        <f aca="false">IFERROR(AD817/AC817,"")</f>
        <v/>
      </c>
    </row>
    <row r="818" customFormat="false" ht="15" hidden="false" customHeight="true" outlineLevel="0" collapsed="false">
      <c r="A818" s="14" t="n">
        <v>647995</v>
      </c>
      <c r="B818" s="14" t="n">
        <v>489301</v>
      </c>
      <c r="C818" s="14" t="s">
        <v>6516</v>
      </c>
      <c r="D818" s="14" t="s">
        <v>6517</v>
      </c>
      <c r="E818" s="14" t="s">
        <v>6518</v>
      </c>
      <c r="F818" s="14" t="s">
        <v>6519</v>
      </c>
      <c r="G818" s="14" t="s">
        <v>6520</v>
      </c>
      <c r="H818" s="14" t="s">
        <v>6521</v>
      </c>
      <c r="I818" s="14"/>
      <c r="J818" s="14" t="s">
        <v>1704</v>
      </c>
      <c r="K818" s="14" t="s">
        <v>48</v>
      </c>
      <c r="L818" s="14" t="s">
        <v>6522</v>
      </c>
      <c r="M818" s="14" t="s">
        <v>6523</v>
      </c>
      <c r="N818" s="14" t="s">
        <v>70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2" t="n">
        <f aca="false">AB818*(1+$L$3)</f>
        <v>0</v>
      </c>
      <c r="AD818" s="20"/>
      <c r="AE818" s="23" t="n">
        <f aca="false">AC818-AD818</f>
        <v>0</v>
      </c>
      <c r="AF818" s="21" t="str">
        <f aca="false">IFERROR(AD818/AC818,"")</f>
        <v/>
      </c>
    </row>
    <row r="819" customFormat="false" ht="15" hidden="false" customHeight="true" outlineLevel="0" collapsed="false">
      <c r="A819" s="14" t="n">
        <v>647638</v>
      </c>
      <c r="B819" s="14" t="n">
        <v>488951</v>
      </c>
      <c r="C819" s="14" t="s">
        <v>6524</v>
      </c>
      <c r="D819" s="14" t="s">
        <v>6525</v>
      </c>
      <c r="E819" s="14" t="s">
        <v>6526</v>
      </c>
      <c r="F819" s="14" t="s">
        <v>6527</v>
      </c>
      <c r="G819" s="14" t="s">
        <v>6528</v>
      </c>
      <c r="H819" s="14" t="s">
        <v>6529</v>
      </c>
      <c r="I819" s="14"/>
      <c r="J819" s="14" t="s">
        <v>6530</v>
      </c>
      <c r="K819" s="14" t="s">
        <v>67</v>
      </c>
      <c r="L819" s="14" t="s">
        <v>6531</v>
      </c>
      <c r="M819" s="14" t="s">
        <v>6532</v>
      </c>
      <c r="N819" s="14" t="s">
        <v>70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2" t="n">
        <f aca="false">AB819*(1+$L$3)</f>
        <v>0</v>
      </c>
      <c r="AD819" s="20"/>
      <c r="AE819" s="23" t="n">
        <f aca="false">AC819-AD819</f>
        <v>0</v>
      </c>
      <c r="AF819" s="21" t="str">
        <f aca="false">IFERROR(AD819/AC819,"")</f>
        <v/>
      </c>
    </row>
    <row r="820" customFormat="false" ht="15" hidden="false" customHeight="true" outlineLevel="0" collapsed="false">
      <c r="A820" s="14" t="n">
        <v>647637</v>
      </c>
      <c r="B820" s="14" t="n">
        <v>488950</v>
      </c>
      <c r="C820" s="14" t="s">
        <v>6533</v>
      </c>
      <c r="D820" s="14" t="s">
        <v>6534</v>
      </c>
      <c r="E820" s="14" t="s">
        <v>6535</v>
      </c>
      <c r="F820" s="14" t="s">
        <v>6536</v>
      </c>
      <c r="G820" s="14" t="s">
        <v>6537</v>
      </c>
      <c r="H820" s="14" t="s">
        <v>6538</v>
      </c>
      <c r="I820" s="14" t="s">
        <v>6539</v>
      </c>
      <c r="J820" s="14" t="s">
        <v>6540</v>
      </c>
      <c r="K820" s="14" t="s">
        <v>981</v>
      </c>
      <c r="L820" s="14" t="s">
        <v>6541</v>
      </c>
      <c r="M820" s="14" t="s">
        <v>6542</v>
      </c>
      <c r="N820" s="14" t="s">
        <v>70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2" t="n">
        <f aca="false">AB820*(1+$L$3)</f>
        <v>0</v>
      </c>
      <c r="AD820" s="20"/>
      <c r="AE820" s="23" t="n">
        <f aca="false">AC820-AD820</f>
        <v>0</v>
      </c>
      <c r="AF820" s="21" t="str">
        <f aca="false">IFERROR(AD820/AC820,"")</f>
        <v/>
      </c>
    </row>
    <row r="821" customFormat="false" ht="15" hidden="false" customHeight="true" outlineLevel="0" collapsed="false">
      <c r="A821" s="14" t="n">
        <v>647614</v>
      </c>
      <c r="B821" s="14" t="n">
        <v>488927</v>
      </c>
      <c r="C821" s="14" t="s">
        <v>6543</v>
      </c>
      <c r="D821" s="14" t="s">
        <v>6544</v>
      </c>
      <c r="E821" s="14" t="s">
        <v>6545</v>
      </c>
      <c r="F821" s="14" t="s">
        <v>6546</v>
      </c>
      <c r="G821" s="14" t="s">
        <v>6547</v>
      </c>
      <c r="H821" s="14" t="s">
        <v>6548</v>
      </c>
      <c r="I821" s="14"/>
      <c r="J821" s="14" t="s">
        <v>6549</v>
      </c>
      <c r="K821" s="14" t="s">
        <v>307</v>
      </c>
      <c r="L821" s="14" t="s">
        <v>6550</v>
      </c>
      <c r="M821" s="14" t="s">
        <v>6551</v>
      </c>
      <c r="N821" s="14" t="s">
        <v>70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2" t="n">
        <f aca="false">AB821*(1+$L$3)</f>
        <v>0</v>
      </c>
      <c r="AD821" s="20"/>
      <c r="AE821" s="23" t="n">
        <f aca="false">AC821-AD821</f>
        <v>0</v>
      </c>
      <c r="AF821" s="21" t="str">
        <f aca="false">IFERROR(AD821/AC821,"")</f>
        <v/>
      </c>
    </row>
    <row r="822" customFormat="false" ht="15" hidden="false" customHeight="true" outlineLevel="0" collapsed="false">
      <c r="A822" s="14" t="n">
        <v>647497</v>
      </c>
      <c r="B822" s="14" t="n">
        <v>488813</v>
      </c>
      <c r="C822" s="14" t="s">
        <v>6552</v>
      </c>
      <c r="D822" s="14" t="s">
        <v>6553</v>
      </c>
      <c r="E822" s="14" t="s">
        <v>6554</v>
      </c>
      <c r="F822" s="14" t="s">
        <v>6555</v>
      </c>
      <c r="G822" s="14" t="s">
        <v>6556</v>
      </c>
      <c r="H822" s="14" t="s">
        <v>6557</v>
      </c>
      <c r="I822" s="14" t="s">
        <v>6558</v>
      </c>
      <c r="J822" s="14" t="s">
        <v>6559</v>
      </c>
      <c r="K822" s="14" t="s">
        <v>2297</v>
      </c>
      <c r="L822" s="14" t="s">
        <v>6560</v>
      </c>
      <c r="M822" s="14" t="s">
        <v>6561</v>
      </c>
      <c r="N822" s="14" t="s">
        <v>70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2" t="n">
        <f aca="false">AB822*(1+$L$3)</f>
        <v>0</v>
      </c>
      <c r="AD822" s="20"/>
      <c r="AE822" s="23" t="n">
        <f aca="false">AC822-AD822</f>
        <v>0</v>
      </c>
      <c r="AF822" s="21" t="str">
        <f aca="false">IFERROR(AD822/AC822,"")</f>
        <v/>
      </c>
    </row>
    <row r="823" customFormat="false" ht="15" hidden="false" customHeight="true" outlineLevel="0" collapsed="false">
      <c r="A823" s="14" t="n">
        <v>647439</v>
      </c>
      <c r="B823" s="14" t="n">
        <v>488759</v>
      </c>
      <c r="C823" s="14" t="s">
        <v>6562</v>
      </c>
      <c r="D823" s="14" t="s">
        <v>6563</v>
      </c>
      <c r="E823" s="14" t="s">
        <v>6564</v>
      </c>
      <c r="F823" s="14" t="s">
        <v>6565</v>
      </c>
      <c r="G823" s="14" t="s">
        <v>6566</v>
      </c>
      <c r="H823" s="14" t="s">
        <v>6567</v>
      </c>
      <c r="I823" s="14" t="s">
        <v>6568</v>
      </c>
      <c r="J823" s="14" t="s">
        <v>6569</v>
      </c>
      <c r="K823" s="14" t="s">
        <v>604</v>
      </c>
      <c r="L823" s="14" t="s">
        <v>6570</v>
      </c>
      <c r="M823" s="14" t="s">
        <v>6571</v>
      </c>
      <c r="N823" s="14" t="s">
        <v>70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2" t="n">
        <f aca="false">AB823*(1+$L$3)</f>
        <v>0</v>
      </c>
      <c r="AD823" s="20"/>
      <c r="AE823" s="23" t="n">
        <f aca="false">AC823-AD823</f>
        <v>0</v>
      </c>
      <c r="AF823" s="21" t="str">
        <f aca="false">IFERROR(AD823/AC823,"")</f>
        <v/>
      </c>
    </row>
    <row r="824" customFormat="false" ht="15" hidden="false" customHeight="true" outlineLevel="0" collapsed="false">
      <c r="A824" s="14" t="n">
        <v>647423</v>
      </c>
      <c r="B824" s="14" t="n">
        <v>488744</v>
      </c>
      <c r="C824" s="14" t="s">
        <v>6572</v>
      </c>
      <c r="D824" s="14" t="s">
        <v>6573</v>
      </c>
      <c r="E824" s="14" t="s">
        <v>6574</v>
      </c>
      <c r="F824" s="14" t="s">
        <v>6575</v>
      </c>
      <c r="G824" s="14" t="s">
        <v>6576</v>
      </c>
      <c r="H824" s="14" t="s">
        <v>6577</v>
      </c>
      <c r="I824" s="14"/>
      <c r="J824" s="14" t="s">
        <v>316</v>
      </c>
      <c r="K824" s="14" t="s">
        <v>307</v>
      </c>
      <c r="L824" s="14" t="s">
        <v>6578</v>
      </c>
      <c r="M824" s="14" t="s">
        <v>6579</v>
      </c>
      <c r="N824" s="14" t="s">
        <v>70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2" t="n">
        <f aca="false">AB824*(1+$L$3)</f>
        <v>0</v>
      </c>
      <c r="AD824" s="20"/>
      <c r="AE824" s="23" t="n">
        <f aca="false">AC824-AD824</f>
        <v>0</v>
      </c>
      <c r="AF824" s="21" t="str">
        <f aca="false">IFERROR(AD824/AC824,"")</f>
        <v/>
      </c>
    </row>
    <row r="825" customFormat="false" ht="15" hidden="false" customHeight="true" outlineLevel="0" collapsed="false">
      <c r="A825" s="14" t="n">
        <v>647419</v>
      </c>
      <c r="B825" s="14" t="n">
        <v>488740</v>
      </c>
      <c r="C825" s="14" t="s">
        <v>6580</v>
      </c>
      <c r="D825" s="14" t="s">
        <v>6581</v>
      </c>
      <c r="E825" s="14" t="s">
        <v>6582</v>
      </c>
      <c r="F825" s="14" t="s">
        <v>6583</v>
      </c>
      <c r="G825" s="14" t="s">
        <v>6584</v>
      </c>
      <c r="H825" s="14" t="s">
        <v>6585</v>
      </c>
      <c r="I825" s="14"/>
      <c r="J825" s="14" t="s">
        <v>6586</v>
      </c>
      <c r="K825" s="14" t="s">
        <v>5462</v>
      </c>
      <c r="L825" s="14" t="s">
        <v>6587</v>
      </c>
      <c r="M825" s="14" t="s">
        <v>6588</v>
      </c>
      <c r="N825" s="14" t="s">
        <v>70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2" t="n">
        <f aca="false">AB825*(1+$L$3)</f>
        <v>0</v>
      </c>
      <c r="AD825" s="20"/>
      <c r="AE825" s="23" t="n">
        <f aca="false">AC825-AD825</f>
        <v>0</v>
      </c>
      <c r="AF825" s="21" t="str">
        <f aca="false">IFERROR(AD825/AC825,"")</f>
        <v/>
      </c>
    </row>
    <row r="826" customFormat="false" ht="15" hidden="false" customHeight="true" outlineLevel="0" collapsed="false">
      <c r="A826" s="14" t="n">
        <v>647342</v>
      </c>
      <c r="B826" s="14" t="n">
        <v>488668</v>
      </c>
      <c r="C826" s="14" t="s">
        <v>6589</v>
      </c>
      <c r="D826" s="14" t="s">
        <v>6590</v>
      </c>
      <c r="E826" s="14" t="s">
        <v>6591</v>
      </c>
      <c r="F826" s="14" t="s">
        <v>6592</v>
      </c>
      <c r="G826" s="14" t="s">
        <v>6593</v>
      </c>
      <c r="H826" s="14" t="s">
        <v>6594</v>
      </c>
      <c r="I826" s="14"/>
      <c r="J826" s="14" t="s">
        <v>6595</v>
      </c>
      <c r="K826" s="14" t="s">
        <v>307</v>
      </c>
      <c r="L826" s="14" t="s">
        <v>6596</v>
      </c>
      <c r="M826" s="14" t="s">
        <v>6597</v>
      </c>
      <c r="N826" s="14" t="s">
        <v>70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2" t="n">
        <f aca="false">AB826*(1+$L$3)</f>
        <v>0</v>
      </c>
      <c r="AD826" s="20"/>
      <c r="AE826" s="23" t="n">
        <f aca="false">AC826-AD826</f>
        <v>0</v>
      </c>
      <c r="AF826" s="21" t="str">
        <f aca="false">IFERROR(AD826/AC826,"")</f>
        <v/>
      </c>
    </row>
    <row r="827" customFormat="false" ht="15" hidden="false" customHeight="true" outlineLevel="0" collapsed="false">
      <c r="A827" s="14"/>
      <c r="B827" s="14"/>
      <c r="C827" s="14" t="s">
        <v>6598</v>
      </c>
      <c r="D827" s="14" t="s">
        <v>6599</v>
      </c>
      <c r="E827" s="14" t="s">
        <v>6600</v>
      </c>
      <c r="F827" s="14"/>
      <c r="G827" s="14"/>
      <c r="H827" s="14" t="s">
        <v>6601</v>
      </c>
      <c r="I827" s="14"/>
      <c r="J827" s="14" t="s">
        <v>1633</v>
      </c>
      <c r="K827" s="14" t="s">
        <v>67</v>
      </c>
      <c r="L827" s="14" t="s">
        <v>6602</v>
      </c>
      <c r="M827" s="14" t="s">
        <v>3752</v>
      </c>
      <c r="N827" s="14" t="s">
        <v>70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2" t="n">
        <f aca="false">AB827*(1+$L$3)</f>
        <v>0</v>
      </c>
      <c r="AD827" s="20"/>
      <c r="AE827" s="23" t="n">
        <f aca="false">AC827-AD827</f>
        <v>0</v>
      </c>
      <c r="AF827" s="21" t="str">
        <f aca="false">IFERROR(AD827/AC827,"")</f>
        <v/>
      </c>
    </row>
    <row r="828" customFormat="false" ht="15" hidden="false" customHeight="true" outlineLevel="0" collapsed="false">
      <c r="A828" s="14" t="n">
        <v>647330</v>
      </c>
      <c r="B828" s="14" t="n">
        <v>488656</v>
      </c>
      <c r="C828" s="14" t="s">
        <v>6603</v>
      </c>
      <c r="D828" s="14" t="s">
        <v>6604</v>
      </c>
      <c r="E828" s="14" t="s">
        <v>6605</v>
      </c>
      <c r="F828" s="14" t="s">
        <v>6606</v>
      </c>
      <c r="G828" s="14" t="s">
        <v>6607</v>
      </c>
      <c r="H828" s="14" t="s">
        <v>6608</v>
      </c>
      <c r="I828" s="14"/>
      <c r="J828" s="14" t="s">
        <v>5476</v>
      </c>
      <c r="K828" s="14" t="s">
        <v>67</v>
      </c>
      <c r="L828" s="14" t="s">
        <v>6609</v>
      </c>
      <c r="M828" s="14" t="s">
        <v>6610</v>
      </c>
      <c r="N828" s="14" t="s">
        <v>70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2" t="n">
        <f aca="false">AB828*(1+$L$3)</f>
        <v>0</v>
      </c>
      <c r="AD828" s="20"/>
      <c r="AE828" s="23" t="n">
        <f aca="false">AC828-AD828</f>
        <v>0</v>
      </c>
      <c r="AF828" s="21" t="str">
        <f aca="false">IFERROR(AD828/AC828,"")</f>
        <v/>
      </c>
    </row>
    <row r="829" customFormat="false" ht="15" hidden="false" customHeight="true" outlineLevel="0" collapsed="false">
      <c r="A829" s="14" t="n">
        <v>647227</v>
      </c>
      <c r="B829" s="14" t="n">
        <v>488554</v>
      </c>
      <c r="C829" s="14" t="s">
        <v>6611</v>
      </c>
      <c r="D829" s="14" t="s">
        <v>6612</v>
      </c>
      <c r="E829" s="14" t="s">
        <v>6613</v>
      </c>
      <c r="F829" s="14" t="s">
        <v>6614</v>
      </c>
      <c r="G829" s="14" t="s">
        <v>6615</v>
      </c>
      <c r="H829" s="14" t="s">
        <v>6616</v>
      </c>
      <c r="I829" s="14"/>
      <c r="J829" s="14" t="s">
        <v>6617</v>
      </c>
      <c r="K829" s="14" t="s">
        <v>2316</v>
      </c>
      <c r="L829" s="14" t="s">
        <v>6618</v>
      </c>
      <c r="M829" s="14" t="s">
        <v>6619</v>
      </c>
      <c r="N829" s="14" t="s">
        <v>70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2" t="n">
        <f aca="false">AB829*(1+$L$3)</f>
        <v>0</v>
      </c>
      <c r="AD829" s="20"/>
      <c r="AE829" s="23" t="n">
        <f aca="false">AC829-AD829</f>
        <v>0</v>
      </c>
      <c r="AF829" s="21" t="str">
        <f aca="false">IFERROR(AD829/AC829,"")</f>
        <v/>
      </c>
    </row>
    <row r="830" customFormat="false" ht="15" hidden="false" customHeight="true" outlineLevel="0" collapsed="false">
      <c r="A830" s="14" t="n">
        <v>647215</v>
      </c>
      <c r="B830" s="14" t="n">
        <v>488542</v>
      </c>
      <c r="C830" s="14" t="s">
        <v>6620</v>
      </c>
      <c r="D830" s="14" t="s">
        <v>6621</v>
      </c>
      <c r="E830" s="14" t="s">
        <v>6622</v>
      </c>
      <c r="F830" s="14" t="s">
        <v>6623</v>
      </c>
      <c r="G830" s="14" t="s">
        <v>6624</v>
      </c>
      <c r="H830" s="14" t="s">
        <v>6625</v>
      </c>
      <c r="I830" s="14"/>
      <c r="J830" s="14" t="s">
        <v>5897</v>
      </c>
      <c r="K830" s="14" t="s">
        <v>307</v>
      </c>
      <c r="L830" s="14" t="s">
        <v>6626</v>
      </c>
      <c r="M830" s="14" t="s">
        <v>6627</v>
      </c>
      <c r="N830" s="14" t="s">
        <v>70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2" t="n">
        <f aca="false">AB830*(1+$L$3)</f>
        <v>0</v>
      </c>
      <c r="AD830" s="20"/>
      <c r="AE830" s="23" t="n">
        <f aca="false">AC830-AD830</f>
        <v>0</v>
      </c>
      <c r="AF830" s="21" t="str">
        <f aca="false">IFERROR(AD830/AC830,"")</f>
        <v/>
      </c>
    </row>
    <row r="831" customFormat="false" ht="15" hidden="false" customHeight="true" outlineLevel="0" collapsed="false">
      <c r="A831" s="14" t="n">
        <v>646777</v>
      </c>
      <c r="B831" s="14" t="n">
        <v>488110</v>
      </c>
      <c r="C831" s="14" t="s">
        <v>6628</v>
      </c>
      <c r="D831" s="14" t="s">
        <v>6629</v>
      </c>
      <c r="E831" s="14" t="s">
        <v>6630</v>
      </c>
      <c r="F831" s="14" t="s">
        <v>6631</v>
      </c>
      <c r="G831" s="14" t="s">
        <v>6632</v>
      </c>
      <c r="H831" s="14" t="s">
        <v>6633</v>
      </c>
      <c r="I831" s="14"/>
      <c r="J831" s="14" t="s">
        <v>2784</v>
      </c>
      <c r="K831" s="14" t="s">
        <v>307</v>
      </c>
      <c r="L831" s="14" t="s">
        <v>2178</v>
      </c>
      <c r="M831" s="14" t="s">
        <v>6634</v>
      </c>
      <c r="N831" s="14" t="s">
        <v>70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2" t="n">
        <f aca="false">AB831*(1+$L$3)</f>
        <v>0</v>
      </c>
      <c r="AD831" s="20"/>
      <c r="AE831" s="23" t="n">
        <f aca="false">AC831-AD831</f>
        <v>0</v>
      </c>
      <c r="AF831" s="21" t="str">
        <f aca="false">IFERROR(AD831/AC831,"")</f>
        <v/>
      </c>
    </row>
    <row r="832" customFormat="false" ht="15" hidden="false" customHeight="true" outlineLevel="0" collapsed="false">
      <c r="A832" s="14" t="n">
        <v>646753</v>
      </c>
      <c r="B832" s="14" t="n">
        <v>488088</v>
      </c>
      <c r="C832" s="14" t="s">
        <v>6635</v>
      </c>
      <c r="D832" s="14" t="s">
        <v>6636</v>
      </c>
      <c r="E832" s="14" t="s">
        <v>6637</v>
      </c>
      <c r="F832" s="14" t="s">
        <v>6638</v>
      </c>
      <c r="G832" s="14" t="s">
        <v>6639</v>
      </c>
      <c r="H832" s="14" t="s">
        <v>6640</v>
      </c>
      <c r="I832" s="14"/>
      <c r="J832" s="14" t="s">
        <v>77</v>
      </c>
      <c r="K832" s="14" t="s">
        <v>48</v>
      </c>
      <c r="L832" s="14" t="s">
        <v>86</v>
      </c>
      <c r="M832" s="14" t="s">
        <v>6641</v>
      </c>
      <c r="N832" s="14" t="s">
        <v>51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2" t="n">
        <f aca="false">AB832*(1+$L$3)</f>
        <v>0</v>
      </c>
      <c r="AD832" s="20"/>
      <c r="AE832" s="23" t="n">
        <f aca="false">AC832-AD832</f>
        <v>0</v>
      </c>
      <c r="AF832" s="21" t="str">
        <f aca="false">IFERROR(AD832/AC832,"")</f>
        <v/>
      </c>
    </row>
    <row r="833" customFormat="false" ht="15" hidden="false" customHeight="true" outlineLevel="0" collapsed="false">
      <c r="A833" s="14" t="n">
        <v>646994</v>
      </c>
      <c r="B833" s="14" t="n">
        <v>488323</v>
      </c>
      <c r="C833" s="14" t="s">
        <v>6642</v>
      </c>
      <c r="D833" s="14" t="s">
        <v>6643</v>
      </c>
      <c r="E833" s="14" t="s">
        <v>6644</v>
      </c>
      <c r="F833" s="14" t="s">
        <v>6645</v>
      </c>
      <c r="G833" s="14" t="s">
        <v>6646</v>
      </c>
      <c r="H833" s="14" t="s">
        <v>6647</v>
      </c>
      <c r="I833" s="14"/>
      <c r="J833" s="14" t="s">
        <v>3990</v>
      </c>
      <c r="K833" s="14" t="s">
        <v>981</v>
      </c>
      <c r="L833" s="14" t="s">
        <v>6648</v>
      </c>
      <c r="M833" s="14" t="s">
        <v>6649</v>
      </c>
      <c r="N833" s="14" t="s">
        <v>70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2" t="n">
        <f aca="false">AB833*(1+$L$3)</f>
        <v>0</v>
      </c>
      <c r="AD833" s="20"/>
      <c r="AE833" s="23" t="n">
        <f aca="false">AC833-AD833</f>
        <v>0</v>
      </c>
      <c r="AF833" s="21" t="str">
        <f aca="false">IFERROR(AD833/AC833,"")</f>
        <v/>
      </c>
    </row>
    <row r="834" customFormat="false" ht="15" hidden="false" customHeight="true" outlineLevel="0" collapsed="false">
      <c r="A834" s="14" t="n">
        <v>646699</v>
      </c>
      <c r="B834" s="14" t="n">
        <v>488034</v>
      </c>
      <c r="C834" s="14" t="s">
        <v>6650</v>
      </c>
      <c r="D834" s="14" t="s">
        <v>6651</v>
      </c>
      <c r="E834" s="14" t="s">
        <v>6652</v>
      </c>
      <c r="F834" s="14" t="s">
        <v>6653</v>
      </c>
      <c r="G834" s="14" t="s">
        <v>6654</v>
      </c>
      <c r="H834" s="14" t="s">
        <v>6655</v>
      </c>
      <c r="I834" s="14"/>
      <c r="J834" s="14" t="s">
        <v>47</v>
      </c>
      <c r="K834" s="14" t="s">
        <v>48</v>
      </c>
      <c r="L834" s="14" t="s">
        <v>49</v>
      </c>
      <c r="M834" s="14" t="s">
        <v>6656</v>
      </c>
      <c r="N834" s="14" t="s">
        <v>51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2" t="n">
        <f aca="false">AB834*(1+$L$3)</f>
        <v>0</v>
      </c>
      <c r="AD834" s="20"/>
      <c r="AE834" s="23" t="n">
        <f aca="false">AC834-AD834</f>
        <v>0</v>
      </c>
      <c r="AF834" s="21" t="str">
        <f aca="false">IFERROR(AD834/AC834,"")</f>
        <v/>
      </c>
    </row>
    <row r="835" customFormat="false" ht="15" hidden="false" customHeight="true" outlineLevel="0" collapsed="false">
      <c r="A835" s="14" t="n">
        <v>646419</v>
      </c>
      <c r="B835" s="14" t="n">
        <v>487774</v>
      </c>
      <c r="C835" s="14" t="s">
        <v>6657</v>
      </c>
      <c r="D835" s="14" t="s">
        <v>6658</v>
      </c>
      <c r="E835" s="14" t="s">
        <v>6659</v>
      </c>
      <c r="F835" s="14" t="s">
        <v>6660</v>
      </c>
      <c r="G835" s="14" t="s">
        <v>6661</v>
      </c>
      <c r="H835" s="14" t="s">
        <v>6662</v>
      </c>
      <c r="I835" s="14" t="s">
        <v>6663</v>
      </c>
      <c r="J835" s="14" t="s">
        <v>5088</v>
      </c>
      <c r="K835" s="14" t="s">
        <v>2316</v>
      </c>
      <c r="L835" s="14" t="s">
        <v>6664</v>
      </c>
      <c r="M835" s="14" t="s">
        <v>6665</v>
      </c>
      <c r="N835" s="14" t="s">
        <v>70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2" t="n">
        <f aca="false">AB835*(1+$L$3)</f>
        <v>0</v>
      </c>
      <c r="AD835" s="20"/>
      <c r="AE835" s="23" t="n">
        <f aca="false">AC835-AD835</f>
        <v>0</v>
      </c>
      <c r="AF835" s="21" t="str">
        <f aca="false">IFERROR(AD835/AC835,"")</f>
        <v/>
      </c>
    </row>
    <row r="836" customFormat="false" ht="15" hidden="false" customHeight="true" outlineLevel="0" collapsed="false">
      <c r="A836" s="14" t="n">
        <v>647678</v>
      </c>
      <c r="B836" s="14" t="n">
        <v>488991</v>
      </c>
      <c r="C836" s="14" t="s">
        <v>6666</v>
      </c>
      <c r="D836" s="14" t="s">
        <v>6667</v>
      </c>
      <c r="E836" s="14" t="s">
        <v>6667</v>
      </c>
      <c r="F836" s="14" t="s">
        <v>6668</v>
      </c>
      <c r="G836" s="14" t="s">
        <v>6669</v>
      </c>
      <c r="H836" s="14" t="s">
        <v>6670</v>
      </c>
      <c r="I836" s="14"/>
      <c r="J836" s="14" t="s">
        <v>6671</v>
      </c>
      <c r="K836" s="14" t="s">
        <v>506</v>
      </c>
      <c r="L836" s="14" t="s">
        <v>6672</v>
      </c>
      <c r="M836" s="14" t="s">
        <v>6673</v>
      </c>
      <c r="N836" s="14" t="s">
        <v>70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2" t="n">
        <f aca="false">AB836*(1+$L$3)</f>
        <v>0</v>
      </c>
      <c r="AD836" s="20"/>
      <c r="AE836" s="23" t="n">
        <f aca="false">AC836-AD836</f>
        <v>0</v>
      </c>
      <c r="AF836" s="21" t="str">
        <f aca="false">IFERROR(AD836/AC836,"")</f>
        <v/>
      </c>
    </row>
    <row r="837" customFormat="false" ht="15" hidden="false" customHeight="true" outlineLevel="0" collapsed="false">
      <c r="A837" s="14" t="n">
        <v>655442</v>
      </c>
      <c r="B837" s="14" t="n">
        <v>496590</v>
      </c>
      <c r="C837" s="14" t="s">
        <v>6674</v>
      </c>
      <c r="D837" s="14" t="s">
        <v>6675</v>
      </c>
      <c r="E837" s="14" t="s">
        <v>6676</v>
      </c>
      <c r="F837" s="14" t="s">
        <v>6677</v>
      </c>
      <c r="G837" s="14" t="s">
        <v>6678</v>
      </c>
      <c r="H837" s="14" t="s">
        <v>6679</v>
      </c>
      <c r="I837" s="14"/>
      <c r="J837" s="14" t="s">
        <v>2087</v>
      </c>
      <c r="K837" s="14" t="s">
        <v>2088</v>
      </c>
      <c r="L837" s="14" t="s">
        <v>6680</v>
      </c>
      <c r="M837" s="14" t="s">
        <v>6681</v>
      </c>
      <c r="N837" s="14" t="s">
        <v>70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2" t="n">
        <f aca="false">AB837*(1+$L$3)</f>
        <v>0</v>
      </c>
      <c r="AD837" s="20"/>
      <c r="AE837" s="23" t="n">
        <f aca="false">AC837-AD837</f>
        <v>0</v>
      </c>
      <c r="AF837" s="21" t="str">
        <f aca="false">IFERROR(AD837/AC837,"")</f>
        <v/>
      </c>
    </row>
    <row r="838" customFormat="false" ht="15" hidden="false" customHeight="true" outlineLevel="0" collapsed="false">
      <c r="A838" s="14" t="n">
        <v>646563</v>
      </c>
      <c r="B838" s="14" t="n">
        <v>487901</v>
      </c>
      <c r="C838" s="14" t="s">
        <v>6682</v>
      </c>
      <c r="D838" s="14" t="s">
        <v>6683</v>
      </c>
      <c r="E838" s="14" t="s">
        <v>6684</v>
      </c>
      <c r="F838" s="14" t="s">
        <v>6685</v>
      </c>
      <c r="G838" s="14" t="s">
        <v>6686</v>
      </c>
      <c r="H838" s="14" t="s">
        <v>6687</v>
      </c>
      <c r="I838" s="14" t="s">
        <v>793</v>
      </c>
      <c r="J838" s="14" t="s">
        <v>6688</v>
      </c>
      <c r="K838" s="14" t="s">
        <v>1160</v>
      </c>
      <c r="L838" s="14" t="s">
        <v>6689</v>
      </c>
      <c r="M838" s="14" t="s">
        <v>6690</v>
      </c>
      <c r="N838" s="14" t="s">
        <v>70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2" t="n">
        <f aca="false">AB838*(1+$L$3)</f>
        <v>0</v>
      </c>
      <c r="AD838" s="20"/>
      <c r="AE838" s="23" t="n">
        <f aca="false">AC838-AD838</f>
        <v>0</v>
      </c>
      <c r="AF838" s="21" t="str">
        <f aca="false">IFERROR(AD838/AC838,"")</f>
        <v/>
      </c>
    </row>
    <row r="839" customFormat="false" ht="15" hidden="false" customHeight="true" outlineLevel="0" collapsed="false">
      <c r="A839" s="14" t="n">
        <v>646448</v>
      </c>
      <c r="B839" s="14" t="n">
        <v>487801</v>
      </c>
      <c r="C839" s="14" t="s">
        <v>6691</v>
      </c>
      <c r="D839" s="14" t="s">
        <v>6692</v>
      </c>
      <c r="E839" s="14" t="s">
        <v>6693</v>
      </c>
      <c r="F839" s="14" t="s">
        <v>6694</v>
      </c>
      <c r="G839" s="14" t="s">
        <v>6695</v>
      </c>
      <c r="H839" s="14" t="s">
        <v>6696</v>
      </c>
      <c r="I839" s="14" t="s">
        <v>2914</v>
      </c>
      <c r="J839" s="14" t="s">
        <v>6697</v>
      </c>
      <c r="K839" s="14" t="s">
        <v>932</v>
      </c>
      <c r="L839" s="14" t="s">
        <v>6698</v>
      </c>
      <c r="M839" s="14" t="s">
        <v>6699</v>
      </c>
      <c r="N839" s="14" t="s">
        <v>70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2" t="n">
        <f aca="false">AB839*(1+$L$3)</f>
        <v>0</v>
      </c>
      <c r="AD839" s="20"/>
      <c r="AE839" s="23" t="n">
        <f aca="false">AC839-AD839</f>
        <v>0</v>
      </c>
      <c r="AF839" s="21" t="str">
        <f aca="false">IFERROR(AD839/AC839,"")</f>
        <v/>
      </c>
    </row>
    <row r="840" customFormat="false" ht="15" hidden="false" customHeight="true" outlineLevel="0" collapsed="false">
      <c r="A840" s="14" t="n">
        <v>646378</v>
      </c>
      <c r="B840" s="14" t="n">
        <v>487739</v>
      </c>
      <c r="C840" s="14" t="s">
        <v>6700</v>
      </c>
      <c r="D840" s="14" t="s">
        <v>6701</v>
      </c>
      <c r="E840" s="14" t="s">
        <v>6702</v>
      </c>
      <c r="F840" s="14" t="s">
        <v>6703</v>
      </c>
      <c r="G840" s="14" t="s">
        <v>6704</v>
      </c>
      <c r="H840" s="14" t="s">
        <v>6705</v>
      </c>
      <c r="I840" s="14"/>
      <c r="J840" s="14" t="s">
        <v>6706</v>
      </c>
      <c r="K840" s="14" t="s">
        <v>307</v>
      </c>
      <c r="L840" s="14" t="s">
        <v>6707</v>
      </c>
      <c r="M840" s="14" t="s">
        <v>6708</v>
      </c>
      <c r="N840" s="14" t="s">
        <v>70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2" t="n">
        <f aca="false">AB840*(1+$L$3)</f>
        <v>0</v>
      </c>
      <c r="AD840" s="20"/>
      <c r="AE840" s="23" t="n">
        <f aca="false">AC840-AD840</f>
        <v>0</v>
      </c>
      <c r="AF840" s="21" t="str">
        <f aca="false">IFERROR(AD840/AC840,"")</f>
        <v/>
      </c>
    </row>
    <row r="841" customFormat="false" ht="15" hidden="false" customHeight="true" outlineLevel="0" collapsed="false">
      <c r="A841" s="14" t="n">
        <v>646298</v>
      </c>
      <c r="B841" s="14" t="n">
        <v>487661</v>
      </c>
      <c r="C841" s="14" t="s">
        <v>6709</v>
      </c>
      <c r="D841" s="14" t="s">
        <v>6710</v>
      </c>
      <c r="E841" s="14" t="s">
        <v>6711</v>
      </c>
      <c r="F841" s="14"/>
      <c r="G841" s="14"/>
      <c r="H841" s="14" t="s">
        <v>6712</v>
      </c>
      <c r="I841" s="14"/>
      <c r="J841" s="14" t="s">
        <v>6713</v>
      </c>
      <c r="K841" s="14" t="s">
        <v>981</v>
      </c>
      <c r="L841" s="14" t="s">
        <v>6714</v>
      </c>
      <c r="M841" s="14" t="s">
        <v>3752</v>
      </c>
      <c r="N841" s="14" t="s">
        <v>70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2" t="n">
        <f aca="false">AB841*(1+$L$3)</f>
        <v>0</v>
      </c>
      <c r="AD841" s="20"/>
      <c r="AE841" s="23" t="n">
        <f aca="false">AC841-AD841</f>
        <v>0</v>
      </c>
      <c r="AF841" s="21" t="str">
        <f aca="false">IFERROR(AD841/AC841,"")</f>
        <v/>
      </c>
    </row>
    <row r="842" customFormat="false" ht="15" hidden="false" customHeight="true" outlineLevel="0" collapsed="false">
      <c r="A842" s="14" t="n">
        <v>658057</v>
      </c>
      <c r="B842" s="14" t="n">
        <v>499060</v>
      </c>
      <c r="C842" s="14" t="s">
        <v>6715</v>
      </c>
      <c r="D842" s="14" t="s">
        <v>6716</v>
      </c>
      <c r="E842" s="14" t="s">
        <v>6717</v>
      </c>
      <c r="F842" s="14" t="s">
        <v>6718</v>
      </c>
      <c r="G842" s="14" t="s">
        <v>6719</v>
      </c>
      <c r="H842" s="14" t="s">
        <v>6720</v>
      </c>
      <c r="I842" s="14"/>
      <c r="J842" s="14" t="s">
        <v>6721</v>
      </c>
      <c r="K842" s="14" t="s">
        <v>464</v>
      </c>
      <c r="L842" s="14" t="s">
        <v>6722</v>
      </c>
      <c r="M842" s="14" t="s">
        <v>6723</v>
      </c>
      <c r="N842" s="14" t="s">
        <v>70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2" t="n">
        <f aca="false">AB842*(1+$L$3)</f>
        <v>0</v>
      </c>
      <c r="AD842" s="20"/>
      <c r="AE842" s="23" t="n">
        <f aca="false">AC842-AD842</f>
        <v>0</v>
      </c>
      <c r="AF842" s="21" t="str">
        <f aca="false">IFERROR(AD842/AC842,"")</f>
        <v/>
      </c>
    </row>
    <row r="843" customFormat="false" ht="15" hidden="false" customHeight="true" outlineLevel="0" collapsed="false">
      <c r="A843" s="14" t="n">
        <v>646249</v>
      </c>
      <c r="B843" s="14" t="n">
        <v>487613</v>
      </c>
      <c r="C843" s="14" t="s">
        <v>6724</v>
      </c>
      <c r="D843" s="14" t="s">
        <v>608</v>
      </c>
      <c r="E843" s="14" t="s">
        <v>6725</v>
      </c>
      <c r="F843" s="14" t="s">
        <v>610</v>
      </c>
      <c r="G843" s="14" t="s">
        <v>611</v>
      </c>
      <c r="H843" s="14" t="s">
        <v>6726</v>
      </c>
      <c r="I843" s="14" t="s">
        <v>6727</v>
      </c>
      <c r="J843" s="14" t="s">
        <v>812</v>
      </c>
      <c r="K843" s="14" t="s">
        <v>307</v>
      </c>
      <c r="L843" s="14" t="s">
        <v>6728</v>
      </c>
      <c r="M843" s="14" t="s">
        <v>615</v>
      </c>
      <c r="N843" s="14" t="s">
        <v>70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2" t="n">
        <f aca="false">AB843*(1+$L$3)</f>
        <v>0</v>
      </c>
      <c r="AD843" s="20"/>
      <c r="AE843" s="23" t="n">
        <f aca="false">AC843-AD843</f>
        <v>0</v>
      </c>
      <c r="AF843" s="21" t="str">
        <f aca="false">IFERROR(AD843/AC843,"")</f>
        <v/>
      </c>
    </row>
    <row r="844" customFormat="false" ht="15" hidden="false" customHeight="true" outlineLevel="0" collapsed="false">
      <c r="A844" s="14" t="n">
        <v>646187</v>
      </c>
      <c r="B844" s="14" t="n">
        <v>487554</v>
      </c>
      <c r="C844" s="14" t="s">
        <v>6729</v>
      </c>
      <c r="D844" s="14" t="s">
        <v>6730</v>
      </c>
      <c r="E844" s="14" t="s">
        <v>6731</v>
      </c>
      <c r="F844" s="14"/>
      <c r="G844" s="14"/>
      <c r="H844" s="14" t="s">
        <v>6732</v>
      </c>
      <c r="I844" s="14" t="s">
        <v>2984</v>
      </c>
      <c r="J844" s="14" t="s">
        <v>2976</v>
      </c>
      <c r="K844" s="14" t="s">
        <v>981</v>
      </c>
      <c r="L844" s="14" t="s">
        <v>2977</v>
      </c>
      <c r="M844" s="14" t="s">
        <v>3752</v>
      </c>
      <c r="N844" s="14" t="s">
        <v>70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2" t="n">
        <f aca="false">AB844*(1+$L$3)</f>
        <v>0</v>
      </c>
      <c r="AD844" s="20"/>
      <c r="AE844" s="23" t="n">
        <f aca="false">AC844-AD844</f>
        <v>0</v>
      </c>
      <c r="AF844" s="21" t="str">
        <f aca="false">IFERROR(AD844/AC844,"")</f>
        <v/>
      </c>
    </row>
    <row r="845" customFormat="false" ht="15" hidden="false" customHeight="true" outlineLevel="0" collapsed="false">
      <c r="A845" s="14" t="n">
        <v>646101</v>
      </c>
      <c r="B845" s="14" t="n">
        <v>487467</v>
      </c>
      <c r="C845" s="14" t="s">
        <v>6733</v>
      </c>
      <c r="D845" s="14" t="s">
        <v>6734</v>
      </c>
      <c r="E845" s="14" t="s">
        <v>6735</v>
      </c>
      <c r="F845" s="14" t="s">
        <v>6736</v>
      </c>
      <c r="G845" s="14" t="s">
        <v>6737</v>
      </c>
      <c r="H845" s="14" t="s">
        <v>6738</v>
      </c>
      <c r="I845" s="14" t="s">
        <v>2984</v>
      </c>
      <c r="J845" s="14" t="s">
        <v>6739</v>
      </c>
      <c r="K845" s="14" t="s">
        <v>67</v>
      </c>
      <c r="L845" s="14" t="s">
        <v>6740</v>
      </c>
      <c r="M845" s="14" t="s">
        <v>6741</v>
      </c>
      <c r="N845" s="14" t="s">
        <v>70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2" t="n">
        <f aca="false">AB845*(1+$L$3)</f>
        <v>0</v>
      </c>
      <c r="AD845" s="20"/>
      <c r="AE845" s="23" t="n">
        <f aca="false">AC845-AD845</f>
        <v>0</v>
      </c>
      <c r="AF845" s="21" t="str">
        <f aca="false">IFERROR(AD845/AC845,"")</f>
        <v/>
      </c>
    </row>
    <row r="846" customFormat="false" ht="15" hidden="false" customHeight="true" outlineLevel="0" collapsed="false">
      <c r="A846" s="14" t="n">
        <v>646061</v>
      </c>
      <c r="B846" s="14" t="n">
        <v>487425</v>
      </c>
      <c r="C846" s="14" t="s">
        <v>6742</v>
      </c>
      <c r="D846" s="14" t="s">
        <v>6743</v>
      </c>
      <c r="E846" s="14" t="s">
        <v>6744</v>
      </c>
      <c r="F846" s="14" t="s">
        <v>6745</v>
      </c>
      <c r="G846" s="14" t="s">
        <v>6746</v>
      </c>
      <c r="H846" s="14" t="s">
        <v>6747</v>
      </c>
      <c r="I846" s="14"/>
      <c r="J846" s="14" t="s">
        <v>6748</v>
      </c>
      <c r="K846" s="14" t="s">
        <v>197</v>
      </c>
      <c r="L846" s="14" t="s">
        <v>6749</v>
      </c>
      <c r="M846" s="14" t="s">
        <v>6750</v>
      </c>
      <c r="N846" s="14" t="s">
        <v>70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2" t="n">
        <f aca="false">AB846*(1+$L$3)</f>
        <v>0</v>
      </c>
      <c r="AD846" s="20"/>
      <c r="AE846" s="23" t="n">
        <f aca="false">AC846-AD846</f>
        <v>0</v>
      </c>
      <c r="AF846" s="21" t="str">
        <f aca="false">IFERROR(AD846/AC846,"")</f>
        <v/>
      </c>
    </row>
    <row r="847" customFormat="false" ht="15" hidden="false" customHeight="true" outlineLevel="0" collapsed="false">
      <c r="A847" s="14" t="n">
        <v>645917</v>
      </c>
      <c r="B847" s="14" t="n">
        <v>487290</v>
      </c>
      <c r="C847" s="14" t="s">
        <v>6751</v>
      </c>
      <c r="D847" s="14" t="s">
        <v>279</v>
      </c>
      <c r="E847" s="14" t="s">
        <v>280</v>
      </c>
      <c r="F847" s="14" t="s">
        <v>6752</v>
      </c>
      <c r="G847" s="14" t="s">
        <v>282</v>
      </c>
      <c r="H847" s="14" t="s">
        <v>6753</v>
      </c>
      <c r="I847" s="14"/>
      <c r="J847" s="14" t="s">
        <v>1633</v>
      </c>
      <c r="K847" s="14" t="s">
        <v>67</v>
      </c>
      <c r="L847" s="14" t="s">
        <v>6754</v>
      </c>
      <c r="M847" s="14" t="s">
        <v>288</v>
      </c>
      <c r="N847" s="14" t="s">
        <v>289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2" t="n">
        <f aca="false">AB847*(1+$L$3)</f>
        <v>0</v>
      </c>
      <c r="AD847" s="20"/>
      <c r="AE847" s="23" t="n">
        <f aca="false">AC847-AD847</f>
        <v>0</v>
      </c>
      <c r="AF847" s="21" t="str">
        <f aca="false">IFERROR(AD847/AC847,"")</f>
        <v/>
      </c>
    </row>
    <row r="848" customFormat="false" ht="15" hidden="false" customHeight="true" outlineLevel="0" collapsed="false">
      <c r="A848" s="14" t="n">
        <v>645916</v>
      </c>
      <c r="B848" s="14" t="n">
        <v>487289</v>
      </c>
      <c r="C848" s="14" t="s">
        <v>6755</v>
      </c>
      <c r="D848" s="14" t="s">
        <v>279</v>
      </c>
      <c r="E848" s="14" t="s">
        <v>280</v>
      </c>
      <c r="F848" s="14" t="s">
        <v>6756</v>
      </c>
      <c r="G848" s="14" t="s">
        <v>282</v>
      </c>
      <c r="H848" s="14" t="s">
        <v>6757</v>
      </c>
      <c r="I848" s="14"/>
      <c r="J848" s="14" t="s">
        <v>6758</v>
      </c>
      <c r="K848" s="14" t="s">
        <v>604</v>
      </c>
      <c r="L848" s="14" t="s">
        <v>6759</v>
      </c>
      <c r="M848" s="14" t="s">
        <v>288</v>
      </c>
      <c r="N848" s="14" t="s">
        <v>289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2" t="n">
        <f aca="false">AB848*(1+$L$3)</f>
        <v>0</v>
      </c>
      <c r="AD848" s="20"/>
      <c r="AE848" s="23" t="n">
        <f aca="false">AC848-AD848</f>
        <v>0</v>
      </c>
      <c r="AF848" s="21" t="str">
        <f aca="false">IFERROR(AD848/AC848,"")</f>
        <v/>
      </c>
    </row>
    <row r="849" customFormat="false" ht="15" hidden="false" customHeight="true" outlineLevel="0" collapsed="false">
      <c r="A849" s="14" t="n">
        <v>645915</v>
      </c>
      <c r="B849" s="14" t="n">
        <v>487288</v>
      </c>
      <c r="C849" s="14" t="s">
        <v>6760</v>
      </c>
      <c r="D849" s="14" t="s">
        <v>279</v>
      </c>
      <c r="E849" s="14" t="s">
        <v>280</v>
      </c>
      <c r="F849" s="14" t="s">
        <v>6761</v>
      </c>
      <c r="G849" s="14" t="s">
        <v>282</v>
      </c>
      <c r="H849" s="14" t="s">
        <v>6762</v>
      </c>
      <c r="I849" s="14" t="s">
        <v>6763</v>
      </c>
      <c r="J849" s="14" t="s">
        <v>6764</v>
      </c>
      <c r="K849" s="14" t="s">
        <v>2316</v>
      </c>
      <c r="L849" s="14" t="s">
        <v>6765</v>
      </c>
      <c r="M849" s="14" t="s">
        <v>288</v>
      </c>
      <c r="N849" s="14" t="s">
        <v>289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2" t="n">
        <f aca="false">AB849*(1+$L$3)</f>
        <v>0</v>
      </c>
      <c r="AD849" s="20"/>
      <c r="AE849" s="23" t="n">
        <f aca="false">AC849-AD849</f>
        <v>0</v>
      </c>
      <c r="AF849" s="21" t="str">
        <f aca="false">IFERROR(AD849/AC849,"")</f>
        <v/>
      </c>
    </row>
    <row r="850" customFormat="false" ht="15" hidden="false" customHeight="true" outlineLevel="0" collapsed="false">
      <c r="A850" s="14" t="n">
        <v>645914</v>
      </c>
      <c r="B850" s="14" t="n">
        <v>487287</v>
      </c>
      <c r="C850" s="14" t="s">
        <v>6766</v>
      </c>
      <c r="D850" s="14" t="s">
        <v>279</v>
      </c>
      <c r="E850" s="14" t="s">
        <v>280</v>
      </c>
      <c r="F850" s="14" t="s">
        <v>6767</v>
      </c>
      <c r="G850" s="14" t="s">
        <v>282</v>
      </c>
      <c r="H850" s="14" t="s">
        <v>6768</v>
      </c>
      <c r="I850" s="14"/>
      <c r="J850" s="14" t="s">
        <v>6769</v>
      </c>
      <c r="K850" s="14" t="s">
        <v>1026</v>
      </c>
      <c r="L850" s="14" t="s">
        <v>6770</v>
      </c>
      <c r="M850" s="14" t="s">
        <v>288</v>
      </c>
      <c r="N850" s="14" t="s">
        <v>289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2" t="n">
        <f aca="false">AB850*(1+$L$3)</f>
        <v>0</v>
      </c>
      <c r="AD850" s="20"/>
      <c r="AE850" s="23" t="n">
        <f aca="false">AC850-AD850</f>
        <v>0</v>
      </c>
      <c r="AF850" s="21" t="str">
        <f aca="false">IFERROR(AD850/AC850,"")</f>
        <v/>
      </c>
    </row>
    <row r="851" customFormat="false" ht="15" hidden="false" customHeight="true" outlineLevel="0" collapsed="false">
      <c r="A851" s="14" t="n">
        <v>645913</v>
      </c>
      <c r="B851" s="14" t="n">
        <v>487286</v>
      </c>
      <c r="C851" s="14" t="s">
        <v>6771</v>
      </c>
      <c r="D851" s="14" t="s">
        <v>279</v>
      </c>
      <c r="E851" s="14" t="s">
        <v>280</v>
      </c>
      <c r="F851" s="14" t="s">
        <v>6772</v>
      </c>
      <c r="G851" s="14" t="s">
        <v>282</v>
      </c>
      <c r="H851" s="14" t="s">
        <v>6773</v>
      </c>
      <c r="I851" s="14" t="s">
        <v>6774</v>
      </c>
      <c r="J851" s="14" t="s">
        <v>1633</v>
      </c>
      <c r="K851" s="14" t="s">
        <v>67</v>
      </c>
      <c r="L851" s="14" t="s">
        <v>1634</v>
      </c>
      <c r="M851" s="14" t="s">
        <v>288</v>
      </c>
      <c r="N851" s="14" t="s">
        <v>289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2" t="n">
        <f aca="false">AB851*(1+$L$3)</f>
        <v>0</v>
      </c>
      <c r="AD851" s="20"/>
      <c r="AE851" s="23" t="n">
        <f aca="false">AC851-AD851</f>
        <v>0</v>
      </c>
      <c r="AF851" s="21" t="str">
        <f aca="false">IFERROR(AD851/AC851,"")</f>
        <v/>
      </c>
    </row>
    <row r="852" customFormat="false" ht="15" hidden="false" customHeight="true" outlineLevel="0" collapsed="false">
      <c r="A852" s="14" t="n">
        <v>655397</v>
      </c>
      <c r="B852" s="14" t="n">
        <v>496601</v>
      </c>
      <c r="C852" s="14" t="s">
        <v>6775</v>
      </c>
      <c r="D852" s="14" t="s">
        <v>279</v>
      </c>
      <c r="E852" s="14" t="s">
        <v>280</v>
      </c>
      <c r="F852" s="14" t="s">
        <v>6776</v>
      </c>
      <c r="G852" s="14" t="s">
        <v>282</v>
      </c>
      <c r="H852" s="14" t="s">
        <v>6777</v>
      </c>
      <c r="I852" s="14"/>
      <c r="J852" s="14" t="s">
        <v>6764</v>
      </c>
      <c r="K852" s="14" t="s">
        <v>2316</v>
      </c>
      <c r="L852" s="14" t="s">
        <v>6778</v>
      </c>
      <c r="M852" s="14" t="s">
        <v>288</v>
      </c>
      <c r="N852" s="14" t="s">
        <v>289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2" t="n">
        <f aca="false">AB852*(1+$L$3)</f>
        <v>0</v>
      </c>
      <c r="AD852" s="20"/>
      <c r="AE852" s="23" t="n">
        <f aca="false">AC852-AD852</f>
        <v>0</v>
      </c>
      <c r="AF852" s="21" t="str">
        <f aca="false">IFERROR(AD852/AC852,"")</f>
        <v/>
      </c>
    </row>
    <row r="853" customFormat="false" ht="15" hidden="false" customHeight="true" outlineLevel="0" collapsed="false">
      <c r="A853" s="14" t="n">
        <v>645911</v>
      </c>
      <c r="B853" s="14" t="n">
        <v>487284</v>
      </c>
      <c r="C853" s="14" t="s">
        <v>6779</v>
      </c>
      <c r="D853" s="14" t="s">
        <v>279</v>
      </c>
      <c r="E853" s="14" t="s">
        <v>6780</v>
      </c>
      <c r="F853" s="14" t="s">
        <v>6781</v>
      </c>
      <c r="G853" s="14" t="s">
        <v>282</v>
      </c>
      <c r="H853" s="14" t="s">
        <v>6782</v>
      </c>
      <c r="I853" s="14"/>
      <c r="J853" s="14" t="s">
        <v>5088</v>
      </c>
      <c r="K853" s="14" t="s">
        <v>2316</v>
      </c>
      <c r="L853" s="14" t="s">
        <v>6783</v>
      </c>
      <c r="M853" s="14" t="s">
        <v>288</v>
      </c>
      <c r="N853" s="14" t="s">
        <v>289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2" t="n">
        <f aca="false">AB853*(1+$L$3)</f>
        <v>0</v>
      </c>
      <c r="AD853" s="20"/>
      <c r="AE853" s="23" t="n">
        <f aca="false">AC853-AD853</f>
        <v>0</v>
      </c>
      <c r="AF853" s="21" t="str">
        <f aca="false">IFERROR(AD853/AC853,"")</f>
        <v/>
      </c>
    </row>
    <row r="854" customFormat="false" ht="15" hidden="false" customHeight="true" outlineLevel="0" collapsed="false">
      <c r="A854" s="14" t="n">
        <v>645910</v>
      </c>
      <c r="B854" s="14" t="n">
        <v>487283</v>
      </c>
      <c r="C854" s="14" t="s">
        <v>6784</v>
      </c>
      <c r="D854" s="14" t="s">
        <v>279</v>
      </c>
      <c r="E854" s="14" t="s">
        <v>280</v>
      </c>
      <c r="F854" s="14" t="s">
        <v>6785</v>
      </c>
      <c r="G854" s="14" t="s">
        <v>282</v>
      </c>
      <c r="H854" s="14" t="s">
        <v>6786</v>
      </c>
      <c r="I854" s="14" t="s">
        <v>6780</v>
      </c>
      <c r="J854" s="14" t="s">
        <v>6787</v>
      </c>
      <c r="K854" s="14" t="s">
        <v>1026</v>
      </c>
      <c r="L854" s="14" t="s">
        <v>6788</v>
      </c>
      <c r="M854" s="14" t="s">
        <v>288</v>
      </c>
      <c r="N854" s="14" t="s">
        <v>289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2" t="n">
        <f aca="false">AB854*(1+$L$3)</f>
        <v>0</v>
      </c>
      <c r="AD854" s="20"/>
      <c r="AE854" s="23" t="n">
        <f aca="false">AC854-AD854</f>
        <v>0</v>
      </c>
      <c r="AF854" s="21" t="str">
        <f aca="false">IFERROR(AD854/AC854,"")</f>
        <v/>
      </c>
    </row>
    <row r="855" customFormat="false" ht="15" hidden="false" customHeight="true" outlineLevel="0" collapsed="false">
      <c r="A855" s="14" t="n">
        <v>645909</v>
      </c>
      <c r="B855" s="14" t="n">
        <v>487282</v>
      </c>
      <c r="C855" s="14" t="s">
        <v>6789</v>
      </c>
      <c r="D855" s="14" t="s">
        <v>279</v>
      </c>
      <c r="E855" s="14" t="s">
        <v>280</v>
      </c>
      <c r="F855" s="14" t="s">
        <v>6790</v>
      </c>
      <c r="G855" s="14" t="s">
        <v>282</v>
      </c>
      <c r="H855" s="14" t="s">
        <v>6791</v>
      </c>
      <c r="I855" s="14"/>
      <c r="J855" s="14" t="s">
        <v>6792</v>
      </c>
      <c r="K855" s="14" t="s">
        <v>286</v>
      </c>
      <c r="L855" s="14" t="s">
        <v>6793</v>
      </c>
      <c r="M855" s="14" t="s">
        <v>288</v>
      </c>
      <c r="N855" s="14" t="s">
        <v>289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2" t="n">
        <f aca="false">AB855*(1+$L$3)</f>
        <v>0</v>
      </c>
      <c r="AD855" s="20"/>
      <c r="AE855" s="23" t="n">
        <f aca="false">AC855-AD855</f>
        <v>0</v>
      </c>
      <c r="AF855" s="21" t="str">
        <f aca="false">IFERROR(AD855/AC855,"")</f>
        <v/>
      </c>
    </row>
    <row r="856" customFormat="false" ht="15" hidden="false" customHeight="true" outlineLevel="0" collapsed="false">
      <c r="A856" s="14" t="n">
        <v>645908</v>
      </c>
      <c r="B856" s="14" t="n">
        <v>487281</v>
      </c>
      <c r="C856" s="14" t="s">
        <v>6794</v>
      </c>
      <c r="D856" s="14" t="s">
        <v>279</v>
      </c>
      <c r="E856" s="14" t="s">
        <v>280</v>
      </c>
      <c r="F856" s="14" t="s">
        <v>6795</v>
      </c>
      <c r="G856" s="14" t="s">
        <v>282</v>
      </c>
      <c r="H856" s="14" t="s">
        <v>6796</v>
      </c>
      <c r="I856" s="14"/>
      <c r="J856" s="14" t="s">
        <v>1372</v>
      </c>
      <c r="K856" s="14" t="s">
        <v>249</v>
      </c>
      <c r="L856" s="14" t="s">
        <v>6797</v>
      </c>
      <c r="M856" s="14" t="s">
        <v>288</v>
      </c>
      <c r="N856" s="14" t="s">
        <v>289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2" t="n">
        <f aca="false">AB856*(1+$L$3)</f>
        <v>0</v>
      </c>
      <c r="AD856" s="20"/>
      <c r="AE856" s="23" t="n">
        <f aca="false">AC856-AD856</f>
        <v>0</v>
      </c>
      <c r="AF856" s="21" t="str">
        <f aca="false">IFERROR(AD856/AC856,"")</f>
        <v/>
      </c>
    </row>
    <row r="857" customFormat="false" ht="15" hidden="false" customHeight="true" outlineLevel="0" collapsed="false">
      <c r="A857" s="14" t="n">
        <v>645907</v>
      </c>
      <c r="B857" s="14" t="n">
        <v>487280</v>
      </c>
      <c r="C857" s="14" t="s">
        <v>6798</v>
      </c>
      <c r="D857" s="14" t="s">
        <v>279</v>
      </c>
      <c r="E857" s="14" t="s">
        <v>280</v>
      </c>
      <c r="F857" s="14" t="s">
        <v>6799</v>
      </c>
      <c r="G857" s="14" t="s">
        <v>282</v>
      </c>
      <c r="H857" s="14" t="s">
        <v>6800</v>
      </c>
      <c r="I857" s="14"/>
      <c r="J857" s="14" t="s">
        <v>6801</v>
      </c>
      <c r="K857" s="14" t="s">
        <v>67</v>
      </c>
      <c r="L857" s="14" t="s">
        <v>6802</v>
      </c>
      <c r="M857" s="14" t="s">
        <v>288</v>
      </c>
      <c r="N857" s="14" t="s">
        <v>289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2" t="n">
        <f aca="false">AB857*(1+$L$3)</f>
        <v>0</v>
      </c>
      <c r="AD857" s="20"/>
      <c r="AE857" s="23" t="n">
        <f aca="false">AC857-AD857</f>
        <v>0</v>
      </c>
      <c r="AF857" s="21" t="str">
        <f aca="false">IFERROR(AD857/AC857,"")</f>
        <v/>
      </c>
    </row>
    <row r="858" customFormat="false" ht="15" hidden="false" customHeight="true" outlineLevel="0" collapsed="false">
      <c r="A858" s="14" t="n">
        <v>645906</v>
      </c>
      <c r="B858" s="14" t="n">
        <v>487279</v>
      </c>
      <c r="C858" s="14" t="s">
        <v>6803</v>
      </c>
      <c r="D858" s="14" t="s">
        <v>279</v>
      </c>
      <c r="E858" s="14" t="s">
        <v>280</v>
      </c>
      <c r="F858" s="14" t="s">
        <v>6804</v>
      </c>
      <c r="G858" s="14" t="s">
        <v>282</v>
      </c>
      <c r="H858" s="14" t="s">
        <v>6805</v>
      </c>
      <c r="I858" s="14"/>
      <c r="J858" s="14" t="s">
        <v>6806</v>
      </c>
      <c r="K858" s="14" t="s">
        <v>2610</v>
      </c>
      <c r="L858" s="14" t="s">
        <v>6807</v>
      </c>
      <c r="M858" s="14" t="s">
        <v>288</v>
      </c>
      <c r="N858" s="14" t="s">
        <v>289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2" t="n">
        <f aca="false">AB858*(1+$L$3)</f>
        <v>0</v>
      </c>
      <c r="AD858" s="20"/>
      <c r="AE858" s="23" t="n">
        <f aca="false">AC858-AD858</f>
        <v>0</v>
      </c>
      <c r="AF858" s="21" t="str">
        <f aca="false">IFERROR(AD858/AC858,"")</f>
        <v/>
      </c>
    </row>
    <row r="859" customFormat="false" ht="15" hidden="false" customHeight="true" outlineLevel="0" collapsed="false">
      <c r="A859" s="14" t="n">
        <v>645905</v>
      </c>
      <c r="B859" s="14" t="n">
        <v>487278</v>
      </c>
      <c r="C859" s="14" t="s">
        <v>6808</v>
      </c>
      <c r="D859" s="14" t="s">
        <v>279</v>
      </c>
      <c r="E859" s="14" t="s">
        <v>280</v>
      </c>
      <c r="F859" s="14" t="s">
        <v>6809</v>
      </c>
      <c r="G859" s="14" t="s">
        <v>282</v>
      </c>
      <c r="H859" s="14" t="s">
        <v>6810</v>
      </c>
      <c r="I859" s="14"/>
      <c r="J859" s="14" t="s">
        <v>6811</v>
      </c>
      <c r="K859" s="14" t="s">
        <v>1900</v>
      </c>
      <c r="L859" s="14" t="s">
        <v>6812</v>
      </c>
      <c r="M859" s="14" t="s">
        <v>288</v>
      </c>
      <c r="N859" s="14" t="s">
        <v>289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2" t="n">
        <f aca="false">AB859*(1+$L$3)</f>
        <v>0</v>
      </c>
      <c r="AD859" s="20"/>
      <c r="AE859" s="23" t="n">
        <f aca="false">AC859-AD859</f>
        <v>0</v>
      </c>
      <c r="AF859" s="21" t="str">
        <f aca="false">IFERROR(AD859/AC859,"")</f>
        <v/>
      </c>
    </row>
    <row r="860" customFormat="false" ht="15" hidden="false" customHeight="true" outlineLevel="0" collapsed="false">
      <c r="A860" s="14" t="n">
        <v>645904</v>
      </c>
      <c r="B860" s="14" t="n">
        <v>487277</v>
      </c>
      <c r="C860" s="14" t="s">
        <v>6813</v>
      </c>
      <c r="D860" s="14" t="s">
        <v>279</v>
      </c>
      <c r="E860" s="14" t="s">
        <v>280</v>
      </c>
      <c r="F860" s="14" t="s">
        <v>6814</v>
      </c>
      <c r="G860" s="14" t="s">
        <v>282</v>
      </c>
      <c r="H860" s="14" t="s">
        <v>6815</v>
      </c>
      <c r="I860" s="14"/>
      <c r="J860" s="14" t="s">
        <v>6816</v>
      </c>
      <c r="K860" s="14" t="s">
        <v>1900</v>
      </c>
      <c r="L860" s="14" t="s">
        <v>6817</v>
      </c>
      <c r="M860" s="14" t="s">
        <v>288</v>
      </c>
      <c r="N860" s="14" t="s">
        <v>289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2" t="n">
        <f aca="false">AB860*(1+$L$3)</f>
        <v>0</v>
      </c>
      <c r="AD860" s="20"/>
      <c r="AE860" s="23" t="n">
        <f aca="false">AC860-AD860</f>
        <v>0</v>
      </c>
      <c r="AF860" s="21" t="str">
        <f aca="false">IFERROR(AD860/AC860,"")</f>
        <v/>
      </c>
    </row>
    <row r="861" customFormat="false" ht="15" hidden="false" customHeight="true" outlineLevel="0" collapsed="false">
      <c r="A861" s="14" t="n">
        <v>645903</v>
      </c>
      <c r="B861" s="14" t="n">
        <v>487276</v>
      </c>
      <c r="C861" s="14" t="s">
        <v>6818</v>
      </c>
      <c r="D861" s="14" t="s">
        <v>279</v>
      </c>
      <c r="E861" s="14" t="s">
        <v>280</v>
      </c>
      <c r="F861" s="14" t="s">
        <v>6819</v>
      </c>
      <c r="G861" s="14" t="s">
        <v>282</v>
      </c>
      <c r="H861" s="14" t="s">
        <v>6820</v>
      </c>
      <c r="I861" s="14"/>
      <c r="J861" s="14" t="s">
        <v>6821</v>
      </c>
      <c r="K861" s="14" t="s">
        <v>48</v>
      </c>
      <c r="L861" s="14" t="s">
        <v>6822</v>
      </c>
      <c r="M861" s="14" t="s">
        <v>288</v>
      </c>
      <c r="N861" s="14" t="s">
        <v>289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2" t="n">
        <f aca="false">AB861*(1+$L$3)</f>
        <v>0</v>
      </c>
      <c r="AD861" s="20"/>
      <c r="AE861" s="23" t="n">
        <f aca="false">AC861-AD861</f>
        <v>0</v>
      </c>
      <c r="AF861" s="21" t="str">
        <f aca="false">IFERROR(AD861/AC861,"")</f>
        <v/>
      </c>
    </row>
    <row r="862" customFormat="false" ht="15" hidden="false" customHeight="true" outlineLevel="0" collapsed="false">
      <c r="A862" s="14" t="n">
        <v>645902</v>
      </c>
      <c r="B862" s="14" t="n">
        <v>487275</v>
      </c>
      <c r="C862" s="14" t="s">
        <v>6823</v>
      </c>
      <c r="D862" s="14" t="s">
        <v>279</v>
      </c>
      <c r="E862" s="14" t="s">
        <v>280</v>
      </c>
      <c r="F862" s="14" t="s">
        <v>6824</v>
      </c>
      <c r="G862" s="14" t="s">
        <v>282</v>
      </c>
      <c r="H862" s="14" t="s">
        <v>6825</v>
      </c>
      <c r="I862" s="14"/>
      <c r="J862" s="14" t="s">
        <v>6826</v>
      </c>
      <c r="K862" s="14" t="s">
        <v>932</v>
      </c>
      <c r="L862" s="14" t="s">
        <v>6827</v>
      </c>
      <c r="M862" s="14" t="s">
        <v>288</v>
      </c>
      <c r="N862" s="14" t="s">
        <v>289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2" t="n">
        <f aca="false">AB862*(1+$L$3)</f>
        <v>0</v>
      </c>
      <c r="AD862" s="20"/>
      <c r="AE862" s="23" t="n">
        <f aca="false">AC862-AD862</f>
        <v>0</v>
      </c>
      <c r="AF862" s="21" t="str">
        <f aca="false">IFERROR(AD862/AC862,"")</f>
        <v/>
      </c>
    </row>
    <row r="863" customFormat="false" ht="15" hidden="false" customHeight="true" outlineLevel="0" collapsed="false">
      <c r="A863" s="14" t="n">
        <v>645901</v>
      </c>
      <c r="B863" s="14" t="n">
        <v>487274</v>
      </c>
      <c r="C863" s="14" t="s">
        <v>6828</v>
      </c>
      <c r="D863" s="14" t="s">
        <v>279</v>
      </c>
      <c r="E863" s="14" t="s">
        <v>280</v>
      </c>
      <c r="F863" s="14" t="s">
        <v>6829</v>
      </c>
      <c r="G863" s="14" t="s">
        <v>282</v>
      </c>
      <c r="H863" s="14" t="s">
        <v>6830</v>
      </c>
      <c r="I863" s="14"/>
      <c r="J863" s="14" t="s">
        <v>6831</v>
      </c>
      <c r="K863" s="14" t="s">
        <v>1026</v>
      </c>
      <c r="L863" s="14" t="s">
        <v>6832</v>
      </c>
      <c r="M863" s="14" t="s">
        <v>288</v>
      </c>
      <c r="N863" s="14" t="s">
        <v>289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2" t="n">
        <f aca="false">AB863*(1+$L$3)</f>
        <v>0</v>
      </c>
      <c r="AD863" s="20"/>
      <c r="AE863" s="23" t="n">
        <f aca="false">AC863-AD863</f>
        <v>0</v>
      </c>
      <c r="AF863" s="21" t="str">
        <f aca="false">IFERROR(AD863/AC863,"")</f>
        <v/>
      </c>
    </row>
    <row r="864" customFormat="false" ht="15" hidden="false" customHeight="true" outlineLevel="0" collapsed="false">
      <c r="A864" s="14" t="n">
        <v>645900</v>
      </c>
      <c r="B864" s="14" t="n">
        <v>487273</v>
      </c>
      <c r="C864" s="14" t="s">
        <v>6833</v>
      </c>
      <c r="D864" s="14" t="s">
        <v>279</v>
      </c>
      <c r="E864" s="14" t="s">
        <v>280</v>
      </c>
      <c r="F864" s="14" t="s">
        <v>6834</v>
      </c>
      <c r="G864" s="14" t="s">
        <v>282</v>
      </c>
      <c r="H864" s="14" t="s">
        <v>6835</v>
      </c>
      <c r="I864" s="14"/>
      <c r="J864" s="14" t="s">
        <v>6836</v>
      </c>
      <c r="K864" s="14" t="s">
        <v>1026</v>
      </c>
      <c r="L864" s="14" t="s">
        <v>6837</v>
      </c>
      <c r="M864" s="14" t="s">
        <v>288</v>
      </c>
      <c r="N864" s="14" t="s">
        <v>289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2" t="n">
        <f aca="false">AB864*(1+$L$3)</f>
        <v>0</v>
      </c>
      <c r="AD864" s="20"/>
      <c r="AE864" s="23" t="n">
        <f aca="false">AC864-AD864</f>
        <v>0</v>
      </c>
      <c r="AF864" s="21" t="str">
        <f aca="false">IFERROR(AD864/AC864,"")</f>
        <v/>
      </c>
    </row>
    <row r="865" customFormat="false" ht="15" hidden="false" customHeight="true" outlineLevel="0" collapsed="false">
      <c r="A865" s="14" t="n">
        <v>645899</v>
      </c>
      <c r="B865" s="14" t="n">
        <v>487272</v>
      </c>
      <c r="C865" s="14" t="s">
        <v>6838</v>
      </c>
      <c r="D865" s="14" t="s">
        <v>279</v>
      </c>
      <c r="E865" s="14" t="s">
        <v>280</v>
      </c>
      <c r="F865" s="14" t="s">
        <v>6839</v>
      </c>
      <c r="G865" s="14" t="s">
        <v>282</v>
      </c>
      <c r="H865" s="14" t="s">
        <v>6840</v>
      </c>
      <c r="I865" s="14" t="s">
        <v>129</v>
      </c>
      <c r="J865" s="14" t="s">
        <v>6836</v>
      </c>
      <c r="K865" s="14" t="s">
        <v>1026</v>
      </c>
      <c r="L865" s="14" t="s">
        <v>6837</v>
      </c>
      <c r="M865" s="14" t="s">
        <v>288</v>
      </c>
      <c r="N865" s="14" t="s">
        <v>289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2" t="n">
        <f aca="false">AB865*(1+$L$3)</f>
        <v>0</v>
      </c>
      <c r="AD865" s="20"/>
      <c r="AE865" s="23" t="n">
        <f aca="false">AC865-AD865</f>
        <v>0</v>
      </c>
      <c r="AF865" s="21" t="str">
        <f aca="false">IFERROR(AD865/AC865,"")</f>
        <v/>
      </c>
    </row>
    <row r="866" customFormat="false" ht="15" hidden="false" customHeight="true" outlineLevel="0" collapsed="false">
      <c r="A866" s="14" t="n">
        <v>645898</v>
      </c>
      <c r="B866" s="14" t="n">
        <v>487271</v>
      </c>
      <c r="C866" s="14" t="s">
        <v>6841</v>
      </c>
      <c r="D866" s="14" t="s">
        <v>279</v>
      </c>
      <c r="E866" s="14" t="s">
        <v>280</v>
      </c>
      <c r="F866" s="14" t="s">
        <v>6842</v>
      </c>
      <c r="G866" s="14" t="s">
        <v>282</v>
      </c>
      <c r="H866" s="14" t="s">
        <v>6843</v>
      </c>
      <c r="I866" s="14"/>
      <c r="J866" s="14" t="s">
        <v>6844</v>
      </c>
      <c r="K866" s="14" t="s">
        <v>2088</v>
      </c>
      <c r="L866" s="14" t="s">
        <v>6845</v>
      </c>
      <c r="M866" s="14" t="s">
        <v>288</v>
      </c>
      <c r="N866" s="14" t="s">
        <v>289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2" t="n">
        <f aca="false">AB866*(1+$L$3)</f>
        <v>0</v>
      </c>
      <c r="AD866" s="20"/>
      <c r="AE866" s="23" t="n">
        <f aca="false">AC866-AD866</f>
        <v>0</v>
      </c>
      <c r="AF866" s="21" t="str">
        <f aca="false">IFERROR(AD866/AC866,"")</f>
        <v/>
      </c>
    </row>
    <row r="867" customFormat="false" ht="15" hidden="false" customHeight="true" outlineLevel="0" collapsed="false">
      <c r="A867" s="14" t="n">
        <v>645897</v>
      </c>
      <c r="B867" s="14" t="n">
        <v>487270</v>
      </c>
      <c r="C867" s="14" t="s">
        <v>6846</v>
      </c>
      <c r="D867" s="14" t="s">
        <v>279</v>
      </c>
      <c r="E867" s="14" t="s">
        <v>280</v>
      </c>
      <c r="F867" s="14" t="s">
        <v>6847</v>
      </c>
      <c r="G867" s="14" t="s">
        <v>282</v>
      </c>
      <c r="H867" s="14" t="s">
        <v>6848</v>
      </c>
      <c r="I867" s="14"/>
      <c r="J867" s="14" t="s">
        <v>6849</v>
      </c>
      <c r="K867" s="14" t="s">
        <v>1545</v>
      </c>
      <c r="L867" s="14" t="s">
        <v>6850</v>
      </c>
      <c r="M867" s="14" t="s">
        <v>288</v>
      </c>
      <c r="N867" s="14" t="s">
        <v>289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2" t="n">
        <f aca="false">AB867*(1+$L$3)</f>
        <v>0</v>
      </c>
      <c r="AD867" s="20"/>
      <c r="AE867" s="23" t="n">
        <f aca="false">AC867-AD867</f>
        <v>0</v>
      </c>
      <c r="AF867" s="21" t="str">
        <f aca="false">IFERROR(AD867/AC867,"")</f>
        <v/>
      </c>
    </row>
    <row r="868" customFormat="false" ht="15" hidden="false" customHeight="true" outlineLevel="0" collapsed="false">
      <c r="A868" s="14" t="n">
        <v>645896</v>
      </c>
      <c r="B868" s="14" t="n">
        <v>487269</v>
      </c>
      <c r="C868" s="14" t="s">
        <v>6851</v>
      </c>
      <c r="D868" s="14" t="s">
        <v>279</v>
      </c>
      <c r="E868" s="14" t="s">
        <v>280</v>
      </c>
      <c r="F868" s="14" t="s">
        <v>6852</v>
      </c>
      <c r="G868" s="14" t="s">
        <v>282</v>
      </c>
      <c r="H868" s="14" t="s">
        <v>6853</v>
      </c>
      <c r="I868" s="14"/>
      <c r="J868" s="14" t="s">
        <v>6849</v>
      </c>
      <c r="K868" s="14" t="s">
        <v>1545</v>
      </c>
      <c r="L868" s="14" t="s">
        <v>6850</v>
      </c>
      <c r="M868" s="14" t="s">
        <v>288</v>
      </c>
      <c r="N868" s="14" t="s">
        <v>289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2" t="n">
        <f aca="false">AB868*(1+$L$3)</f>
        <v>0</v>
      </c>
      <c r="AD868" s="20"/>
      <c r="AE868" s="23" t="n">
        <f aca="false">AC868-AD868</f>
        <v>0</v>
      </c>
      <c r="AF868" s="21" t="str">
        <f aca="false">IFERROR(AD868/AC868,"")</f>
        <v/>
      </c>
    </row>
    <row r="869" customFormat="false" ht="15" hidden="false" customHeight="true" outlineLevel="0" collapsed="false">
      <c r="A869" s="14" t="n">
        <v>645895</v>
      </c>
      <c r="B869" s="14" t="n">
        <v>487268</v>
      </c>
      <c r="C869" s="14" t="s">
        <v>6854</v>
      </c>
      <c r="D869" s="14" t="s">
        <v>279</v>
      </c>
      <c r="E869" s="14" t="s">
        <v>280</v>
      </c>
      <c r="F869" s="14" t="s">
        <v>6855</v>
      </c>
      <c r="G869" s="14" t="s">
        <v>282</v>
      </c>
      <c r="H869" s="14" t="s">
        <v>6856</v>
      </c>
      <c r="I869" s="14"/>
      <c r="J869" s="14" t="s">
        <v>6857</v>
      </c>
      <c r="K869" s="14" t="s">
        <v>506</v>
      </c>
      <c r="L869" s="14" t="s">
        <v>6858</v>
      </c>
      <c r="M869" s="14" t="s">
        <v>288</v>
      </c>
      <c r="N869" s="14" t="s">
        <v>289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2" t="n">
        <f aca="false">AB869*(1+$L$3)</f>
        <v>0</v>
      </c>
      <c r="AD869" s="20"/>
      <c r="AE869" s="23" t="n">
        <f aca="false">AC869-AD869</f>
        <v>0</v>
      </c>
      <c r="AF869" s="21" t="str">
        <f aca="false">IFERROR(AD869/AC869,"")</f>
        <v/>
      </c>
    </row>
    <row r="870" customFormat="false" ht="15" hidden="false" customHeight="true" outlineLevel="0" collapsed="false">
      <c r="A870" s="14" t="n">
        <v>645894</v>
      </c>
      <c r="B870" s="14" t="n">
        <v>487267</v>
      </c>
      <c r="C870" s="14" t="s">
        <v>6859</v>
      </c>
      <c r="D870" s="14" t="s">
        <v>279</v>
      </c>
      <c r="E870" s="14" t="s">
        <v>280</v>
      </c>
      <c r="F870" s="14" t="s">
        <v>6860</v>
      </c>
      <c r="G870" s="14" t="s">
        <v>282</v>
      </c>
      <c r="H870" s="14" t="s">
        <v>6861</v>
      </c>
      <c r="I870" s="14"/>
      <c r="J870" s="14" t="s">
        <v>6862</v>
      </c>
      <c r="K870" s="14" t="s">
        <v>506</v>
      </c>
      <c r="L870" s="14" t="s">
        <v>6863</v>
      </c>
      <c r="M870" s="14" t="s">
        <v>288</v>
      </c>
      <c r="N870" s="14" t="s">
        <v>289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2" t="n">
        <f aca="false">AB870*(1+$L$3)</f>
        <v>0</v>
      </c>
      <c r="AD870" s="20"/>
      <c r="AE870" s="23" t="n">
        <f aca="false">AC870-AD870</f>
        <v>0</v>
      </c>
      <c r="AF870" s="21" t="str">
        <f aca="false">IFERROR(AD870/AC870,"")</f>
        <v/>
      </c>
    </row>
    <row r="871" customFormat="false" ht="15" hidden="false" customHeight="true" outlineLevel="0" collapsed="false">
      <c r="A871" s="14" t="n">
        <v>645893</v>
      </c>
      <c r="B871" s="14" t="n">
        <v>487266</v>
      </c>
      <c r="C871" s="14" t="s">
        <v>6864</v>
      </c>
      <c r="D871" s="14" t="s">
        <v>279</v>
      </c>
      <c r="E871" s="14" t="s">
        <v>280</v>
      </c>
      <c r="F871" s="14" t="s">
        <v>6865</v>
      </c>
      <c r="G871" s="14" t="s">
        <v>282</v>
      </c>
      <c r="H871" s="14" t="s">
        <v>6866</v>
      </c>
      <c r="I871" s="14"/>
      <c r="J871" s="14" t="s">
        <v>6867</v>
      </c>
      <c r="K871" s="14" t="s">
        <v>2316</v>
      </c>
      <c r="L871" s="14" t="s">
        <v>6868</v>
      </c>
      <c r="M871" s="14" t="s">
        <v>288</v>
      </c>
      <c r="N871" s="14" t="s">
        <v>289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2" t="n">
        <f aca="false">AB871*(1+$L$3)</f>
        <v>0</v>
      </c>
      <c r="AD871" s="20"/>
      <c r="AE871" s="23" t="n">
        <f aca="false">AC871-AD871</f>
        <v>0</v>
      </c>
      <c r="AF871" s="21" t="str">
        <f aca="false">IFERROR(AD871/AC871,"")</f>
        <v/>
      </c>
    </row>
    <row r="872" customFormat="false" ht="15" hidden="false" customHeight="true" outlineLevel="0" collapsed="false">
      <c r="A872" s="14" t="n">
        <v>645892</v>
      </c>
      <c r="B872" s="14" t="n">
        <v>487265</v>
      </c>
      <c r="C872" s="14" t="s">
        <v>6869</v>
      </c>
      <c r="D872" s="14" t="s">
        <v>279</v>
      </c>
      <c r="E872" s="14" t="s">
        <v>280</v>
      </c>
      <c r="F872" s="14" t="s">
        <v>6870</v>
      </c>
      <c r="G872" s="14" t="s">
        <v>282</v>
      </c>
      <c r="H872" s="14" t="s">
        <v>6871</v>
      </c>
      <c r="I872" s="14"/>
      <c r="J872" s="14" t="s">
        <v>5290</v>
      </c>
      <c r="K872" s="14" t="s">
        <v>2316</v>
      </c>
      <c r="L872" s="14" t="s">
        <v>6872</v>
      </c>
      <c r="M872" s="14" t="s">
        <v>288</v>
      </c>
      <c r="N872" s="14" t="s">
        <v>289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2" t="n">
        <f aca="false">AB872*(1+$L$3)</f>
        <v>0</v>
      </c>
      <c r="AD872" s="20"/>
      <c r="AE872" s="23" t="n">
        <f aca="false">AC872-AD872</f>
        <v>0</v>
      </c>
      <c r="AF872" s="21" t="str">
        <f aca="false">IFERROR(AD872/AC872,"")</f>
        <v/>
      </c>
    </row>
    <row r="873" customFormat="false" ht="15" hidden="false" customHeight="true" outlineLevel="0" collapsed="false">
      <c r="A873" s="14" t="n">
        <v>645891</v>
      </c>
      <c r="B873" s="14" t="n">
        <v>487264</v>
      </c>
      <c r="C873" s="14" t="s">
        <v>6873</v>
      </c>
      <c r="D873" s="14" t="s">
        <v>279</v>
      </c>
      <c r="E873" s="14" t="s">
        <v>280</v>
      </c>
      <c r="F873" s="14" t="s">
        <v>6874</v>
      </c>
      <c r="G873" s="14" t="s">
        <v>282</v>
      </c>
      <c r="H873" s="14" t="s">
        <v>6875</v>
      </c>
      <c r="I873" s="14"/>
      <c r="J873" s="14" t="s">
        <v>6876</v>
      </c>
      <c r="K873" s="14" t="s">
        <v>506</v>
      </c>
      <c r="L873" s="14" t="s">
        <v>6877</v>
      </c>
      <c r="M873" s="14" t="s">
        <v>288</v>
      </c>
      <c r="N873" s="14" t="s">
        <v>289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2" t="n">
        <f aca="false">AB873*(1+$L$3)</f>
        <v>0</v>
      </c>
      <c r="AD873" s="20"/>
      <c r="AE873" s="23" t="n">
        <f aca="false">AC873-AD873</f>
        <v>0</v>
      </c>
      <c r="AF873" s="21" t="str">
        <f aca="false">IFERROR(AD873/AC873,"")</f>
        <v/>
      </c>
    </row>
    <row r="874" customFormat="false" ht="15" hidden="false" customHeight="true" outlineLevel="0" collapsed="false">
      <c r="A874" s="14" t="n">
        <v>655459</v>
      </c>
      <c r="B874" s="14" t="n">
        <v>496599</v>
      </c>
      <c r="C874" s="14" t="s">
        <v>6878</v>
      </c>
      <c r="D874" s="14" t="s">
        <v>279</v>
      </c>
      <c r="E874" s="14" t="s">
        <v>280</v>
      </c>
      <c r="F874" s="14" t="s">
        <v>6879</v>
      </c>
      <c r="G874" s="14" t="s">
        <v>282</v>
      </c>
      <c r="H874" s="14" t="s">
        <v>6880</v>
      </c>
      <c r="I874" s="14"/>
      <c r="J874" s="14" t="s">
        <v>6881</v>
      </c>
      <c r="K874" s="14" t="s">
        <v>2316</v>
      </c>
      <c r="L874" s="14" t="s">
        <v>6882</v>
      </c>
      <c r="M874" s="14" t="s">
        <v>288</v>
      </c>
      <c r="N874" s="14" t="s">
        <v>289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2" t="n">
        <f aca="false">AB874*(1+$L$3)</f>
        <v>0</v>
      </c>
      <c r="AD874" s="20"/>
      <c r="AE874" s="23" t="n">
        <f aca="false">AC874-AD874</f>
        <v>0</v>
      </c>
      <c r="AF874" s="21" t="str">
        <f aca="false">IFERROR(AD874/AC874,"")</f>
        <v/>
      </c>
    </row>
    <row r="875" customFormat="false" ht="15" hidden="false" customHeight="true" outlineLevel="0" collapsed="false">
      <c r="A875" s="14" t="n">
        <v>645889</v>
      </c>
      <c r="B875" s="14" t="n">
        <v>487262</v>
      </c>
      <c r="C875" s="14" t="s">
        <v>6883</v>
      </c>
      <c r="D875" s="14" t="s">
        <v>279</v>
      </c>
      <c r="E875" s="14" t="s">
        <v>280</v>
      </c>
      <c r="F875" s="14" t="s">
        <v>6884</v>
      </c>
      <c r="G875" s="14" t="s">
        <v>282</v>
      </c>
      <c r="H875" s="14" t="s">
        <v>6885</v>
      </c>
      <c r="I875" s="14"/>
      <c r="J875" s="14" t="s">
        <v>6886</v>
      </c>
      <c r="K875" s="14" t="s">
        <v>1160</v>
      </c>
      <c r="L875" s="14" t="s">
        <v>6887</v>
      </c>
      <c r="M875" s="14" t="s">
        <v>288</v>
      </c>
      <c r="N875" s="14" t="s">
        <v>289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2" t="n">
        <f aca="false">AB875*(1+$L$3)</f>
        <v>0</v>
      </c>
      <c r="AD875" s="20"/>
      <c r="AE875" s="23" t="n">
        <f aca="false">AC875-AD875</f>
        <v>0</v>
      </c>
      <c r="AF875" s="21" t="str">
        <f aca="false">IFERROR(AD875/AC875,"")</f>
        <v/>
      </c>
    </row>
    <row r="876" customFormat="false" ht="15" hidden="false" customHeight="true" outlineLevel="0" collapsed="false">
      <c r="A876" s="14" t="n">
        <v>645887</v>
      </c>
      <c r="B876" s="14" t="n">
        <v>487260</v>
      </c>
      <c r="C876" s="14" t="s">
        <v>6888</v>
      </c>
      <c r="D876" s="14" t="s">
        <v>6889</v>
      </c>
      <c r="E876" s="14" t="s">
        <v>280</v>
      </c>
      <c r="F876" s="14" t="s">
        <v>6890</v>
      </c>
      <c r="G876" s="14" t="s">
        <v>282</v>
      </c>
      <c r="H876" s="14" t="s">
        <v>6891</v>
      </c>
      <c r="I876" s="14"/>
      <c r="J876" s="14" t="s">
        <v>6892</v>
      </c>
      <c r="K876" s="14" t="s">
        <v>307</v>
      </c>
      <c r="L876" s="14" t="s">
        <v>6893</v>
      </c>
      <c r="M876" s="14" t="s">
        <v>288</v>
      </c>
      <c r="N876" s="14" t="s">
        <v>289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2" t="n">
        <f aca="false">AB876*(1+$L$3)</f>
        <v>0</v>
      </c>
      <c r="AD876" s="20"/>
      <c r="AE876" s="23" t="n">
        <f aca="false">AC876-AD876</f>
        <v>0</v>
      </c>
      <c r="AF876" s="21" t="str">
        <f aca="false">IFERROR(AD876/AC876,"")</f>
        <v/>
      </c>
    </row>
    <row r="877" customFormat="false" ht="15" hidden="false" customHeight="true" outlineLevel="0" collapsed="false">
      <c r="A877" s="14" t="n">
        <v>645888</v>
      </c>
      <c r="B877" s="14" t="n">
        <v>487261</v>
      </c>
      <c r="C877" s="14" t="s">
        <v>6894</v>
      </c>
      <c r="D877" s="14" t="s">
        <v>279</v>
      </c>
      <c r="E877" s="14" t="s">
        <v>280</v>
      </c>
      <c r="F877" s="14" t="s">
        <v>6895</v>
      </c>
      <c r="G877" s="14" t="s">
        <v>282</v>
      </c>
      <c r="H877" s="14" t="s">
        <v>6896</v>
      </c>
      <c r="I877" s="14"/>
      <c r="J877" s="14" t="s">
        <v>489</v>
      </c>
      <c r="K877" s="14" t="s">
        <v>307</v>
      </c>
      <c r="L877" s="14" t="s">
        <v>6897</v>
      </c>
      <c r="M877" s="14" t="s">
        <v>288</v>
      </c>
      <c r="N877" s="14" t="s">
        <v>289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2" t="n">
        <f aca="false">AB877*(1+$L$3)</f>
        <v>0</v>
      </c>
      <c r="AD877" s="20"/>
      <c r="AE877" s="23" t="n">
        <f aca="false">AC877-AD877</f>
        <v>0</v>
      </c>
      <c r="AF877" s="21" t="str">
        <f aca="false">IFERROR(AD877/AC877,"")</f>
        <v/>
      </c>
    </row>
    <row r="878" customFormat="false" ht="15" hidden="false" customHeight="true" outlineLevel="0" collapsed="false">
      <c r="A878" s="14" t="n">
        <v>645886</v>
      </c>
      <c r="B878" s="14" t="n">
        <v>487259</v>
      </c>
      <c r="C878" s="14" t="s">
        <v>6898</v>
      </c>
      <c r="D878" s="14" t="s">
        <v>279</v>
      </c>
      <c r="E878" s="14" t="s">
        <v>280</v>
      </c>
      <c r="F878" s="14" t="s">
        <v>6899</v>
      </c>
      <c r="G878" s="14" t="s">
        <v>282</v>
      </c>
      <c r="H878" s="14" t="s">
        <v>6900</v>
      </c>
      <c r="I878" s="14"/>
      <c r="J878" s="14" t="s">
        <v>6901</v>
      </c>
      <c r="K878" s="14" t="s">
        <v>3982</v>
      </c>
      <c r="L878" s="14" t="s">
        <v>6902</v>
      </c>
      <c r="M878" s="14" t="s">
        <v>288</v>
      </c>
      <c r="N878" s="14" t="s">
        <v>289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2" t="n">
        <f aca="false">AB878*(1+$L$3)</f>
        <v>0</v>
      </c>
      <c r="AD878" s="20"/>
      <c r="AE878" s="23" t="n">
        <f aca="false">AC878-AD878</f>
        <v>0</v>
      </c>
      <c r="AF878" s="21" t="str">
        <f aca="false">IFERROR(AD878/AC878,"")</f>
        <v/>
      </c>
    </row>
    <row r="879" customFormat="false" ht="15" hidden="false" customHeight="true" outlineLevel="0" collapsed="false">
      <c r="A879" s="14" t="n">
        <v>645885</v>
      </c>
      <c r="B879" s="14" t="n">
        <v>487258</v>
      </c>
      <c r="C879" s="14" t="s">
        <v>6903</v>
      </c>
      <c r="D879" s="14" t="s">
        <v>279</v>
      </c>
      <c r="E879" s="14" t="s">
        <v>280</v>
      </c>
      <c r="F879" s="14" t="s">
        <v>6904</v>
      </c>
      <c r="G879" s="14" t="s">
        <v>282</v>
      </c>
      <c r="H879" s="14" t="s">
        <v>6905</v>
      </c>
      <c r="I879" s="14"/>
      <c r="J879" s="14" t="s">
        <v>3981</v>
      </c>
      <c r="K879" s="14" t="s">
        <v>3982</v>
      </c>
      <c r="L879" s="14" t="s">
        <v>6906</v>
      </c>
      <c r="M879" s="14" t="s">
        <v>288</v>
      </c>
      <c r="N879" s="14" t="s">
        <v>289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2" t="n">
        <f aca="false">AB879*(1+$L$3)</f>
        <v>0</v>
      </c>
      <c r="AD879" s="20"/>
      <c r="AE879" s="23" t="n">
        <f aca="false">AC879-AD879</f>
        <v>0</v>
      </c>
      <c r="AF879" s="21" t="str">
        <f aca="false">IFERROR(AD879/AC879,"")</f>
        <v/>
      </c>
    </row>
    <row r="880" customFormat="false" ht="15" hidden="false" customHeight="true" outlineLevel="0" collapsed="false">
      <c r="A880" s="14" t="n">
        <v>645884</v>
      </c>
      <c r="B880" s="14" t="n">
        <v>487257</v>
      </c>
      <c r="C880" s="14" t="s">
        <v>6907</v>
      </c>
      <c r="D880" s="14" t="s">
        <v>279</v>
      </c>
      <c r="E880" s="14" t="s">
        <v>280</v>
      </c>
      <c r="F880" s="14" t="s">
        <v>6908</v>
      </c>
      <c r="G880" s="14" t="s">
        <v>282</v>
      </c>
      <c r="H880" s="14" t="s">
        <v>6909</v>
      </c>
      <c r="I880" s="14" t="s">
        <v>6910</v>
      </c>
      <c r="J880" s="14" t="s">
        <v>6911</v>
      </c>
      <c r="K880" s="14" t="s">
        <v>999</v>
      </c>
      <c r="L880" s="14" t="s">
        <v>6912</v>
      </c>
      <c r="M880" s="14" t="s">
        <v>288</v>
      </c>
      <c r="N880" s="14" t="s">
        <v>289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2" t="n">
        <f aca="false">AB880*(1+$L$3)</f>
        <v>0</v>
      </c>
      <c r="AD880" s="20"/>
      <c r="AE880" s="23" t="n">
        <f aca="false">AC880-AD880</f>
        <v>0</v>
      </c>
      <c r="AF880" s="21" t="str">
        <f aca="false">IFERROR(AD880/AC880,"")</f>
        <v/>
      </c>
    </row>
    <row r="881" customFormat="false" ht="15" hidden="false" customHeight="true" outlineLevel="0" collapsed="false">
      <c r="A881" s="14" t="n">
        <v>645883</v>
      </c>
      <c r="B881" s="14" t="n">
        <v>487256</v>
      </c>
      <c r="C881" s="14" t="s">
        <v>6913</v>
      </c>
      <c r="D881" s="14" t="s">
        <v>279</v>
      </c>
      <c r="E881" s="14" t="s">
        <v>280</v>
      </c>
      <c r="F881" s="14" t="s">
        <v>6914</v>
      </c>
      <c r="G881" s="14" t="s">
        <v>282</v>
      </c>
      <c r="H881" s="14" t="s">
        <v>6915</v>
      </c>
      <c r="I881" s="14"/>
      <c r="J881" s="14" t="s">
        <v>6916</v>
      </c>
      <c r="K881" s="14" t="s">
        <v>307</v>
      </c>
      <c r="L881" s="14" t="s">
        <v>6917</v>
      </c>
      <c r="M881" s="14" t="s">
        <v>288</v>
      </c>
      <c r="N881" s="14" t="s">
        <v>289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2" t="n">
        <f aca="false">AB881*(1+$L$3)</f>
        <v>0</v>
      </c>
      <c r="AD881" s="20"/>
      <c r="AE881" s="23" t="n">
        <f aca="false">AC881-AD881</f>
        <v>0</v>
      </c>
      <c r="AF881" s="21" t="str">
        <f aca="false">IFERROR(AD881/AC881,"")</f>
        <v/>
      </c>
    </row>
    <row r="882" customFormat="false" ht="15" hidden="false" customHeight="true" outlineLevel="0" collapsed="false">
      <c r="A882" s="14" t="n">
        <v>645882</v>
      </c>
      <c r="B882" s="14" t="n">
        <v>487255</v>
      </c>
      <c r="C882" s="14" t="s">
        <v>6918</v>
      </c>
      <c r="D882" s="14" t="s">
        <v>279</v>
      </c>
      <c r="E882" s="14" t="s">
        <v>280</v>
      </c>
      <c r="F882" s="14" t="s">
        <v>6919</v>
      </c>
      <c r="G882" s="14" t="s">
        <v>282</v>
      </c>
      <c r="H882" s="14" t="s">
        <v>6920</v>
      </c>
      <c r="I882" s="14"/>
      <c r="J882" s="14" t="s">
        <v>489</v>
      </c>
      <c r="K882" s="14" t="s">
        <v>307</v>
      </c>
      <c r="L882" s="14" t="s">
        <v>6921</v>
      </c>
      <c r="M882" s="14" t="s">
        <v>288</v>
      </c>
      <c r="N882" s="14" t="s">
        <v>289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2" t="n">
        <f aca="false">AB882*(1+$L$3)</f>
        <v>0</v>
      </c>
      <c r="AD882" s="20"/>
      <c r="AE882" s="23" t="n">
        <f aca="false">AC882-AD882</f>
        <v>0</v>
      </c>
      <c r="AF882" s="21" t="str">
        <f aca="false">IFERROR(AD882/AC882,"")</f>
        <v/>
      </c>
    </row>
    <row r="883" customFormat="false" ht="15" hidden="false" customHeight="true" outlineLevel="0" collapsed="false">
      <c r="A883" s="14" t="n">
        <v>645881</v>
      </c>
      <c r="B883" s="14" t="n">
        <v>487254</v>
      </c>
      <c r="C883" s="14" t="s">
        <v>6922</v>
      </c>
      <c r="D883" s="14" t="s">
        <v>279</v>
      </c>
      <c r="E883" s="14" t="s">
        <v>280</v>
      </c>
      <c r="F883" s="14" t="s">
        <v>6923</v>
      </c>
      <c r="G883" s="14" t="s">
        <v>282</v>
      </c>
      <c r="H883" s="14" t="s">
        <v>6924</v>
      </c>
      <c r="I883" s="14"/>
      <c r="J883" s="14" t="s">
        <v>6925</v>
      </c>
      <c r="K883" s="14" t="s">
        <v>307</v>
      </c>
      <c r="L883" s="14" t="s">
        <v>6926</v>
      </c>
      <c r="M883" s="14" t="s">
        <v>288</v>
      </c>
      <c r="N883" s="14" t="s">
        <v>289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2" t="n">
        <f aca="false">AB883*(1+$L$3)</f>
        <v>0</v>
      </c>
      <c r="AD883" s="20"/>
      <c r="AE883" s="23" t="n">
        <f aca="false">AC883-AD883</f>
        <v>0</v>
      </c>
      <c r="AF883" s="21" t="str">
        <f aca="false">IFERROR(AD883/AC883,"")</f>
        <v/>
      </c>
    </row>
    <row r="884" customFormat="false" ht="15" hidden="false" customHeight="true" outlineLevel="0" collapsed="false">
      <c r="A884" s="14" t="n">
        <v>645880</v>
      </c>
      <c r="B884" s="14" t="n">
        <v>487253</v>
      </c>
      <c r="C884" s="14" t="s">
        <v>6927</v>
      </c>
      <c r="D884" s="14" t="s">
        <v>279</v>
      </c>
      <c r="E884" s="14" t="s">
        <v>280</v>
      </c>
      <c r="F884" s="14" t="s">
        <v>6928</v>
      </c>
      <c r="G884" s="14" t="s">
        <v>282</v>
      </c>
      <c r="H884" s="14" t="s">
        <v>6929</v>
      </c>
      <c r="I884" s="14"/>
      <c r="J884" s="14" t="s">
        <v>6911</v>
      </c>
      <c r="K884" s="14" t="s">
        <v>999</v>
      </c>
      <c r="L884" s="14" t="s">
        <v>6912</v>
      </c>
      <c r="M884" s="14" t="s">
        <v>288</v>
      </c>
      <c r="N884" s="14" t="s">
        <v>289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2" t="n">
        <f aca="false">AB884*(1+$L$3)</f>
        <v>0</v>
      </c>
      <c r="AD884" s="20"/>
      <c r="AE884" s="23" t="n">
        <f aca="false">AC884-AD884</f>
        <v>0</v>
      </c>
      <c r="AF884" s="21" t="str">
        <f aca="false">IFERROR(AD884/AC884,"")</f>
        <v/>
      </c>
    </row>
    <row r="885" customFormat="false" ht="15" hidden="false" customHeight="true" outlineLevel="0" collapsed="false">
      <c r="A885" s="14" t="n">
        <v>645879</v>
      </c>
      <c r="B885" s="14" t="n">
        <v>487252</v>
      </c>
      <c r="C885" s="14" t="s">
        <v>6930</v>
      </c>
      <c r="D885" s="14" t="s">
        <v>6889</v>
      </c>
      <c r="E885" s="14" t="s">
        <v>280</v>
      </c>
      <c r="F885" s="14" t="s">
        <v>6931</v>
      </c>
      <c r="G885" s="14" t="s">
        <v>282</v>
      </c>
      <c r="H885" s="14" t="s">
        <v>6932</v>
      </c>
      <c r="I885" s="14"/>
      <c r="J885" s="14" t="s">
        <v>6933</v>
      </c>
      <c r="K885" s="14" t="s">
        <v>1752</v>
      </c>
      <c r="L885" s="14" t="s">
        <v>6934</v>
      </c>
      <c r="M885" s="14" t="s">
        <v>288</v>
      </c>
      <c r="N885" s="14" t="s">
        <v>289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2" t="n">
        <f aca="false">AB885*(1+$L$3)</f>
        <v>0</v>
      </c>
      <c r="AD885" s="20"/>
      <c r="AE885" s="23" t="n">
        <f aca="false">AC885-AD885</f>
        <v>0</v>
      </c>
      <c r="AF885" s="21" t="str">
        <f aca="false">IFERROR(AD885/AC885,"")</f>
        <v/>
      </c>
    </row>
    <row r="886" customFormat="false" ht="15" hidden="false" customHeight="true" outlineLevel="0" collapsed="false">
      <c r="A886" s="14" t="n">
        <v>645162</v>
      </c>
      <c r="B886" s="14" t="n">
        <v>486550</v>
      </c>
      <c r="C886" s="14" t="s">
        <v>6935</v>
      </c>
      <c r="D886" s="14" t="s">
        <v>6936</v>
      </c>
      <c r="E886" s="14" t="s">
        <v>6937</v>
      </c>
      <c r="F886" s="14" t="s">
        <v>6938</v>
      </c>
      <c r="G886" s="14" t="s">
        <v>6939</v>
      </c>
      <c r="H886" s="14" t="s">
        <v>6940</v>
      </c>
      <c r="I886" s="14"/>
      <c r="J886" s="14" t="s">
        <v>316</v>
      </c>
      <c r="K886" s="14" t="s">
        <v>307</v>
      </c>
      <c r="L886" s="14" t="s">
        <v>6941</v>
      </c>
      <c r="M886" s="14" t="s">
        <v>6942</v>
      </c>
      <c r="N886" s="14" t="s">
        <v>70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2" t="n">
        <f aca="false">AB886*(1+$L$3)</f>
        <v>0</v>
      </c>
      <c r="AD886" s="20"/>
      <c r="AE886" s="23" t="n">
        <f aca="false">AC886-AD886</f>
        <v>0</v>
      </c>
      <c r="AF886" s="21" t="str">
        <f aca="false">IFERROR(AD886/AC886,"")</f>
        <v/>
      </c>
    </row>
    <row r="887" customFormat="false" ht="15" hidden="false" customHeight="true" outlineLevel="0" collapsed="false">
      <c r="A887" s="14" t="n">
        <v>645098</v>
      </c>
      <c r="B887" s="14" t="n">
        <v>486495</v>
      </c>
      <c r="C887" s="14" t="s">
        <v>6943</v>
      </c>
      <c r="D887" s="14" t="s">
        <v>6944</v>
      </c>
      <c r="E887" s="14" t="s">
        <v>6945</v>
      </c>
      <c r="F887" s="14" t="s">
        <v>6946</v>
      </c>
      <c r="G887" s="14" t="s">
        <v>6947</v>
      </c>
      <c r="H887" s="14" t="s">
        <v>6948</v>
      </c>
      <c r="I887" s="14"/>
      <c r="J887" s="14" t="s">
        <v>6949</v>
      </c>
      <c r="K887" s="14" t="s">
        <v>1160</v>
      </c>
      <c r="L887" s="14" t="s">
        <v>6950</v>
      </c>
      <c r="M887" s="14" t="s">
        <v>6951</v>
      </c>
      <c r="N887" s="14" t="s">
        <v>70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2" t="n">
        <f aca="false">AB887*(1+$L$3)</f>
        <v>0</v>
      </c>
      <c r="AD887" s="20"/>
      <c r="AE887" s="23" t="n">
        <f aca="false">AC887-AD887</f>
        <v>0</v>
      </c>
      <c r="AF887" s="21" t="str">
        <f aca="false">IFERROR(AD887/AC887,"")</f>
        <v/>
      </c>
    </row>
    <row r="888" customFormat="false" ht="15" hidden="false" customHeight="true" outlineLevel="0" collapsed="false">
      <c r="A888" s="14" t="n">
        <v>645021</v>
      </c>
      <c r="B888" s="14" t="n">
        <v>486418</v>
      </c>
      <c r="C888" s="14" t="s">
        <v>6952</v>
      </c>
      <c r="D888" s="14" t="s">
        <v>6953</v>
      </c>
      <c r="E888" s="14" t="s">
        <v>6954</v>
      </c>
      <c r="F888" s="14" t="s">
        <v>6955</v>
      </c>
      <c r="G888" s="14" t="s">
        <v>6956</v>
      </c>
      <c r="H888" s="14" t="s">
        <v>6957</v>
      </c>
      <c r="I888" s="14"/>
      <c r="J888" s="14" t="s">
        <v>6958</v>
      </c>
      <c r="K888" s="14" t="s">
        <v>48</v>
      </c>
      <c r="L888" s="14" t="s">
        <v>768</v>
      </c>
      <c r="M888" s="14" t="s">
        <v>6959</v>
      </c>
      <c r="N888" s="14" t="s">
        <v>70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2" t="n">
        <f aca="false">AB888*(1+$L$3)</f>
        <v>0</v>
      </c>
      <c r="AD888" s="20"/>
      <c r="AE888" s="23" t="n">
        <f aca="false">AC888-AD888</f>
        <v>0</v>
      </c>
      <c r="AF888" s="21" t="str">
        <f aca="false">IFERROR(AD888/AC888,"")</f>
        <v/>
      </c>
    </row>
    <row r="889" customFormat="false" ht="15" hidden="false" customHeight="true" outlineLevel="0" collapsed="false">
      <c r="A889" s="14" t="n">
        <v>644907</v>
      </c>
      <c r="B889" s="14" t="n">
        <v>486308</v>
      </c>
      <c r="C889" s="14" t="s">
        <v>6960</v>
      </c>
      <c r="D889" s="14" t="s">
        <v>6961</v>
      </c>
      <c r="E889" s="14" t="s">
        <v>6962</v>
      </c>
      <c r="F889" s="14" t="s">
        <v>6963</v>
      </c>
      <c r="G889" s="14" t="s">
        <v>6964</v>
      </c>
      <c r="H889" s="14" t="s">
        <v>6965</v>
      </c>
      <c r="I889" s="14"/>
      <c r="J889" s="14" t="s">
        <v>77</v>
      </c>
      <c r="K889" s="14" t="s">
        <v>48</v>
      </c>
      <c r="L889" s="14" t="s">
        <v>86</v>
      </c>
      <c r="M889" s="14" t="s">
        <v>6966</v>
      </c>
      <c r="N889" s="14" t="s">
        <v>51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2" t="n">
        <f aca="false">AB889*(1+$L$3)</f>
        <v>0</v>
      </c>
      <c r="AD889" s="20"/>
      <c r="AE889" s="23" t="n">
        <f aca="false">AC889-AD889</f>
        <v>0</v>
      </c>
      <c r="AF889" s="21" t="str">
        <f aca="false">IFERROR(AD889/AC889,"")</f>
        <v/>
      </c>
    </row>
    <row r="890" customFormat="false" ht="15" hidden="false" customHeight="true" outlineLevel="0" collapsed="false">
      <c r="A890" s="14" t="n">
        <v>644402</v>
      </c>
      <c r="B890" s="14" t="n">
        <v>485829</v>
      </c>
      <c r="C890" s="14" t="s">
        <v>6967</v>
      </c>
      <c r="D890" s="14" t="s">
        <v>6968</v>
      </c>
      <c r="E890" s="14" t="s">
        <v>6969</v>
      </c>
      <c r="F890" s="14" t="s">
        <v>6970</v>
      </c>
      <c r="G890" s="14" t="s">
        <v>6971</v>
      </c>
      <c r="H890" s="14" t="s">
        <v>6972</v>
      </c>
      <c r="I890" s="14"/>
      <c r="J890" s="14" t="s">
        <v>6973</v>
      </c>
      <c r="K890" s="14" t="s">
        <v>1900</v>
      </c>
      <c r="L890" s="14" t="s">
        <v>6974</v>
      </c>
      <c r="M890" s="14" t="s">
        <v>6975</v>
      </c>
      <c r="N890" s="14" t="s">
        <v>70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2" t="n">
        <f aca="false">AB890*(1+$L$3)</f>
        <v>0</v>
      </c>
      <c r="AD890" s="20"/>
      <c r="AE890" s="23" t="n">
        <f aca="false">AC890-AD890</f>
        <v>0</v>
      </c>
      <c r="AF890" s="21" t="str">
        <f aca="false">IFERROR(AD890/AC890,"")</f>
        <v/>
      </c>
    </row>
    <row r="891" customFormat="false" ht="15" hidden="false" customHeight="true" outlineLevel="0" collapsed="false">
      <c r="A891" s="14" t="n">
        <v>643937</v>
      </c>
      <c r="B891" s="14" t="n">
        <v>485466</v>
      </c>
      <c r="C891" s="14" t="s">
        <v>6976</v>
      </c>
      <c r="D891" s="14" t="s">
        <v>6977</v>
      </c>
      <c r="E891" s="14" t="s">
        <v>6978</v>
      </c>
      <c r="F891" s="14" t="s">
        <v>6979</v>
      </c>
      <c r="G891" s="14" t="s">
        <v>6980</v>
      </c>
      <c r="H891" s="14" t="s">
        <v>6981</v>
      </c>
      <c r="I891" s="14"/>
      <c r="J891" s="14" t="s">
        <v>2516</v>
      </c>
      <c r="K891" s="14" t="s">
        <v>981</v>
      </c>
      <c r="L891" s="14" t="s">
        <v>6982</v>
      </c>
      <c r="M891" s="14" t="s">
        <v>6983</v>
      </c>
      <c r="N891" s="14" t="s">
        <v>70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2" t="n">
        <f aca="false">AB891*(1+$L$3)</f>
        <v>0</v>
      </c>
      <c r="AD891" s="20"/>
      <c r="AE891" s="23" t="n">
        <f aca="false">AC891-AD891</f>
        <v>0</v>
      </c>
      <c r="AF891" s="21" t="str">
        <f aca="false">IFERROR(AD891/AC891,"")</f>
        <v/>
      </c>
    </row>
    <row r="892" customFormat="false" ht="15" hidden="false" customHeight="true" outlineLevel="0" collapsed="false">
      <c r="A892" s="14" t="n">
        <v>643936</v>
      </c>
      <c r="B892" s="14" t="n">
        <v>485465</v>
      </c>
      <c r="C892" s="14" t="s">
        <v>6984</v>
      </c>
      <c r="D892" s="14" t="s">
        <v>6985</v>
      </c>
      <c r="E892" s="14" t="s">
        <v>6986</v>
      </c>
      <c r="F892" s="14" t="s">
        <v>6987</v>
      </c>
      <c r="G892" s="14" t="s">
        <v>6988</v>
      </c>
      <c r="H892" s="14" t="s">
        <v>6989</v>
      </c>
      <c r="I892" s="14"/>
      <c r="J892" s="14" t="s">
        <v>1168</v>
      </c>
      <c r="K892" s="14" t="s">
        <v>464</v>
      </c>
      <c r="L892" s="14" t="s">
        <v>1169</v>
      </c>
      <c r="M892" s="14" t="s">
        <v>6990</v>
      </c>
      <c r="N892" s="14" t="s">
        <v>70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2" t="n">
        <f aca="false">AB892*(1+$L$3)</f>
        <v>0</v>
      </c>
      <c r="AD892" s="20"/>
      <c r="AE892" s="23" t="n">
        <f aca="false">AC892-AD892</f>
        <v>0</v>
      </c>
      <c r="AF892" s="21" t="str">
        <f aca="false">IFERROR(AD892/AC892,"")</f>
        <v/>
      </c>
    </row>
    <row r="893" customFormat="false" ht="15" hidden="false" customHeight="true" outlineLevel="0" collapsed="false">
      <c r="A893" s="14" t="n">
        <v>643766</v>
      </c>
      <c r="B893" s="14" t="n">
        <v>485295</v>
      </c>
      <c r="C893" s="14" t="s">
        <v>6991</v>
      </c>
      <c r="D893" s="14" t="s">
        <v>6992</v>
      </c>
      <c r="E893" s="14" t="s">
        <v>6993</v>
      </c>
      <c r="F893" s="14" t="s">
        <v>6994</v>
      </c>
      <c r="G893" s="14" t="s">
        <v>6995</v>
      </c>
      <c r="H893" s="14" t="s">
        <v>6996</v>
      </c>
      <c r="I893" s="14"/>
      <c r="J893" s="14" t="s">
        <v>77</v>
      </c>
      <c r="K893" s="14" t="s">
        <v>48</v>
      </c>
      <c r="L893" s="14" t="s">
        <v>78</v>
      </c>
      <c r="M893" s="14" t="s">
        <v>6997</v>
      </c>
      <c r="N893" s="14" t="s">
        <v>51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2" t="n">
        <f aca="false">AB893*(1+$L$3)</f>
        <v>0</v>
      </c>
      <c r="AD893" s="20"/>
      <c r="AE893" s="23" t="n">
        <f aca="false">AC893-AD893</f>
        <v>0</v>
      </c>
      <c r="AF893" s="21" t="str">
        <f aca="false">IFERROR(AD893/AC893,"")</f>
        <v/>
      </c>
    </row>
    <row r="894" customFormat="false" ht="15" hidden="false" customHeight="true" outlineLevel="0" collapsed="false">
      <c r="A894" s="14" t="n">
        <v>643731</v>
      </c>
      <c r="B894" s="14" t="n">
        <v>485262</v>
      </c>
      <c r="C894" s="14" t="s">
        <v>6998</v>
      </c>
      <c r="D894" s="14" t="s">
        <v>6999</v>
      </c>
      <c r="E894" s="14" t="s">
        <v>7000</v>
      </c>
      <c r="F894" s="14" t="s">
        <v>7001</v>
      </c>
      <c r="G894" s="14" t="s">
        <v>7002</v>
      </c>
      <c r="H894" s="14" t="s">
        <v>7003</v>
      </c>
      <c r="I894" s="14" t="s">
        <v>7004</v>
      </c>
      <c r="J894" s="14" t="s">
        <v>1704</v>
      </c>
      <c r="K894" s="14" t="s">
        <v>48</v>
      </c>
      <c r="L894" s="14" t="s">
        <v>7005</v>
      </c>
      <c r="M894" s="14" t="s">
        <v>7006</v>
      </c>
      <c r="N894" s="14" t="s">
        <v>70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2" t="n">
        <f aca="false">AB894*(1+$L$3)</f>
        <v>0</v>
      </c>
      <c r="AD894" s="20"/>
      <c r="AE894" s="23" t="n">
        <f aca="false">AC894-AD894</f>
        <v>0</v>
      </c>
      <c r="AF894" s="21" t="str">
        <f aca="false">IFERROR(AD894/AC894,"")</f>
        <v/>
      </c>
    </row>
    <row r="895" customFormat="false" ht="15" hidden="false" customHeight="true" outlineLevel="0" collapsed="false">
      <c r="A895" s="14" t="n">
        <v>643717</v>
      </c>
      <c r="B895" s="14" t="n">
        <v>485248</v>
      </c>
      <c r="C895" s="14" t="s">
        <v>7007</v>
      </c>
      <c r="D895" s="14" t="s">
        <v>7008</v>
      </c>
      <c r="E895" s="14" t="s">
        <v>7009</v>
      </c>
      <c r="F895" s="14" t="s">
        <v>7010</v>
      </c>
      <c r="G895" s="14" t="s">
        <v>7011</v>
      </c>
      <c r="H895" s="14" t="s">
        <v>7012</v>
      </c>
      <c r="I895" s="14"/>
      <c r="J895" s="14" t="s">
        <v>1704</v>
      </c>
      <c r="K895" s="14" t="s">
        <v>48</v>
      </c>
      <c r="L895" s="14" t="s">
        <v>7013</v>
      </c>
      <c r="M895" s="14" t="s">
        <v>7014</v>
      </c>
      <c r="N895" s="14" t="s">
        <v>70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2" t="n">
        <f aca="false">AB895*(1+$L$3)</f>
        <v>0</v>
      </c>
      <c r="AD895" s="20"/>
      <c r="AE895" s="23" t="n">
        <f aca="false">AC895-AD895</f>
        <v>0</v>
      </c>
      <c r="AF895" s="21" t="str">
        <f aca="false">IFERROR(AD895/AC895,"")</f>
        <v/>
      </c>
    </row>
    <row r="896" customFormat="false" ht="15" hidden="false" customHeight="true" outlineLevel="0" collapsed="false">
      <c r="A896" s="14" t="n">
        <v>661516</v>
      </c>
      <c r="B896" s="14" t="n">
        <v>502545</v>
      </c>
      <c r="C896" s="14" t="s">
        <v>7015</v>
      </c>
      <c r="D896" s="14" t="s">
        <v>7016</v>
      </c>
      <c r="E896" s="14" t="s">
        <v>7017</v>
      </c>
      <c r="F896" s="14"/>
      <c r="G896" s="14" t="s">
        <v>7018</v>
      </c>
      <c r="H896" s="14" t="s">
        <v>7019</v>
      </c>
      <c r="I896" s="14"/>
      <c r="J896" s="14" t="s">
        <v>1467</v>
      </c>
      <c r="K896" s="14" t="s">
        <v>48</v>
      </c>
      <c r="L896" s="14" t="s">
        <v>1468</v>
      </c>
      <c r="M896" s="14" t="s">
        <v>7020</v>
      </c>
      <c r="N896" s="14" t="s">
        <v>70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2" t="n">
        <f aca="false">AB896*(1+$L$3)</f>
        <v>0</v>
      </c>
      <c r="AD896" s="20"/>
      <c r="AE896" s="23" t="n">
        <f aca="false">AC896-AD896</f>
        <v>0</v>
      </c>
      <c r="AF896" s="21" t="str">
        <f aca="false">IFERROR(AD896/AC896,"")</f>
        <v/>
      </c>
    </row>
    <row r="897" customFormat="false" ht="15" hidden="false" customHeight="true" outlineLevel="0" collapsed="false">
      <c r="A897" s="14" t="n">
        <v>542482</v>
      </c>
      <c r="B897" s="14" t="n">
        <v>396841</v>
      </c>
      <c r="C897" s="14" t="s">
        <v>7021</v>
      </c>
      <c r="D897" s="14" t="s">
        <v>7022</v>
      </c>
      <c r="E897" s="14" t="s">
        <v>7023</v>
      </c>
      <c r="F897" s="14" t="s">
        <v>7024</v>
      </c>
      <c r="G897" s="14" t="s">
        <v>7025</v>
      </c>
      <c r="H897" s="14" t="s">
        <v>7026</v>
      </c>
      <c r="I897" s="14"/>
      <c r="J897" s="14" t="s">
        <v>7027</v>
      </c>
      <c r="K897" s="14" t="s">
        <v>307</v>
      </c>
      <c r="L897" s="14" t="s">
        <v>7028</v>
      </c>
      <c r="M897" s="14" t="s">
        <v>7029</v>
      </c>
      <c r="N897" s="14" t="s">
        <v>70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2" t="n">
        <f aca="false">AB897*(1+$L$3)</f>
        <v>0</v>
      </c>
      <c r="AD897" s="20"/>
      <c r="AE897" s="23" t="n">
        <f aca="false">AC897-AD897</f>
        <v>0</v>
      </c>
      <c r="AF897" s="21" t="str">
        <f aca="false">IFERROR(AD897/AC897,"")</f>
        <v/>
      </c>
    </row>
    <row r="898" customFormat="false" ht="15" hidden="false" customHeight="true" outlineLevel="0" collapsed="false">
      <c r="A898" s="14" t="n">
        <v>643050</v>
      </c>
      <c r="B898" s="14" t="n">
        <v>484603</v>
      </c>
      <c r="C898" s="14" t="s">
        <v>7030</v>
      </c>
      <c r="D898" s="14" t="s">
        <v>7031</v>
      </c>
      <c r="E898" s="14" t="s">
        <v>7032</v>
      </c>
      <c r="F898" s="14" t="s">
        <v>7033</v>
      </c>
      <c r="G898" s="14" t="s">
        <v>7034</v>
      </c>
      <c r="H898" s="14" t="s">
        <v>7035</v>
      </c>
      <c r="I898" s="14"/>
      <c r="J898" s="14" t="s">
        <v>7036</v>
      </c>
      <c r="K898" s="14" t="s">
        <v>2316</v>
      </c>
      <c r="L898" s="14" t="s">
        <v>7037</v>
      </c>
      <c r="M898" s="14" t="s">
        <v>7038</v>
      </c>
      <c r="N898" s="14" t="s">
        <v>70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2" t="n">
        <f aca="false">AB898*(1+$L$3)</f>
        <v>0</v>
      </c>
      <c r="AD898" s="20"/>
      <c r="AE898" s="23" t="n">
        <f aca="false">AC898-AD898</f>
        <v>0</v>
      </c>
      <c r="AF898" s="21" t="str">
        <f aca="false">IFERROR(AD898/AC898,"")</f>
        <v/>
      </c>
    </row>
    <row r="899" customFormat="false" ht="15" hidden="false" customHeight="true" outlineLevel="0" collapsed="false">
      <c r="A899" s="14" t="n">
        <v>561574</v>
      </c>
      <c r="B899" s="14" t="n">
        <v>411580</v>
      </c>
      <c r="C899" s="14" t="s">
        <v>7039</v>
      </c>
      <c r="D899" s="14" t="s">
        <v>5946</v>
      </c>
      <c r="E899" s="14" t="s">
        <v>5947</v>
      </c>
      <c r="F899" s="14" t="s">
        <v>7040</v>
      </c>
      <c r="G899" s="14" t="s">
        <v>5949</v>
      </c>
      <c r="H899" s="14" t="s">
        <v>7041</v>
      </c>
      <c r="I899" s="14"/>
      <c r="J899" s="14" t="s">
        <v>1704</v>
      </c>
      <c r="K899" s="14" t="s">
        <v>48</v>
      </c>
      <c r="L899" s="14" t="s">
        <v>7042</v>
      </c>
      <c r="M899" s="14" t="s">
        <v>5952</v>
      </c>
      <c r="N899" s="14" t="s">
        <v>70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2" t="n">
        <f aca="false">AB899*(1+$L$3)</f>
        <v>0</v>
      </c>
      <c r="AD899" s="20"/>
      <c r="AE899" s="23" t="n">
        <f aca="false">AC899-AD899</f>
        <v>0</v>
      </c>
      <c r="AF899" s="21" t="str">
        <f aca="false">IFERROR(AD899/AC899,"")</f>
        <v/>
      </c>
    </row>
    <row r="900" customFormat="false" ht="15" hidden="false" customHeight="true" outlineLevel="0" collapsed="false">
      <c r="A900" s="14" t="n">
        <v>604595</v>
      </c>
      <c r="B900" s="14" t="n">
        <v>454414</v>
      </c>
      <c r="C900" s="14" t="s">
        <v>7043</v>
      </c>
      <c r="D900" s="14" t="s">
        <v>5946</v>
      </c>
      <c r="E900" s="14" t="s">
        <v>5947</v>
      </c>
      <c r="F900" s="14" t="s">
        <v>7044</v>
      </c>
      <c r="G900" s="14" t="s">
        <v>5949</v>
      </c>
      <c r="H900" s="14" t="s">
        <v>7045</v>
      </c>
      <c r="I900" s="14"/>
      <c r="J900" s="14" t="s">
        <v>7046</v>
      </c>
      <c r="K900" s="14" t="s">
        <v>48</v>
      </c>
      <c r="L900" s="14" t="s">
        <v>7047</v>
      </c>
      <c r="M900" s="14" t="s">
        <v>5952</v>
      </c>
      <c r="N900" s="14" t="s">
        <v>70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2" t="n">
        <f aca="false">AB900*(1+$L$3)</f>
        <v>0</v>
      </c>
      <c r="AD900" s="20"/>
      <c r="AE900" s="23" t="n">
        <f aca="false">AC900-AD900</f>
        <v>0</v>
      </c>
      <c r="AF900" s="21" t="str">
        <f aca="false">IFERROR(AD900/AC900,"")</f>
        <v/>
      </c>
    </row>
    <row r="901" customFormat="false" ht="15" hidden="false" customHeight="true" outlineLevel="0" collapsed="false">
      <c r="A901" s="14" t="n">
        <v>648837</v>
      </c>
      <c r="B901" s="14" t="n">
        <v>490147</v>
      </c>
      <c r="C901" s="14" t="s">
        <v>7048</v>
      </c>
      <c r="D901" s="14" t="s">
        <v>7049</v>
      </c>
      <c r="E901" s="14" t="s">
        <v>7050</v>
      </c>
      <c r="F901" s="14" t="s">
        <v>7051</v>
      </c>
      <c r="G901" s="14" t="s">
        <v>7052</v>
      </c>
      <c r="H901" s="14" t="s">
        <v>7053</v>
      </c>
      <c r="I901" s="14"/>
      <c r="J901" s="14" t="s">
        <v>7054</v>
      </c>
      <c r="K901" s="14" t="s">
        <v>1805</v>
      </c>
      <c r="L901" s="14" t="s">
        <v>7055</v>
      </c>
      <c r="M901" s="14" t="s">
        <v>7056</v>
      </c>
      <c r="N901" s="14" t="s">
        <v>70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2" t="n">
        <f aca="false">AB901*(1+$L$3)</f>
        <v>0</v>
      </c>
      <c r="AD901" s="20"/>
      <c r="AE901" s="23" t="n">
        <f aca="false">AC901-AD901</f>
        <v>0</v>
      </c>
      <c r="AF901" s="21" t="str">
        <f aca="false">IFERROR(AD901/AC901,"")</f>
        <v/>
      </c>
    </row>
    <row r="902" customFormat="false" ht="15" hidden="false" customHeight="true" outlineLevel="0" collapsed="false">
      <c r="A902" s="14" t="n">
        <v>648360</v>
      </c>
      <c r="B902" s="14" t="n">
        <v>489676</v>
      </c>
      <c r="C902" s="14" t="s">
        <v>7057</v>
      </c>
      <c r="D902" s="14" t="s">
        <v>7058</v>
      </c>
      <c r="E902" s="14" t="s">
        <v>7059</v>
      </c>
      <c r="F902" s="14" t="s">
        <v>2413</v>
      </c>
      <c r="G902" s="14" t="s">
        <v>2414</v>
      </c>
      <c r="H902" s="14" t="s">
        <v>7060</v>
      </c>
      <c r="I902" s="14"/>
      <c r="J902" s="14" t="s">
        <v>306</v>
      </c>
      <c r="K902" s="14" t="s">
        <v>307</v>
      </c>
      <c r="L902" s="14" t="s">
        <v>7061</v>
      </c>
      <c r="M902" s="14" t="s">
        <v>2417</v>
      </c>
      <c r="N902" s="14" t="s">
        <v>70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 t="n">
        <v>1</v>
      </c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2" t="n">
        <f aca="false">AB902*(1+$L$3)</f>
        <v>0</v>
      </c>
      <c r="AD902" s="20"/>
      <c r="AE902" s="23" t="n">
        <f aca="false">AC902-AD902</f>
        <v>0</v>
      </c>
      <c r="AF902" s="21" t="str">
        <f aca="false">IFERROR(AD902/AC902,"")</f>
        <v/>
      </c>
    </row>
    <row r="903" customFormat="false" ht="15" hidden="false" customHeight="true" outlineLevel="0" collapsed="false">
      <c r="A903" s="14" t="n">
        <v>635998</v>
      </c>
      <c r="B903" s="14" t="n">
        <v>482456</v>
      </c>
      <c r="C903" s="14" t="s">
        <v>7062</v>
      </c>
      <c r="D903" s="14" t="s">
        <v>7063</v>
      </c>
      <c r="E903" s="14" t="s">
        <v>7064</v>
      </c>
      <c r="F903" s="14" t="s">
        <v>7065</v>
      </c>
      <c r="G903" s="14" t="s">
        <v>7066</v>
      </c>
      <c r="H903" s="14" t="s">
        <v>7067</v>
      </c>
      <c r="I903" s="14"/>
      <c r="J903" s="14" t="s">
        <v>1035</v>
      </c>
      <c r="K903" s="14" t="s">
        <v>67</v>
      </c>
      <c r="L903" s="14" t="s">
        <v>1036</v>
      </c>
      <c r="M903" s="14" t="s">
        <v>7068</v>
      </c>
      <c r="N903" s="14" t="s">
        <v>70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2" t="n">
        <f aca="false">AB903*(1+$L$3)</f>
        <v>0</v>
      </c>
      <c r="AD903" s="20"/>
      <c r="AE903" s="23" t="n">
        <f aca="false">AC903-AD903</f>
        <v>0</v>
      </c>
      <c r="AF903" s="21" t="str">
        <f aca="false">IFERROR(AD903/AC903,"")</f>
        <v/>
      </c>
    </row>
    <row r="904" customFormat="false" ht="15" hidden="false" customHeight="true" outlineLevel="0" collapsed="false">
      <c r="A904" s="14" t="n">
        <v>647665</v>
      </c>
      <c r="B904" s="14" t="n">
        <v>488978</v>
      </c>
      <c r="C904" s="14" t="s">
        <v>7069</v>
      </c>
      <c r="D904" s="14" t="s">
        <v>7070</v>
      </c>
      <c r="E904" s="14" t="s">
        <v>7071</v>
      </c>
      <c r="F904" s="14" t="s">
        <v>7072</v>
      </c>
      <c r="G904" s="14" t="s">
        <v>7073</v>
      </c>
      <c r="H904" s="14" t="s">
        <v>7074</v>
      </c>
      <c r="I904" s="14"/>
      <c r="J904" s="14" t="s">
        <v>7075</v>
      </c>
      <c r="K904" s="14" t="s">
        <v>1900</v>
      </c>
      <c r="L904" s="14" t="s">
        <v>7076</v>
      </c>
      <c r="M904" s="14" t="s">
        <v>7077</v>
      </c>
      <c r="N904" s="14" t="s">
        <v>70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2" t="n">
        <f aca="false">AB904*(1+$L$3)</f>
        <v>0</v>
      </c>
      <c r="AD904" s="20"/>
      <c r="AE904" s="23" t="n">
        <f aca="false">AC904-AD904</f>
        <v>0</v>
      </c>
      <c r="AF904" s="21" t="str">
        <f aca="false">IFERROR(AD904/AC904,"")</f>
        <v/>
      </c>
    </row>
    <row r="905" customFormat="false" ht="15" hidden="false" customHeight="true" outlineLevel="0" collapsed="false">
      <c r="A905" s="14" t="n">
        <v>635012</v>
      </c>
      <c r="B905" s="14" t="n">
        <v>481491</v>
      </c>
      <c r="C905" s="14" t="s">
        <v>7078</v>
      </c>
      <c r="D905" s="14" t="s">
        <v>7079</v>
      </c>
      <c r="E905" s="14" t="s">
        <v>7080</v>
      </c>
      <c r="F905" s="14" t="s">
        <v>7081</v>
      </c>
      <c r="G905" s="14" t="s">
        <v>7082</v>
      </c>
      <c r="H905" s="14" t="s">
        <v>7083</v>
      </c>
      <c r="I905" s="14"/>
      <c r="J905" s="14" t="s">
        <v>1704</v>
      </c>
      <c r="K905" s="14" t="s">
        <v>48</v>
      </c>
      <c r="L905" s="14" t="s">
        <v>2079</v>
      </c>
      <c r="M905" s="14" t="s">
        <v>7084</v>
      </c>
      <c r="N905" s="14" t="s">
        <v>70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2" t="n">
        <f aca="false">AB905*(1+$L$3)</f>
        <v>0</v>
      </c>
      <c r="AD905" s="20"/>
      <c r="AE905" s="23" t="n">
        <f aca="false">AC905-AD905</f>
        <v>0</v>
      </c>
      <c r="AF905" s="21" t="str">
        <f aca="false">IFERROR(AD905/AC905,"")</f>
        <v/>
      </c>
    </row>
    <row r="906" customFormat="false" ht="15" hidden="false" customHeight="true" outlineLevel="0" collapsed="false">
      <c r="A906" s="14" t="n">
        <v>635004</v>
      </c>
      <c r="B906" s="14" t="n">
        <v>481483</v>
      </c>
      <c r="C906" s="14" t="s">
        <v>7085</v>
      </c>
      <c r="D906" s="14" t="s">
        <v>7086</v>
      </c>
      <c r="E906" s="14" t="s">
        <v>7087</v>
      </c>
      <c r="F906" s="14" t="s">
        <v>7088</v>
      </c>
      <c r="G906" s="14" t="s">
        <v>7089</v>
      </c>
      <c r="H906" s="14" t="s">
        <v>7090</v>
      </c>
      <c r="I906" s="14"/>
      <c r="J906" s="14" t="s">
        <v>7091</v>
      </c>
      <c r="K906" s="14" t="s">
        <v>464</v>
      </c>
      <c r="L906" s="14" t="s">
        <v>7092</v>
      </c>
      <c r="M906" s="14" t="s">
        <v>7093</v>
      </c>
      <c r="N906" s="14" t="s">
        <v>70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2" t="n">
        <f aca="false">AB906*(1+$L$3)</f>
        <v>0</v>
      </c>
      <c r="AD906" s="20"/>
      <c r="AE906" s="23" t="n">
        <f aca="false">AC906-AD906</f>
        <v>0</v>
      </c>
      <c r="AF906" s="21" t="str">
        <f aca="false">IFERROR(AD906/AC906,"")</f>
        <v/>
      </c>
    </row>
    <row r="907" customFormat="false" ht="15" hidden="false" customHeight="true" outlineLevel="0" collapsed="false">
      <c r="A907" s="14" t="n">
        <v>634408</v>
      </c>
      <c r="B907" s="14" t="n">
        <v>480901</v>
      </c>
      <c r="C907" s="14" t="s">
        <v>7094</v>
      </c>
      <c r="D907" s="14" t="s">
        <v>7095</v>
      </c>
      <c r="E907" s="14" t="s">
        <v>7096</v>
      </c>
      <c r="F907" s="14" t="s">
        <v>7097</v>
      </c>
      <c r="G907" s="14" t="s">
        <v>7098</v>
      </c>
      <c r="H907" s="14" t="s">
        <v>7099</v>
      </c>
      <c r="I907" s="14" t="s">
        <v>3276</v>
      </c>
      <c r="J907" s="14" t="s">
        <v>2129</v>
      </c>
      <c r="K907" s="14" t="s">
        <v>67</v>
      </c>
      <c r="L907" s="14" t="s">
        <v>2130</v>
      </c>
      <c r="M907" s="14" t="s">
        <v>7100</v>
      </c>
      <c r="N907" s="14" t="s">
        <v>70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2" t="n">
        <f aca="false">AB907*(1+$L$3)</f>
        <v>0</v>
      </c>
      <c r="AD907" s="20"/>
      <c r="AE907" s="23" t="n">
        <f aca="false">AC907-AD907</f>
        <v>0</v>
      </c>
      <c r="AF907" s="21" t="str">
        <f aca="false">IFERROR(AD907/AC907,"")</f>
        <v/>
      </c>
    </row>
    <row r="908" customFormat="false" ht="15" hidden="false" customHeight="true" outlineLevel="0" collapsed="false">
      <c r="A908" s="14" t="n">
        <v>634376</v>
      </c>
      <c r="B908" s="14" t="n">
        <v>480870</v>
      </c>
      <c r="C908" s="14" t="s">
        <v>7101</v>
      </c>
      <c r="D908" s="14" t="s">
        <v>7102</v>
      </c>
      <c r="E908" s="14" t="s">
        <v>7103</v>
      </c>
      <c r="F908" s="14" t="s">
        <v>7104</v>
      </c>
      <c r="G908" s="14" t="s">
        <v>7105</v>
      </c>
      <c r="H908" s="14" t="s">
        <v>7106</v>
      </c>
      <c r="I908" s="14" t="s">
        <v>7107</v>
      </c>
      <c r="J908" s="14" t="s">
        <v>7108</v>
      </c>
      <c r="K908" s="14" t="s">
        <v>48</v>
      </c>
      <c r="L908" s="14" t="s">
        <v>1705</v>
      </c>
      <c r="M908" s="14" t="s">
        <v>7109</v>
      </c>
      <c r="N908" s="14" t="s">
        <v>70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2" t="n">
        <f aca="false">AB908*(1+$L$3)</f>
        <v>0</v>
      </c>
      <c r="AD908" s="20"/>
      <c r="AE908" s="23" t="n">
        <f aca="false">AC908-AD908</f>
        <v>0</v>
      </c>
      <c r="AF908" s="21" t="str">
        <f aca="false">IFERROR(AD908/AC908,"")</f>
        <v/>
      </c>
    </row>
    <row r="909" customFormat="false" ht="15" hidden="false" customHeight="true" outlineLevel="0" collapsed="false">
      <c r="A909" s="14" t="n">
        <v>634356</v>
      </c>
      <c r="B909" s="14" t="n">
        <v>480850</v>
      </c>
      <c r="C909" s="14" t="s">
        <v>7110</v>
      </c>
      <c r="D909" s="14" t="s">
        <v>7111</v>
      </c>
      <c r="E909" s="14" t="s">
        <v>7112</v>
      </c>
      <c r="F909" s="14" t="s">
        <v>7113</v>
      </c>
      <c r="G909" s="14" t="s">
        <v>7114</v>
      </c>
      <c r="H909" s="14" t="s">
        <v>7115</v>
      </c>
      <c r="I909" s="14" t="s">
        <v>7116</v>
      </c>
      <c r="J909" s="14" t="s">
        <v>4085</v>
      </c>
      <c r="K909" s="14" t="s">
        <v>67</v>
      </c>
      <c r="L909" s="14" t="s">
        <v>4086</v>
      </c>
      <c r="M909" s="14" t="s">
        <v>7117</v>
      </c>
      <c r="N909" s="14" t="s">
        <v>70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2" t="n">
        <f aca="false">AB909*(1+$L$3)</f>
        <v>0</v>
      </c>
      <c r="AD909" s="20"/>
      <c r="AE909" s="23" t="n">
        <f aca="false">AC909-AD909</f>
        <v>0</v>
      </c>
      <c r="AF909" s="21" t="str">
        <f aca="false">IFERROR(AD909/AC909,"")</f>
        <v/>
      </c>
    </row>
    <row r="910" customFormat="false" ht="15" hidden="false" customHeight="true" outlineLevel="0" collapsed="false">
      <c r="A910" s="14" t="n">
        <v>634134</v>
      </c>
      <c r="B910" s="14" t="n">
        <v>480626</v>
      </c>
      <c r="C910" s="14" t="s">
        <v>7118</v>
      </c>
      <c r="D910" s="14" t="s">
        <v>7119</v>
      </c>
      <c r="E910" s="14" t="s">
        <v>1757</v>
      </c>
      <c r="F910" s="14" t="s">
        <v>7120</v>
      </c>
      <c r="G910" s="14" t="s">
        <v>1759</v>
      </c>
      <c r="H910" s="14" t="s">
        <v>7121</v>
      </c>
      <c r="I910" s="14" t="s">
        <v>7122</v>
      </c>
      <c r="J910" s="14" t="s">
        <v>2138</v>
      </c>
      <c r="K910" s="14" t="s">
        <v>604</v>
      </c>
      <c r="L910" s="14" t="s">
        <v>3443</v>
      </c>
      <c r="M910" s="14" t="s">
        <v>1763</v>
      </c>
      <c r="N910" s="14" t="s">
        <v>70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2" t="n">
        <f aca="false">AB910*(1+$L$3)</f>
        <v>0</v>
      </c>
      <c r="AD910" s="20"/>
      <c r="AE910" s="23" t="n">
        <f aca="false">AC910-AD910</f>
        <v>0</v>
      </c>
      <c r="AF910" s="21" t="str">
        <f aca="false">IFERROR(AD910/AC910,"")</f>
        <v/>
      </c>
    </row>
    <row r="911" customFormat="false" ht="15" hidden="false" customHeight="true" outlineLevel="0" collapsed="false">
      <c r="A911" s="14" t="n">
        <v>633898</v>
      </c>
      <c r="B911" s="14" t="n">
        <v>480395</v>
      </c>
      <c r="C911" s="14" t="s">
        <v>7123</v>
      </c>
      <c r="D911" s="14" t="s">
        <v>7124</v>
      </c>
      <c r="E911" s="14" t="s">
        <v>7125</v>
      </c>
      <c r="F911" s="14" t="s">
        <v>7126</v>
      </c>
      <c r="G911" s="14" t="s">
        <v>7127</v>
      </c>
      <c r="H911" s="14" t="s">
        <v>7128</v>
      </c>
      <c r="I911" s="14"/>
      <c r="J911" s="14" t="s">
        <v>2905</v>
      </c>
      <c r="K911" s="14" t="s">
        <v>2316</v>
      </c>
      <c r="L911" s="14" t="s">
        <v>7129</v>
      </c>
      <c r="M911" s="14" t="s">
        <v>7130</v>
      </c>
      <c r="N911" s="14" t="s">
        <v>70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2" t="n">
        <f aca="false">AB911*(1+$L$3)</f>
        <v>0</v>
      </c>
      <c r="AD911" s="20"/>
      <c r="AE911" s="23" t="n">
        <f aca="false">AC911-AD911</f>
        <v>0</v>
      </c>
      <c r="AF911" s="21" t="str">
        <f aca="false">IFERROR(AD911/AC911,"")</f>
        <v/>
      </c>
    </row>
    <row r="912" customFormat="false" ht="15" hidden="false" customHeight="true" outlineLevel="0" collapsed="false">
      <c r="A912" s="14" t="n">
        <v>634001</v>
      </c>
      <c r="B912" s="14" t="n">
        <v>480494</v>
      </c>
      <c r="C912" s="14" t="s">
        <v>7131</v>
      </c>
      <c r="D912" s="14" t="s">
        <v>7132</v>
      </c>
      <c r="E912" s="14" t="s">
        <v>6468</v>
      </c>
      <c r="F912" s="14" t="s">
        <v>7133</v>
      </c>
      <c r="G912" s="14" t="s">
        <v>7134</v>
      </c>
      <c r="H912" s="14" t="s">
        <v>7135</v>
      </c>
      <c r="I912" s="14" t="s">
        <v>2235</v>
      </c>
      <c r="J912" s="14" t="s">
        <v>7136</v>
      </c>
      <c r="K912" s="14" t="s">
        <v>506</v>
      </c>
      <c r="L912" s="14" t="s">
        <v>7137</v>
      </c>
      <c r="M912" s="14" t="s">
        <v>7138</v>
      </c>
      <c r="N912" s="14" t="s">
        <v>70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2" t="n">
        <f aca="false">AB912*(1+$L$3)</f>
        <v>0</v>
      </c>
      <c r="AD912" s="20"/>
      <c r="AE912" s="23" t="n">
        <f aca="false">AC912-AD912</f>
        <v>0</v>
      </c>
      <c r="AF912" s="21" t="str">
        <f aca="false">IFERROR(AD912/AC912,"")</f>
        <v/>
      </c>
    </row>
    <row r="913" customFormat="false" ht="15" hidden="false" customHeight="true" outlineLevel="0" collapsed="false">
      <c r="A913" s="14" t="n">
        <v>633828</v>
      </c>
      <c r="B913" s="14" t="n">
        <v>480327</v>
      </c>
      <c r="C913" s="14" t="s">
        <v>7139</v>
      </c>
      <c r="D913" s="14" t="s">
        <v>7140</v>
      </c>
      <c r="E913" s="14" t="s">
        <v>7141</v>
      </c>
      <c r="F913" s="14" t="s">
        <v>7142</v>
      </c>
      <c r="G913" s="14" t="s">
        <v>7143</v>
      </c>
      <c r="H913" s="14" t="s">
        <v>7144</v>
      </c>
      <c r="I913" s="14"/>
      <c r="J913" s="14" t="s">
        <v>1579</v>
      </c>
      <c r="K913" s="14" t="s">
        <v>48</v>
      </c>
      <c r="L913" s="14" t="s">
        <v>7145</v>
      </c>
      <c r="M913" s="14" t="s">
        <v>7146</v>
      </c>
      <c r="N913" s="14" t="s">
        <v>70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2" t="n">
        <f aca="false">AB913*(1+$L$3)</f>
        <v>0</v>
      </c>
      <c r="AD913" s="20"/>
      <c r="AE913" s="23" t="n">
        <f aca="false">AC913-AD913</f>
        <v>0</v>
      </c>
      <c r="AF913" s="21" t="str">
        <f aca="false">IFERROR(AD913/AC913,"")</f>
        <v/>
      </c>
    </row>
    <row r="914" customFormat="false" ht="15" hidden="false" customHeight="true" outlineLevel="0" collapsed="false">
      <c r="A914" s="14" t="n">
        <v>636271</v>
      </c>
      <c r="B914" s="14" t="n">
        <v>480198</v>
      </c>
      <c r="C914" s="14" t="s">
        <v>7147</v>
      </c>
      <c r="D914" s="14" t="s">
        <v>7148</v>
      </c>
      <c r="E914" s="14" t="s">
        <v>7149</v>
      </c>
      <c r="F914" s="14" t="s">
        <v>7150</v>
      </c>
      <c r="G914" s="14" t="s">
        <v>7151</v>
      </c>
      <c r="H914" s="14" t="s">
        <v>7152</v>
      </c>
      <c r="I914" s="14" t="s">
        <v>7153</v>
      </c>
      <c r="J914" s="14" t="s">
        <v>3583</v>
      </c>
      <c r="K914" s="14" t="s">
        <v>981</v>
      </c>
      <c r="L914" s="14" t="s">
        <v>3584</v>
      </c>
      <c r="M914" s="14" t="s">
        <v>7154</v>
      </c>
      <c r="N914" s="14" t="s">
        <v>70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2" t="n">
        <f aca="false">AB914*(1+$L$3)</f>
        <v>0</v>
      </c>
      <c r="AD914" s="20"/>
      <c r="AE914" s="23" t="n">
        <f aca="false">AC914-AD914</f>
        <v>0</v>
      </c>
      <c r="AF914" s="21" t="str">
        <f aca="false">IFERROR(AD914/AC914,"")</f>
        <v/>
      </c>
    </row>
    <row r="915" customFormat="false" ht="15" hidden="false" customHeight="true" outlineLevel="0" collapsed="false">
      <c r="A915" s="14" t="n">
        <v>633692</v>
      </c>
      <c r="B915" s="14" t="n">
        <v>480191</v>
      </c>
      <c r="C915" s="14" t="s">
        <v>7155</v>
      </c>
      <c r="D915" s="14" t="s">
        <v>7156</v>
      </c>
      <c r="E915" s="14" t="s">
        <v>7157</v>
      </c>
      <c r="F915" s="14" t="s">
        <v>7158</v>
      </c>
      <c r="G915" s="14" t="s">
        <v>7159</v>
      </c>
      <c r="H915" s="14" t="s">
        <v>7160</v>
      </c>
      <c r="I915" s="14" t="s">
        <v>7161</v>
      </c>
      <c r="J915" s="14" t="s">
        <v>306</v>
      </c>
      <c r="K915" s="14" t="s">
        <v>307</v>
      </c>
      <c r="L915" s="14" t="s">
        <v>3576</v>
      </c>
      <c r="M915" s="14" t="s">
        <v>7162</v>
      </c>
      <c r="N915" s="14" t="s">
        <v>70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2" t="n">
        <f aca="false">AB915*(1+$L$3)</f>
        <v>0</v>
      </c>
      <c r="AD915" s="20"/>
      <c r="AE915" s="23" t="n">
        <f aca="false">AC915-AD915</f>
        <v>0</v>
      </c>
      <c r="AF915" s="21" t="str">
        <f aca="false">IFERROR(AD915/AC915,"")</f>
        <v/>
      </c>
    </row>
    <row r="916" customFormat="false" ht="15" hidden="false" customHeight="true" outlineLevel="0" collapsed="false">
      <c r="A916" s="14" t="n">
        <v>633186</v>
      </c>
      <c r="B916" s="14" t="n">
        <v>479695</v>
      </c>
      <c r="C916" s="14" t="s">
        <v>7163</v>
      </c>
      <c r="D916" s="14" t="s">
        <v>7164</v>
      </c>
      <c r="E916" s="14" t="s">
        <v>7165</v>
      </c>
      <c r="F916" s="14" t="s">
        <v>7166</v>
      </c>
      <c r="G916" s="14" t="s">
        <v>7167</v>
      </c>
      <c r="H916" s="14" t="s">
        <v>7168</v>
      </c>
      <c r="I916" s="14" t="s">
        <v>7169</v>
      </c>
      <c r="J916" s="14" t="s">
        <v>306</v>
      </c>
      <c r="K916" s="14" t="s">
        <v>307</v>
      </c>
      <c r="L916" s="14" t="s">
        <v>3576</v>
      </c>
      <c r="M916" s="14" t="s">
        <v>7170</v>
      </c>
      <c r="N916" s="14" t="s">
        <v>70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2" t="n">
        <f aca="false">AB916*(1+$L$3)</f>
        <v>0</v>
      </c>
      <c r="AD916" s="20"/>
      <c r="AE916" s="23" t="n">
        <f aca="false">AC916-AD916</f>
        <v>0</v>
      </c>
      <c r="AF916" s="21" t="str">
        <f aca="false">IFERROR(AD916/AC916,"")</f>
        <v/>
      </c>
    </row>
    <row r="917" customFormat="false" ht="15" hidden="false" customHeight="true" outlineLevel="0" collapsed="false">
      <c r="A917" s="14" t="n">
        <v>577621</v>
      </c>
      <c r="B917" s="14" t="n">
        <v>428992</v>
      </c>
      <c r="C917" s="14" t="s">
        <v>7171</v>
      </c>
      <c r="D917" s="14" t="s">
        <v>7172</v>
      </c>
      <c r="E917" s="14" t="s">
        <v>7173</v>
      </c>
      <c r="F917" s="14" t="s">
        <v>7174</v>
      </c>
      <c r="G917" s="14" t="s">
        <v>7175</v>
      </c>
      <c r="H917" s="14" t="s">
        <v>7176</v>
      </c>
      <c r="I917" s="14"/>
      <c r="J917" s="14" t="s">
        <v>6309</v>
      </c>
      <c r="K917" s="14" t="s">
        <v>709</v>
      </c>
      <c r="L917" s="14" t="s">
        <v>3368</v>
      </c>
      <c r="M917" s="14" t="s">
        <v>7177</v>
      </c>
      <c r="N917" s="14" t="s">
        <v>70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2" t="n">
        <f aca="false">AB917*(1+$L$3)</f>
        <v>0</v>
      </c>
      <c r="AD917" s="20"/>
      <c r="AE917" s="23" t="n">
        <f aca="false">AC917-AD917</f>
        <v>0</v>
      </c>
      <c r="AF917" s="21" t="str">
        <f aca="false">IFERROR(AD917/AC917,"")</f>
        <v/>
      </c>
    </row>
    <row r="918" customFormat="false" ht="15" hidden="false" customHeight="true" outlineLevel="0" collapsed="false">
      <c r="A918" s="14" t="n">
        <v>620748</v>
      </c>
      <c r="B918" s="14" t="n">
        <v>470783</v>
      </c>
      <c r="C918" s="14" t="s">
        <v>7178</v>
      </c>
      <c r="D918" s="14" t="s">
        <v>7179</v>
      </c>
      <c r="E918" s="14" t="s">
        <v>7180</v>
      </c>
      <c r="F918" s="14" t="s">
        <v>7181</v>
      </c>
      <c r="G918" s="14" t="s">
        <v>7182</v>
      </c>
      <c r="H918" s="14" t="s">
        <v>7183</v>
      </c>
      <c r="I918" s="14" t="s">
        <v>7184</v>
      </c>
      <c r="J918" s="14" t="s">
        <v>7185</v>
      </c>
      <c r="K918" s="14" t="s">
        <v>307</v>
      </c>
      <c r="L918" s="14" t="s">
        <v>7186</v>
      </c>
      <c r="M918" s="14" t="s">
        <v>7187</v>
      </c>
      <c r="N918" s="14" t="s">
        <v>70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2" t="n">
        <f aca="false">AB918*(1+$L$3)</f>
        <v>0</v>
      </c>
      <c r="AD918" s="20"/>
      <c r="AE918" s="23" t="n">
        <f aca="false">AC918-AD918</f>
        <v>0</v>
      </c>
      <c r="AF918" s="21" t="str">
        <f aca="false">IFERROR(AD918/AC918,"")</f>
        <v/>
      </c>
    </row>
    <row r="919" customFormat="false" ht="15" hidden="false" customHeight="true" outlineLevel="0" collapsed="false">
      <c r="A919" s="14" t="n">
        <v>633117</v>
      </c>
      <c r="B919" s="14" t="n">
        <v>479627</v>
      </c>
      <c r="C919" s="14" t="s">
        <v>7188</v>
      </c>
      <c r="D919" s="14" t="s">
        <v>7189</v>
      </c>
      <c r="E919" s="14" t="s">
        <v>7190</v>
      </c>
      <c r="F919" s="14" t="s">
        <v>7191</v>
      </c>
      <c r="G919" s="14" t="s">
        <v>7192</v>
      </c>
      <c r="H919" s="14" t="s">
        <v>7193</v>
      </c>
      <c r="I919" s="14"/>
      <c r="J919" s="14" t="s">
        <v>7194</v>
      </c>
      <c r="K919" s="14" t="s">
        <v>981</v>
      </c>
      <c r="L919" s="14" t="s">
        <v>7195</v>
      </c>
      <c r="M919" s="14" t="s">
        <v>7196</v>
      </c>
      <c r="N919" s="14" t="s">
        <v>70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2" t="n">
        <f aca="false">AB919*(1+$L$3)</f>
        <v>0</v>
      </c>
      <c r="AD919" s="20"/>
      <c r="AE919" s="23" t="n">
        <f aca="false">AC919-AD919</f>
        <v>0</v>
      </c>
      <c r="AF919" s="21" t="str">
        <f aca="false">IFERROR(AD919/AC919,"")</f>
        <v/>
      </c>
    </row>
    <row r="920" customFormat="false" ht="15" hidden="false" customHeight="true" outlineLevel="0" collapsed="false">
      <c r="A920" s="14" t="n">
        <v>632694</v>
      </c>
      <c r="B920" s="14" t="n">
        <v>479212</v>
      </c>
      <c r="C920" s="14" t="s">
        <v>7197</v>
      </c>
      <c r="D920" s="14" t="s">
        <v>7198</v>
      </c>
      <c r="E920" s="14" t="s">
        <v>7199</v>
      </c>
      <c r="F920" s="14" t="s">
        <v>7200</v>
      </c>
      <c r="G920" s="14" t="s">
        <v>7201</v>
      </c>
      <c r="H920" s="14" t="s">
        <v>7202</v>
      </c>
      <c r="I920" s="14" t="s">
        <v>7203</v>
      </c>
      <c r="J920" s="14" t="s">
        <v>3304</v>
      </c>
      <c r="K920" s="14" t="s">
        <v>1160</v>
      </c>
      <c r="L920" s="14" t="s">
        <v>7204</v>
      </c>
      <c r="M920" s="14" t="s">
        <v>7205</v>
      </c>
      <c r="N920" s="14" t="s">
        <v>70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2" t="n">
        <f aca="false">AB920*(1+$L$3)</f>
        <v>0</v>
      </c>
      <c r="AD920" s="20"/>
      <c r="AE920" s="23" t="n">
        <f aca="false">AC920-AD920</f>
        <v>0</v>
      </c>
      <c r="AF920" s="21" t="str">
        <f aca="false">IFERROR(AD920/AC920,"")</f>
        <v/>
      </c>
    </row>
    <row r="921" customFormat="false" ht="15" hidden="false" customHeight="true" outlineLevel="0" collapsed="false">
      <c r="A921" s="14" t="n">
        <v>635943</v>
      </c>
      <c r="B921" s="14" t="n">
        <v>482402</v>
      </c>
      <c r="C921" s="14" t="s">
        <v>7206</v>
      </c>
      <c r="D921" s="14" t="s">
        <v>7207</v>
      </c>
      <c r="E921" s="14" t="s">
        <v>7208</v>
      </c>
      <c r="F921" s="14" t="s">
        <v>7209</v>
      </c>
      <c r="G921" s="14" t="s">
        <v>7210</v>
      </c>
      <c r="H921" s="14" t="s">
        <v>7211</v>
      </c>
      <c r="I921" s="14"/>
      <c r="J921" s="14" t="s">
        <v>2784</v>
      </c>
      <c r="K921" s="14" t="s">
        <v>307</v>
      </c>
      <c r="L921" s="14" t="s">
        <v>915</v>
      </c>
      <c r="M921" s="14" t="s">
        <v>7212</v>
      </c>
      <c r="N921" s="14" t="s">
        <v>70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2" t="n">
        <f aca="false">AB921*(1+$L$3)</f>
        <v>0</v>
      </c>
      <c r="AD921" s="20"/>
      <c r="AE921" s="23" t="n">
        <f aca="false">AC921-AD921</f>
        <v>0</v>
      </c>
      <c r="AF921" s="21" t="str">
        <f aca="false">IFERROR(AD921/AC921,"")</f>
        <v/>
      </c>
    </row>
    <row r="922" customFormat="false" ht="15" hidden="false" customHeight="true" outlineLevel="0" collapsed="false">
      <c r="A922" s="14" t="n">
        <v>634067</v>
      </c>
      <c r="B922" s="14" t="n">
        <v>480560</v>
      </c>
      <c r="C922" s="14" t="s">
        <v>7213</v>
      </c>
      <c r="D922" s="14" t="s">
        <v>7214</v>
      </c>
      <c r="E922" s="14" t="s">
        <v>7215</v>
      </c>
      <c r="F922" s="14" t="s">
        <v>7216</v>
      </c>
      <c r="G922" s="14" t="s">
        <v>7217</v>
      </c>
      <c r="H922" s="14" t="s">
        <v>7218</v>
      </c>
      <c r="I922" s="14"/>
      <c r="J922" s="14" t="s">
        <v>7219</v>
      </c>
      <c r="K922" s="14" t="s">
        <v>67</v>
      </c>
      <c r="L922" s="14" t="s">
        <v>7220</v>
      </c>
      <c r="M922" s="14" t="s">
        <v>7221</v>
      </c>
      <c r="N922" s="14" t="s">
        <v>70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2" t="n">
        <f aca="false">AB922*(1+$L$3)</f>
        <v>0</v>
      </c>
      <c r="AD922" s="20"/>
      <c r="AE922" s="23" t="n">
        <f aca="false">AC922-AD922</f>
        <v>0</v>
      </c>
      <c r="AF922" s="21" t="str">
        <f aca="false">IFERROR(AD922/AC922,"")</f>
        <v/>
      </c>
    </row>
    <row r="923" customFormat="false" ht="15" hidden="false" customHeight="true" outlineLevel="0" collapsed="false">
      <c r="A923" s="14" t="n">
        <v>631693</v>
      </c>
      <c r="B923" s="14" t="n">
        <v>478188</v>
      </c>
      <c r="C923" s="14" t="s">
        <v>7222</v>
      </c>
      <c r="D923" s="14" t="s">
        <v>7223</v>
      </c>
      <c r="E923" s="14" t="s">
        <v>7224</v>
      </c>
      <c r="F923" s="14" t="s">
        <v>4519</v>
      </c>
      <c r="G923" s="14" t="s">
        <v>7225</v>
      </c>
      <c r="H923" s="14" t="s">
        <v>7226</v>
      </c>
      <c r="I923" s="14" t="s">
        <v>1457</v>
      </c>
      <c r="J923" s="14" t="s">
        <v>7227</v>
      </c>
      <c r="K923" s="14" t="s">
        <v>67</v>
      </c>
      <c r="L923" s="14" t="s">
        <v>7228</v>
      </c>
      <c r="M923" s="14" t="s">
        <v>7229</v>
      </c>
      <c r="N923" s="14" t="s">
        <v>70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2" t="n">
        <f aca="false">AB923*(1+$L$3)</f>
        <v>0</v>
      </c>
      <c r="AD923" s="20"/>
      <c r="AE923" s="23" t="n">
        <f aca="false">AC923-AD923</f>
        <v>0</v>
      </c>
      <c r="AF923" s="21" t="str">
        <f aca="false">IFERROR(AD923/AC923,"")</f>
        <v/>
      </c>
    </row>
    <row r="924" customFormat="false" ht="15" hidden="false" customHeight="true" outlineLevel="0" collapsed="false">
      <c r="A924" s="14" t="n">
        <v>631727</v>
      </c>
      <c r="B924" s="14" t="n">
        <v>478222</v>
      </c>
      <c r="C924" s="14" t="s">
        <v>7230</v>
      </c>
      <c r="D924" s="14" t="s">
        <v>3014</v>
      </c>
      <c r="E924" s="14" t="s">
        <v>3015</v>
      </c>
      <c r="F924" s="14" t="s">
        <v>7231</v>
      </c>
      <c r="G924" s="14" t="s">
        <v>3017</v>
      </c>
      <c r="H924" s="14" t="s">
        <v>7232</v>
      </c>
      <c r="I924" s="14" t="s">
        <v>2226</v>
      </c>
      <c r="J924" s="14" t="s">
        <v>638</v>
      </c>
      <c r="K924" s="14" t="s">
        <v>67</v>
      </c>
      <c r="L924" s="14" t="s">
        <v>3020</v>
      </c>
      <c r="M924" s="14" t="s">
        <v>3021</v>
      </c>
      <c r="N924" s="14" t="s">
        <v>70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2" t="n">
        <f aca="false">AB924*(1+$L$3)</f>
        <v>0</v>
      </c>
      <c r="AD924" s="20"/>
      <c r="AE924" s="23" t="n">
        <f aca="false">AC924-AD924</f>
        <v>0</v>
      </c>
      <c r="AF924" s="21" t="str">
        <f aca="false">IFERROR(AD924/AC924,"")</f>
        <v/>
      </c>
    </row>
    <row r="925" customFormat="false" ht="15" hidden="false" customHeight="true" outlineLevel="0" collapsed="false">
      <c r="A925" s="14" t="n">
        <v>631290</v>
      </c>
      <c r="B925" s="14" t="n">
        <v>477790</v>
      </c>
      <c r="C925" s="14" t="s">
        <v>7233</v>
      </c>
      <c r="D925" s="14" t="s">
        <v>7234</v>
      </c>
      <c r="E925" s="14" t="s">
        <v>7235</v>
      </c>
      <c r="F925" s="14" t="s">
        <v>7236</v>
      </c>
      <c r="G925" s="14" t="s">
        <v>7237</v>
      </c>
      <c r="H925" s="14" t="s">
        <v>7238</v>
      </c>
      <c r="I925" s="14"/>
      <c r="J925" s="14" t="s">
        <v>7239</v>
      </c>
      <c r="K925" s="14" t="s">
        <v>1160</v>
      </c>
      <c r="L925" s="14" t="s">
        <v>7240</v>
      </c>
      <c r="M925" s="14" t="s">
        <v>7241</v>
      </c>
      <c r="N925" s="14" t="s">
        <v>70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2" t="n">
        <f aca="false">AB925*(1+$L$3)</f>
        <v>0</v>
      </c>
      <c r="AD925" s="20"/>
      <c r="AE925" s="23" t="n">
        <f aca="false">AC925-AD925</f>
        <v>0</v>
      </c>
      <c r="AF925" s="21" t="str">
        <f aca="false">IFERROR(AD925/AC925,"")</f>
        <v/>
      </c>
    </row>
    <row r="926" customFormat="false" ht="15" hidden="false" customHeight="true" outlineLevel="0" collapsed="false">
      <c r="A926" s="14" t="n">
        <v>631468</v>
      </c>
      <c r="B926" s="14" t="n">
        <v>477967</v>
      </c>
      <c r="C926" s="14" t="s">
        <v>7242</v>
      </c>
      <c r="D926" s="14" t="s">
        <v>7243</v>
      </c>
      <c r="E926" s="14" t="s">
        <v>7244</v>
      </c>
      <c r="F926" s="14" t="s">
        <v>7245</v>
      </c>
      <c r="G926" s="14" t="s">
        <v>7246</v>
      </c>
      <c r="H926" s="14" t="s">
        <v>7247</v>
      </c>
      <c r="I926" s="14"/>
      <c r="J926" s="14" t="s">
        <v>664</v>
      </c>
      <c r="K926" s="14" t="s">
        <v>604</v>
      </c>
      <c r="L926" s="14" t="s">
        <v>7248</v>
      </c>
      <c r="M926" s="14" t="s">
        <v>7249</v>
      </c>
      <c r="N926" s="14" t="s">
        <v>70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2" t="n">
        <f aca="false">AB926*(1+$L$3)</f>
        <v>0</v>
      </c>
      <c r="AD926" s="20"/>
      <c r="AE926" s="23" t="n">
        <f aca="false">AC926-AD926</f>
        <v>0</v>
      </c>
      <c r="AF926" s="21" t="str">
        <f aca="false">IFERROR(AD926/AC926,"")</f>
        <v/>
      </c>
    </row>
    <row r="927" customFormat="false" ht="15" hidden="false" customHeight="true" outlineLevel="0" collapsed="false">
      <c r="A927" s="14" t="n">
        <v>631458</v>
      </c>
      <c r="B927" s="14" t="n">
        <v>477957</v>
      </c>
      <c r="C927" s="14" t="s">
        <v>7250</v>
      </c>
      <c r="D927" s="14" t="s">
        <v>7251</v>
      </c>
      <c r="E927" s="14" t="s">
        <v>1242</v>
      </c>
      <c r="F927" s="14" t="s">
        <v>7252</v>
      </c>
      <c r="G927" s="14" t="s">
        <v>1244</v>
      </c>
      <c r="H927" s="14" t="s">
        <v>7253</v>
      </c>
      <c r="I927" s="14" t="s">
        <v>2984</v>
      </c>
      <c r="J927" s="14" t="s">
        <v>7254</v>
      </c>
      <c r="K927" s="14" t="s">
        <v>604</v>
      </c>
      <c r="L927" s="14" t="s">
        <v>7255</v>
      </c>
      <c r="M927" s="14" t="s">
        <v>1248</v>
      </c>
      <c r="N927" s="14" t="s">
        <v>70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2" t="n">
        <f aca="false">AB927*(1+$L$3)</f>
        <v>0</v>
      </c>
      <c r="AD927" s="20"/>
      <c r="AE927" s="23" t="n">
        <f aca="false">AC927-AD927</f>
        <v>0</v>
      </c>
      <c r="AF927" s="21" t="str">
        <f aca="false">IFERROR(AD927/AC927,"")</f>
        <v/>
      </c>
    </row>
    <row r="928" customFormat="false" ht="15" hidden="false" customHeight="true" outlineLevel="0" collapsed="false">
      <c r="A928" s="14" t="n">
        <v>631580</v>
      </c>
      <c r="B928" s="14" t="n">
        <v>478072</v>
      </c>
      <c r="C928" s="14" t="s">
        <v>7256</v>
      </c>
      <c r="D928" s="14" t="s">
        <v>7257</v>
      </c>
      <c r="E928" s="14" t="s">
        <v>1853</v>
      </c>
      <c r="F928" s="14" t="s">
        <v>1854</v>
      </c>
      <c r="G928" s="14" t="s">
        <v>7258</v>
      </c>
      <c r="H928" s="14" t="s">
        <v>7259</v>
      </c>
      <c r="I928" s="14"/>
      <c r="J928" s="14" t="s">
        <v>7260</v>
      </c>
      <c r="K928" s="14" t="s">
        <v>1160</v>
      </c>
      <c r="L928" s="14" t="s">
        <v>7261</v>
      </c>
      <c r="M928" s="14" t="s">
        <v>7262</v>
      </c>
      <c r="N928" s="14" t="s">
        <v>70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 t="n">
        <v>1</v>
      </c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2" t="n">
        <f aca="false">AB928*(1+$L$3)</f>
        <v>0</v>
      </c>
      <c r="AD928" s="20"/>
      <c r="AE928" s="23" t="n">
        <f aca="false">AC928-AD928</f>
        <v>0</v>
      </c>
      <c r="AF928" s="21" t="str">
        <f aca="false">IFERROR(AD928/AC928,"")</f>
        <v/>
      </c>
    </row>
    <row r="929" customFormat="false" ht="15" hidden="false" customHeight="true" outlineLevel="0" collapsed="false">
      <c r="A929" s="14" t="n">
        <v>630336</v>
      </c>
      <c r="B929" s="14" t="n">
        <v>476803</v>
      </c>
      <c r="C929" s="14" t="s">
        <v>7263</v>
      </c>
      <c r="D929" s="14" t="s">
        <v>7264</v>
      </c>
      <c r="E929" s="14" t="s">
        <v>7265</v>
      </c>
      <c r="F929" s="14" t="s">
        <v>7266</v>
      </c>
      <c r="G929" s="14" t="s">
        <v>7267</v>
      </c>
      <c r="H929" s="14" t="s">
        <v>7268</v>
      </c>
      <c r="I929" s="14" t="s">
        <v>793</v>
      </c>
      <c r="J929" s="14" t="s">
        <v>47</v>
      </c>
      <c r="K929" s="14" t="s">
        <v>48</v>
      </c>
      <c r="L929" s="14" t="s">
        <v>49</v>
      </c>
      <c r="M929" s="14" t="s">
        <v>7269</v>
      </c>
      <c r="N929" s="14" t="s">
        <v>51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2" t="n">
        <f aca="false">AB929*(1+$L$3)</f>
        <v>0</v>
      </c>
      <c r="AD929" s="20"/>
      <c r="AE929" s="23" t="n">
        <f aca="false">AC929-AD929</f>
        <v>0</v>
      </c>
      <c r="AF929" s="21" t="str">
        <f aca="false">IFERROR(AD929/AC929,"")</f>
        <v/>
      </c>
    </row>
    <row r="930" customFormat="false" ht="15" hidden="false" customHeight="true" outlineLevel="0" collapsed="false">
      <c r="A930" s="14" t="n">
        <v>651914</v>
      </c>
      <c r="B930" s="14" t="n">
        <v>493149</v>
      </c>
      <c r="C930" s="14" t="s">
        <v>7270</v>
      </c>
      <c r="D930" s="14" t="s">
        <v>7271</v>
      </c>
      <c r="E930" s="14" t="s">
        <v>7272</v>
      </c>
      <c r="F930" s="14" t="s">
        <v>7273</v>
      </c>
      <c r="G930" s="14" t="s">
        <v>7274</v>
      </c>
      <c r="H930" s="14" t="s">
        <v>7275</v>
      </c>
      <c r="I930" s="14"/>
      <c r="J930" s="14" t="s">
        <v>7276</v>
      </c>
      <c r="K930" s="14" t="s">
        <v>1160</v>
      </c>
      <c r="L930" s="14" t="s">
        <v>7277</v>
      </c>
      <c r="M930" s="14" t="s">
        <v>7278</v>
      </c>
      <c r="N930" s="14" t="s">
        <v>70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2" t="n">
        <f aca="false">AB930*(1+$L$3)</f>
        <v>0</v>
      </c>
      <c r="AD930" s="20"/>
      <c r="AE930" s="23" t="n">
        <f aca="false">AC930-AD930</f>
        <v>0</v>
      </c>
      <c r="AF930" s="21" t="str">
        <f aca="false">IFERROR(AD930/AC930,"")</f>
        <v/>
      </c>
    </row>
    <row r="931" customFormat="false" ht="15" hidden="false" customHeight="true" outlineLevel="0" collapsed="false">
      <c r="A931" s="14" t="n">
        <v>647650</v>
      </c>
      <c r="B931" s="14" t="n">
        <v>488962</v>
      </c>
      <c r="C931" s="14" t="s">
        <v>7279</v>
      </c>
      <c r="D931" s="14" t="s">
        <v>7280</v>
      </c>
      <c r="E931" s="14" t="s">
        <v>7281</v>
      </c>
      <c r="F931" s="14" t="s">
        <v>7282</v>
      </c>
      <c r="G931" s="14" t="s">
        <v>7283</v>
      </c>
      <c r="H931" s="14" t="s">
        <v>7284</v>
      </c>
      <c r="I931" s="14" t="s">
        <v>7285</v>
      </c>
      <c r="J931" s="14" t="s">
        <v>1458</v>
      </c>
      <c r="K931" s="14" t="s">
        <v>1026</v>
      </c>
      <c r="L931" s="14" t="s">
        <v>7286</v>
      </c>
      <c r="M931" s="14" t="s">
        <v>7287</v>
      </c>
      <c r="N931" s="14" t="s">
        <v>70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2" t="n">
        <f aca="false">AB931*(1+$L$3)</f>
        <v>0</v>
      </c>
      <c r="AD931" s="20"/>
      <c r="AE931" s="23" t="n">
        <f aca="false">AC931-AD931</f>
        <v>0</v>
      </c>
      <c r="AF931" s="21" t="str">
        <f aca="false">IFERROR(AD931/AC931,"")</f>
        <v/>
      </c>
    </row>
    <row r="932" customFormat="false" ht="15" hidden="false" customHeight="true" outlineLevel="0" collapsed="false">
      <c r="A932" s="14" t="n">
        <v>628147</v>
      </c>
      <c r="B932" s="14" t="n">
        <v>476461</v>
      </c>
      <c r="C932" s="14" t="s">
        <v>7288</v>
      </c>
      <c r="D932" s="14" t="s">
        <v>7289</v>
      </c>
      <c r="E932" s="14" t="s">
        <v>7290</v>
      </c>
      <c r="F932" s="14" t="s">
        <v>7291</v>
      </c>
      <c r="G932" s="14" t="s">
        <v>7292</v>
      </c>
      <c r="H932" s="14" t="s">
        <v>7293</v>
      </c>
      <c r="I932" s="14" t="s">
        <v>7294</v>
      </c>
      <c r="J932" s="14" t="s">
        <v>5088</v>
      </c>
      <c r="K932" s="14" t="s">
        <v>2316</v>
      </c>
      <c r="L932" s="14" t="s">
        <v>5089</v>
      </c>
      <c r="M932" s="14" t="s">
        <v>7295</v>
      </c>
      <c r="N932" s="14" t="s">
        <v>70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2" t="n">
        <f aca="false">AB932*(1+$L$3)</f>
        <v>0</v>
      </c>
      <c r="AD932" s="20"/>
      <c r="AE932" s="23" t="n">
        <f aca="false">AC932-AD932</f>
        <v>0</v>
      </c>
      <c r="AF932" s="21" t="str">
        <f aca="false">IFERROR(AD932/AC932,"")</f>
        <v/>
      </c>
    </row>
    <row r="933" customFormat="false" ht="15" hidden="false" customHeight="true" outlineLevel="0" collapsed="false">
      <c r="A933" s="14" t="n">
        <v>608763</v>
      </c>
      <c r="B933" s="14" t="n">
        <v>458333</v>
      </c>
      <c r="C933" s="14" t="s">
        <v>7296</v>
      </c>
      <c r="D933" s="14" t="s">
        <v>7297</v>
      </c>
      <c r="E933" s="14" t="s">
        <v>7298</v>
      </c>
      <c r="F933" s="14" t="s">
        <v>7299</v>
      </c>
      <c r="G933" s="14" t="s">
        <v>7300</v>
      </c>
      <c r="H933" s="14" t="s">
        <v>7301</v>
      </c>
      <c r="I933" s="14" t="s">
        <v>3781</v>
      </c>
      <c r="J933" s="14" t="s">
        <v>7302</v>
      </c>
      <c r="K933" s="14" t="s">
        <v>307</v>
      </c>
      <c r="L933" s="14" t="s">
        <v>7303</v>
      </c>
      <c r="M933" s="14" t="s">
        <v>7304</v>
      </c>
      <c r="N933" s="14" t="s">
        <v>70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2" t="n">
        <f aca="false">AB933*(1+$L$3)</f>
        <v>0</v>
      </c>
      <c r="AD933" s="20"/>
      <c r="AE933" s="23" t="n">
        <f aca="false">AC933-AD933</f>
        <v>0</v>
      </c>
      <c r="AF933" s="21" t="str">
        <f aca="false">IFERROR(AD933/AC933,"")</f>
        <v/>
      </c>
    </row>
    <row r="934" customFormat="false" ht="15" hidden="false" customHeight="true" outlineLevel="0" collapsed="false">
      <c r="A934" s="14" t="n">
        <v>627871</v>
      </c>
      <c r="B934" s="14" t="n">
        <v>476189</v>
      </c>
      <c r="C934" s="14" t="s">
        <v>7305</v>
      </c>
      <c r="D934" s="14" t="s">
        <v>7306</v>
      </c>
      <c r="E934" s="14" t="s">
        <v>7307</v>
      </c>
      <c r="F934" s="14" t="s">
        <v>7308</v>
      </c>
      <c r="G934" s="14" t="s">
        <v>7309</v>
      </c>
      <c r="H934" s="14" t="s">
        <v>7310</v>
      </c>
      <c r="I934" s="14"/>
      <c r="J934" s="14" t="s">
        <v>7311</v>
      </c>
      <c r="K934" s="14" t="s">
        <v>48</v>
      </c>
      <c r="L934" s="14" t="s">
        <v>5001</v>
      </c>
      <c r="M934" s="14" t="s">
        <v>7312</v>
      </c>
      <c r="N934" s="14" t="s">
        <v>70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2" t="n">
        <f aca="false">AB934*(1+$L$3)</f>
        <v>0</v>
      </c>
      <c r="AD934" s="20"/>
      <c r="AE934" s="23" t="n">
        <f aca="false">AC934-AD934</f>
        <v>0</v>
      </c>
      <c r="AF934" s="21" t="str">
        <f aca="false">IFERROR(AD934/AC934,"")</f>
        <v/>
      </c>
    </row>
    <row r="935" customFormat="false" ht="15" hidden="false" customHeight="true" outlineLevel="0" collapsed="false">
      <c r="A935" s="14" t="n">
        <v>628121</v>
      </c>
      <c r="B935" s="14" t="n">
        <v>476435</v>
      </c>
      <c r="C935" s="14" t="s">
        <v>7313</v>
      </c>
      <c r="D935" s="14" t="s">
        <v>7314</v>
      </c>
      <c r="E935" s="14" t="s">
        <v>7314</v>
      </c>
      <c r="F935" s="14" t="s">
        <v>7315</v>
      </c>
      <c r="G935" s="14" t="s">
        <v>7316</v>
      </c>
      <c r="H935" s="14" t="s">
        <v>7317</v>
      </c>
      <c r="I935" s="14"/>
      <c r="J935" s="14" t="s">
        <v>7318</v>
      </c>
      <c r="K935" s="14" t="s">
        <v>981</v>
      </c>
      <c r="L935" s="14" t="s">
        <v>7319</v>
      </c>
      <c r="M935" s="14" t="s">
        <v>7320</v>
      </c>
      <c r="N935" s="14" t="s">
        <v>70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2" t="n">
        <f aca="false">AB935*(1+$L$3)</f>
        <v>0</v>
      </c>
      <c r="AD935" s="20"/>
      <c r="AE935" s="23" t="n">
        <f aca="false">AC935-AD935</f>
        <v>0</v>
      </c>
      <c r="AF935" s="21" t="str">
        <f aca="false">IFERROR(AD935/AC935,"")</f>
        <v/>
      </c>
    </row>
    <row r="936" customFormat="false" ht="15" hidden="false" customHeight="true" outlineLevel="0" collapsed="false">
      <c r="A936" s="14" t="n">
        <v>643177</v>
      </c>
      <c r="B936" s="14" t="n">
        <v>484717</v>
      </c>
      <c r="C936" s="14" t="s">
        <v>7321</v>
      </c>
      <c r="D936" s="14" t="s">
        <v>7322</v>
      </c>
      <c r="E936" s="14" t="s">
        <v>7323</v>
      </c>
      <c r="F936" s="14" t="s">
        <v>7324</v>
      </c>
      <c r="G936" s="14" t="s">
        <v>7325</v>
      </c>
      <c r="H936" s="14" t="s">
        <v>7326</v>
      </c>
      <c r="I936" s="14" t="s">
        <v>2984</v>
      </c>
      <c r="J936" s="14" t="s">
        <v>7239</v>
      </c>
      <c r="K936" s="14" t="s">
        <v>1160</v>
      </c>
      <c r="L936" s="14" t="s">
        <v>7327</v>
      </c>
      <c r="M936" s="14" t="s">
        <v>7328</v>
      </c>
      <c r="N936" s="14" t="s">
        <v>70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2" t="n">
        <f aca="false">AB936*(1+$L$3)</f>
        <v>0</v>
      </c>
      <c r="AD936" s="20"/>
      <c r="AE936" s="23" t="n">
        <f aca="false">AC936-AD936</f>
        <v>0</v>
      </c>
      <c r="AF936" s="21" t="str">
        <f aca="false">IFERROR(AD936/AC936,"")</f>
        <v/>
      </c>
    </row>
    <row r="937" customFormat="false" ht="15" hidden="false" customHeight="true" outlineLevel="0" collapsed="false">
      <c r="A937" s="14" t="n">
        <v>627966</v>
      </c>
      <c r="B937" s="14" t="n">
        <v>476283</v>
      </c>
      <c r="C937" s="14" t="s">
        <v>7329</v>
      </c>
      <c r="D937" s="14" t="s">
        <v>7330</v>
      </c>
      <c r="E937" s="14" t="s">
        <v>7331</v>
      </c>
      <c r="F937" s="14" t="s">
        <v>7332</v>
      </c>
      <c r="G937" s="14" t="s">
        <v>7333</v>
      </c>
      <c r="H937" s="14" t="s">
        <v>7334</v>
      </c>
      <c r="I937" s="14"/>
      <c r="J937" s="14" t="s">
        <v>2138</v>
      </c>
      <c r="K937" s="14" t="s">
        <v>604</v>
      </c>
      <c r="L937" s="14" t="s">
        <v>3443</v>
      </c>
      <c r="M937" s="14" t="s">
        <v>7335</v>
      </c>
      <c r="N937" s="14" t="s">
        <v>70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2" t="n">
        <f aca="false">AB937*(1+$L$3)</f>
        <v>0</v>
      </c>
      <c r="AD937" s="20"/>
      <c r="AE937" s="23" t="n">
        <f aca="false">AC937-AD937</f>
        <v>0</v>
      </c>
      <c r="AF937" s="21" t="str">
        <f aca="false">IFERROR(AD937/AC937,"")</f>
        <v/>
      </c>
    </row>
    <row r="938" customFormat="false" ht="15" hidden="false" customHeight="true" outlineLevel="0" collapsed="false">
      <c r="A938" s="14" t="n">
        <v>627433</v>
      </c>
      <c r="B938" s="14" t="n">
        <v>475808</v>
      </c>
      <c r="C938" s="14" t="s">
        <v>7336</v>
      </c>
      <c r="D938" s="14" t="s">
        <v>7337</v>
      </c>
      <c r="E938" s="14" t="s">
        <v>7338</v>
      </c>
      <c r="F938" s="14" t="s">
        <v>7339</v>
      </c>
      <c r="G938" s="14" t="s">
        <v>7340</v>
      </c>
      <c r="H938" s="14" t="s">
        <v>7341</v>
      </c>
      <c r="I938" s="14"/>
      <c r="J938" s="14" t="s">
        <v>7342</v>
      </c>
      <c r="K938" s="14" t="s">
        <v>709</v>
      </c>
      <c r="L938" s="14" t="s">
        <v>7343</v>
      </c>
      <c r="M938" s="14" t="s">
        <v>7344</v>
      </c>
      <c r="N938" s="14" t="s">
        <v>70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2" t="n">
        <f aca="false">AB938*(1+$L$3)</f>
        <v>0</v>
      </c>
      <c r="AD938" s="20"/>
      <c r="AE938" s="23" t="n">
        <f aca="false">AC938-AD938</f>
        <v>0</v>
      </c>
      <c r="AF938" s="21" t="str">
        <f aca="false">IFERROR(AD938/AC938,"")</f>
        <v/>
      </c>
    </row>
    <row r="939" customFormat="false" ht="15" hidden="false" customHeight="true" outlineLevel="0" collapsed="false">
      <c r="A939" s="14" t="n">
        <v>627409</v>
      </c>
      <c r="B939" s="14" t="n">
        <v>475786</v>
      </c>
      <c r="C939" s="14" t="s">
        <v>7345</v>
      </c>
      <c r="D939" s="14" t="s">
        <v>7346</v>
      </c>
      <c r="E939" s="14" t="s">
        <v>7347</v>
      </c>
      <c r="F939" s="14" t="s">
        <v>7348</v>
      </c>
      <c r="G939" s="14" t="s">
        <v>7349</v>
      </c>
      <c r="H939" s="14" t="s">
        <v>7350</v>
      </c>
      <c r="I939" s="14"/>
      <c r="J939" s="14" t="s">
        <v>7351</v>
      </c>
      <c r="K939" s="14" t="s">
        <v>408</v>
      </c>
      <c r="L939" s="14" t="s">
        <v>7352</v>
      </c>
      <c r="M939" s="14" t="s">
        <v>7353</v>
      </c>
      <c r="N939" s="14" t="s">
        <v>70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2" t="n">
        <f aca="false">AB939*(1+$L$3)</f>
        <v>0</v>
      </c>
      <c r="AD939" s="20"/>
      <c r="AE939" s="23" t="n">
        <f aca="false">AC939-AD939</f>
        <v>0</v>
      </c>
      <c r="AF939" s="21" t="str">
        <f aca="false">IFERROR(AD939/AC939,"")</f>
        <v/>
      </c>
    </row>
    <row r="940" customFormat="false" ht="15" hidden="false" customHeight="true" outlineLevel="0" collapsed="false">
      <c r="A940" s="14" t="n">
        <v>627653</v>
      </c>
      <c r="B940" s="14" t="n">
        <v>476019</v>
      </c>
      <c r="C940" s="14" t="s">
        <v>7354</v>
      </c>
      <c r="D940" s="14" t="s">
        <v>7355</v>
      </c>
      <c r="E940" s="14" t="s">
        <v>7356</v>
      </c>
      <c r="F940" s="14" t="s">
        <v>7357</v>
      </c>
      <c r="G940" s="14" t="s">
        <v>7358</v>
      </c>
      <c r="H940" s="14" t="s">
        <v>7359</v>
      </c>
      <c r="I940" s="14"/>
      <c r="J940" s="14" t="s">
        <v>5164</v>
      </c>
      <c r="K940" s="14" t="s">
        <v>3982</v>
      </c>
      <c r="L940" s="14" t="s">
        <v>7360</v>
      </c>
      <c r="M940" s="14" t="s">
        <v>7361</v>
      </c>
      <c r="N940" s="14" t="s">
        <v>70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2" t="n">
        <f aca="false">AB940*(1+$L$3)</f>
        <v>0</v>
      </c>
      <c r="AD940" s="20"/>
      <c r="AE940" s="23" t="n">
        <f aca="false">AC940-AD940</f>
        <v>0</v>
      </c>
      <c r="AF940" s="21" t="str">
        <f aca="false">IFERROR(AD940/AC940,"")</f>
        <v/>
      </c>
    </row>
    <row r="941" customFormat="false" ht="15" hidden="false" customHeight="true" outlineLevel="0" collapsed="false">
      <c r="A941" s="14" t="n">
        <v>655432</v>
      </c>
      <c r="B941" s="14" t="n">
        <v>496581</v>
      </c>
      <c r="C941" s="14" t="s">
        <v>7362</v>
      </c>
      <c r="D941" s="14" t="s">
        <v>7363</v>
      </c>
      <c r="E941" s="14" t="s">
        <v>7364</v>
      </c>
      <c r="F941" s="14" t="s">
        <v>7365</v>
      </c>
      <c r="G941" s="14" t="s">
        <v>7366</v>
      </c>
      <c r="H941" s="14" t="s">
        <v>7367</v>
      </c>
      <c r="I941" s="14" t="s">
        <v>3765</v>
      </c>
      <c r="J941" s="14" t="s">
        <v>7368</v>
      </c>
      <c r="K941" s="14" t="s">
        <v>981</v>
      </c>
      <c r="L941" s="14" t="s">
        <v>7369</v>
      </c>
      <c r="M941" s="14" t="s">
        <v>7370</v>
      </c>
      <c r="N941" s="14" t="s">
        <v>70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2" t="n">
        <f aca="false">AB941*(1+$L$3)</f>
        <v>0</v>
      </c>
      <c r="AD941" s="20"/>
      <c r="AE941" s="23" t="n">
        <f aca="false">AC941-AD941</f>
        <v>0</v>
      </c>
      <c r="AF941" s="21" t="str">
        <f aca="false">IFERROR(AD941/AC941,"")</f>
        <v/>
      </c>
    </row>
    <row r="942" customFormat="false" ht="15" hidden="false" customHeight="true" outlineLevel="0" collapsed="false">
      <c r="A942" s="14" t="n">
        <v>627726</v>
      </c>
      <c r="B942" s="14" t="n">
        <v>476087</v>
      </c>
      <c r="C942" s="14" t="s">
        <v>7371</v>
      </c>
      <c r="D942" s="14" t="s">
        <v>7355</v>
      </c>
      <c r="E942" s="14" t="s">
        <v>7356</v>
      </c>
      <c r="F942" s="14" t="s">
        <v>7372</v>
      </c>
      <c r="G942" s="14" t="s">
        <v>7358</v>
      </c>
      <c r="H942" s="14" t="s">
        <v>7373</v>
      </c>
      <c r="I942" s="14"/>
      <c r="J942" s="14" t="s">
        <v>5164</v>
      </c>
      <c r="K942" s="14" t="s">
        <v>3982</v>
      </c>
      <c r="L942" s="14" t="s">
        <v>7374</v>
      </c>
      <c r="M942" s="14" t="s">
        <v>7361</v>
      </c>
      <c r="N942" s="14" t="s">
        <v>70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2" t="n">
        <f aca="false">AB942*(1+$L$3)</f>
        <v>0</v>
      </c>
      <c r="AD942" s="20"/>
      <c r="AE942" s="23" t="n">
        <f aca="false">AC942-AD942</f>
        <v>0</v>
      </c>
      <c r="AF942" s="21" t="str">
        <f aca="false">IFERROR(AD942/AC942,"")</f>
        <v/>
      </c>
    </row>
    <row r="943" customFormat="false" ht="15" hidden="false" customHeight="true" outlineLevel="0" collapsed="false">
      <c r="A943" s="14" t="n">
        <v>642978</v>
      </c>
      <c r="B943" s="14" t="n">
        <v>484537</v>
      </c>
      <c r="C943" s="14" t="s">
        <v>7375</v>
      </c>
      <c r="D943" s="14" t="s">
        <v>7376</v>
      </c>
      <c r="E943" s="14" t="s">
        <v>1359</v>
      </c>
      <c r="F943" s="14" t="s">
        <v>7377</v>
      </c>
      <c r="G943" s="14" t="s">
        <v>7378</v>
      </c>
      <c r="H943" s="14" t="s">
        <v>7379</v>
      </c>
      <c r="I943" s="14" t="s">
        <v>7380</v>
      </c>
      <c r="J943" s="14" t="s">
        <v>5476</v>
      </c>
      <c r="K943" s="14" t="s">
        <v>307</v>
      </c>
      <c r="L943" s="14" t="s">
        <v>5477</v>
      </c>
      <c r="M943" s="14" t="s">
        <v>7381</v>
      </c>
      <c r="N943" s="14" t="s">
        <v>70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2" t="n">
        <f aca="false">AB943*(1+$L$3)</f>
        <v>0</v>
      </c>
      <c r="AD943" s="20"/>
      <c r="AE943" s="23" t="n">
        <f aca="false">AC943-AD943</f>
        <v>0</v>
      </c>
      <c r="AF943" s="21" t="str">
        <f aca="false">IFERROR(AD943/AC943,"")</f>
        <v/>
      </c>
    </row>
    <row r="944" customFormat="false" ht="15" hidden="false" customHeight="true" outlineLevel="0" collapsed="false">
      <c r="A944" s="14" t="n">
        <v>645651</v>
      </c>
      <c r="B944" s="14" t="n">
        <v>487032</v>
      </c>
      <c r="C944" s="14" t="s">
        <v>7382</v>
      </c>
      <c r="D944" s="14" t="s">
        <v>608</v>
      </c>
      <c r="E944" s="14" t="s">
        <v>936</v>
      </c>
      <c r="F944" s="14" t="s">
        <v>610</v>
      </c>
      <c r="G944" s="14" t="s">
        <v>611</v>
      </c>
      <c r="H944" s="14" t="s">
        <v>7383</v>
      </c>
      <c r="I944" s="14" t="s">
        <v>7384</v>
      </c>
      <c r="J944" s="14" t="s">
        <v>316</v>
      </c>
      <c r="K944" s="14" t="s">
        <v>307</v>
      </c>
      <c r="L944" s="14" t="s">
        <v>614</v>
      </c>
      <c r="M944" s="14" t="s">
        <v>615</v>
      </c>
      <c r="N944" s="14" t="s">
        <v>70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2" t="n">
        <f aca="false">AB944*(1+$L$3)</f>
        <v>0</v>
      </c>
      <c r="AD944" s="20"/>
      <c r="AE944" s="23" t="n">
        <f aca="false">AC944-AD944</f>
        <v>0</v>
      </c>
      <c r="AF944" s="21" t="str">
        <f aca="false">IFERROR(AD944/AC944,"")</f>
        <v/>
      </c>
    </row>
    <row r="945" customFormat="false" ht="15" hidden="false" customHeight="true" outlineLevel="0" collapsed="false">
      <c r="A945" s="14" t="n">
        <v>627882</v>
      </c>
      <c r="B945" s="14" t="n">
        <v>476200</v>
      </c>
      <c r="C945" s="14" t="s">
        <v>7385</v>
      </c>
      <c r="D945" s="14" t="s">
        <v>7386</v>
      </c>
      <c r="E945" s="14" t="s">
        <v>7387</v>
      </c>
      <c r="F945" s="14" t="s">
        <v>7388</v>
      </c>
      <c r="G945" s="14" t="s">
        <v>7389</v>
      </c>
      <c r="H945" s="14" t="s">
        <v>7390</v>
      </c>
      <c r="I945" s="14"/>
      <c r="J945" s="14" t="s">
        <v>7391</v>
      </c>
      <c r="K945" s="14" t="s">
        <v>604</v>
      </c>
      <c r="L945" s="14" t="s">
        <v>7392</v>
      </c>
      <c r="M945" s="14" t="s">
        <v>7393</v>
      </c>
      <c r="N945" s="14" t="s">
        <v>70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2" t="n">
        <f aca="false">AB945*(1+$L$3)</f>
        <v>0</v>
      </c>
      <c r="AD945" s="20"/>
      <c r="AE945" s="23" t="n">
        <f aca="false">AC945-AD945</f>
        <v>0</v>
      </c>
      <c r="AF945" s="21" t="str">
        <f aca="false">IFERROR(AD945/AC945,"")</f>
        <v/>
      </c>
    </row>
    <row r="946" customFormat="false" ht="15" hidden="false" customHeight="true" outlineLevel="0" collapsed="false">
      <c r="A946" s="14" t="n">
        <v>631392</v>
      </c>
      <c r="B946" s="14" t="n">
        <v>477892</v>
      </c>
      <c r="C946" s="14" t="s">
        <v>7394</v>
      </c>
      <c r="D946" s="14" t="s">
        <v>7395</v>
      </c>
      <c r="E946" s="14" t="s">
        <v>7396</v>
      </c>
      <c r="F946" s="14" t="s">
        <v>7397</v>
      </c>
      <c r="G946" s="14" t="s">
        <v>7398</v>
      </c>
      <c r="H946" s="14" t="s">
        <v>7399</v>
      </c>
      <c r="I946" s="14"/>
      <c r="J946" s="14" t="s">
        <v>871</v>
      </c>
      <c r="K946" s="14" t="s">
        <v>307</v>
      </c>
      <c r="L946" s="14" t="s">
        <v>872</v>
      </c>
      <c r="M946" s="14" t="s">
        <v>7400</v>
      </c>
      <c r="N946" s="14" t="s">
        <v>70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2" t="n">
        <f aca="false">AB946*(1+$L$3)</f>
        <v>0</v>
      </c>
      <c r="AD946" s="20"/>
      <c r="AE946" s="23" t="n">
        <f aca="false">AC946-AD946</f>
        <v>0</v>
      </c>
      <c r="AF946" s="21" t="str">
        <f aca="false">IFERROR(AD946/AC946,"")</f>
        <v/>
      </c>
    </row>
    <row r="947" customFormat="false" ht="15" hidden="false" customHeight="true" outlineLevel="0" collapsed="false">
      <c r="A947" s="14" t="n">
        <v>625944</v>
      </c>
      <c r="B947" s="14" t="n">
        <v>474859</v>
      </c>
      <c r="C947" s="14" t="s">
        <v>7401</v>
      </c>
      <c r="D947" s="14" t="s">
        <v>7402</v>
      </c>
      <c r="E947" s="14" t="s">
        <v>1757</v>
      </c>
      <c r="F947" s="14" t="s">
        <v>7403</v>
      </c>
      <c r="G947" s="14" t="s">
        <v>1759</v>
      </c>
      <c r="H947" s="14" t="s">
        <v>7404</v>
      </c>
      <c r="I947" s="14"/>
      <c r="J947" s="14" t="s">
        <v>3957</v>
      </c>
      <c r="K947" s="14" t="s">
        <v>604</v>
      </c>
      <c r="L947" s="14" t="s">
        <v>3958</v>
      </c>
      <c r="M947" s="14" t="s">
        <v>6018</v>
      </c>
      <c r="N947" s="14" t="s">
        <v>70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2" t="n">
        <f aca="false">AB947*(1+$L$3)</f>
        <v>0</v>
      </c>
      <c r="AD947" s="20"/>
      <c r="AE947" s="23" t="n">
        <f aca="false">AC947-AD947</f>
        <v>0</v>
      </c>
      <c r="AF947" s="21" t="str">
        <f aca="false">IFERROR(AD947/AC947,"")</f>
        <v/>
      </c>
    </row>
    <row r="948" customFormat="false" ht="15" hidden="false" customHeight="true" outlineLevel="0" collapsed="false">
      <c r="A948" s="14" t="n">
        <v>625684</v>
      </c>
      <c r="B948" s="14" t="n">
        <v>474630</v>
      </c>
      <c r="C948" s="14" t="s">
        <v>7405</v>
      </c>
      <c r="D948" s="14" t="s">
        <v>7406</v>
      </c>
      <c r="E948" s="14" t="s">
        <v>7407</v>
      </c>
      <c r="F948" s="14" t="s">
        <v>7408</v>
      </c>
      <c r="G948" s="14" t="s">
        <v>7409</v>
      </c>
      <c r="H948" s="14" t="s">
        <v>7410</v>
      </c>
      <c r="I948" s="14"/>
      <c r="J948" s="14" t="s">
        <v>7411</v>
      </c>
      <c r="K948" s="14" t="s">
        <v>48</v>
      </c>
      <c r="L948" s="14" t="s">
        <v>7412</v>
      </c>
      <c r="M948" s="14" t="s">
        <v>7413</v>
      </c>
      <c r="N948" s="14" t="s">
        <v>70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2" t="n">
        <f aca="false">AB948*(1+$L$3)</f>
        <v>0</v>
      </c>
      <c r="AD948" s="20"/>
      <c r="AE948" s="23" t="n">
        <f aca="false">AC948-AD948</f>
        <v>0</v>
      </c>
      <c r="AF948" s="21" t="str">
        <f aca="false">IFERROR(AD948/AC948,"")</f>
        <v/>
      </c>
    </row>
    <row r="949" customFormat="false" ht="15" hidden="false" customHeight="true" outlineLevel="0" collapsed="false">
      <c r="A949" s="14" t="n">
        <v>624831</v>
      </c>
      <c r="B949" s="14" t="n">
        <v>473868</v>
      </c>
      <c r="C949" s="14" t="s">
        <v>7414</v>
      </c>
      <c r="D949" s="14" t="s">
        <v>7415</v>
      </c>
      <c r="E949" s="14" t="s">
        <v>7416</v>
      </c>
      <c r="F949" s="14" t="s">
        <v>7417</v>
      </c>
      <c r="G949" s="14" t="s">
        <v>7418</v>
      </c>
      <c r="H949" s="14" t="s">
        <v>7419</v>
      </c>
      <c r="I949" s="14" t="s">
        <v>7420</v>
      </c>
      <c r="J949" s="14" t="s">
        <v>7421</v>
      </c>
      <c r="K949" s="14" t="s">
        <v>67</v>
      </c>
      <c r="L949" s="14" t="s">
        <v>7422</v>
      </c>
      <c r="M949" s="14" t="s">
        <v>7423</v>
      </c>
      <c r="N949" s="14" t="s">
        <v>70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2" t="n">
        <f aca="false">AB949*(1+$L$3)</f>
        <v>0</v>
      </c>
      <c r="AD949" s="20"/>
      <c r="AE949" s="23" t="n">
        <f aca="false">AC949-AD949</f>
        <v>0</v>
      </c>
      <c r="AF949" s="21" t="str">
        <f aca="false">IFERROR(AD949/AC949,"")</f>
        <v/>
      </c>
    </row>
    <row r="950" customFormat="false" ht="15" hidden="false" customHeight="true" outlineLevel="0" collapsed="false">
      <c r="A950" s="14" t="n">
        <v>625193</v>
      </c>
      <c r="B950" s="14" t="n">
        <v>474196</v>
      </c>
      <c r="C950" s="14" t="s">
        <v>7424</v>
      </c>
      <c r="D950" s="14" t="s">
        <v>7425</v>
      </c>
      <c r="E950" s="14" t="s">
        <v>7426</v>
      </c>
      <c r="F950" s="14" t="s">
        <v>7427</v>
      </c>
      <c r="G950" s="14" t="s">
        <v>7428</v>
      </c>
      <c r="H950" s="14" t="s">
        <v>7429</v>
      </c>
      <c r="I950" s="14"/>
      <c r="J950" s="14" t="s">
        <v>1063</v>
      </c>
      <c r="K950" s="14" t="s">
        <v>307</v>
      </c>
      <c r="L950" s="14" t="s">
        <v>2718</v>
      </c>
      <c r="M950" s="14" t="s">
        <v>7430</v>
      </c>
      <c r="N950" s="14" t="s">
        <v>70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2" t="n">
        <f aca="false">AB950*(1+$L$3)</f>
        <v>0</v>
      </c>
      <c r="AD950" s="20"/>
      <c r="AE950" s="23" t="n">
        <f aca="false">AC950-AD950</f>
        <v>0</v>
      </c>
      <c r="AF950" s="21" t="str">
        <f aca="false">IFERROR(AD950/AC950,"")</f>
        <v/>
      </c>
    </row>
    <row r="951" customFormat="false" ht="15" hidden="false" customHeight="true" outlineLevel="0" collapsed="false">
      <c r="A951" s="14" t="n">
        <v>627624</v>
      </c>
      <c r="B951" s="14" t="n">
        <v>476000</v>
      </c>
      <c r="C951" s="14" t="s">
        <v>7431</v>
      </c>
      <c r="D951" s="14" t="s">
        <v>7432</v>
      </c>
      <c r="E951" s="14" t="s">
        <v>7433</v>
      </c>
      <c r="F951" s="14" t="s">
        <v>7434</v>
      </c>
      <c r="G951" s="14" t="s">
        <v>7435</v>
      </c>
      <c r="H951" s="14" t="s">
        <v>7436</v>
      </c>
      <c r="I951" s="14" t="s">
        <v>7437</v>
      </c>
      <c r="J951" s="14" t="s">
        <v>4883</v>
      </c>
      <c r="K951" s="14" t="s">
        <v>1160</v>
      </c>
      <c r="L951" s="14" t="s">
        <v>4884</v>
      </c>
      <c r="M951" s="14" t="s">
        <v>7438</v>
      </c>
      <c r="N951" s="14" t="s">
        <v>70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2" t="n">
        <f aca="false">AB951*(1+$L$3)</f>
        <v>0</v>
      </c>
      <c r="AD951" s="20"/>
      <c r="AE951" s="23" t="n">
        <f aca="false">AC951-AD951</f>
        <v>0</v>
      </c>
      <c r="AF951" s="21" t="str">
        <f aca="false">IFERROR(AD951/AC951,"")</f>
        <v/>
      </c>
    </row>
    <row r="952" customFormat="false" ht="15" hidden="false" customHeight="true" outlineLevel="0" collapsed="false">
      <c r="A952" s="14" t="n">
        <v>625431</v>
      </c>
      <c r="B952" s="14" t="n">
        <v>474395</v>
      </c>
      <c r="C952" s="14" t="s">
        <v>7439</v>
      </c>
      <c r="D952" s="14" t="s">
        <v>7440</v>
      </c>
      <c r="E952" s="14" t="s">
        <v>7441</v>
      </c>
      <c r="F952" s="14" t="s">
        <v>7442</v>
      </c>
      <c r="G952" s="14" t="s">
        <v>7443</v>
      </c>
      <c r="H952" s="14" t="s">
        <v>7444</v>
      </c>
      <c r="I952" s="14" t="s">
        <v>2774</v>
      </c>
      <c r="J952" s="14" t="s">
        <v>6082</v>
      </c>
      <c r="K952" s="14" t="s">
        <v>307</v>
      </c>
      <c r="L952" s="14" t="s">
        <v>7445</v>
      </c>
      <c r="M952" s="14" t="s">
        <v>7446</v>
      </c>
      <c r="N952" s="14" t="s">
        <v>70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2" t="n">
        <f aca="false">AB952*(1+$L$3)</f>
        <v>0</v>
      </c>
      <c r="AD952" s="20"/>
      <c r="AE952" s="23" t="n">
        <f aca="false">AC952-AD952</f>
        <v>0</v>
      </c>
      <c r="AF952" s="21" t="str">
        <f aca="false">IFERROR(AD952/AC952,"")</f>
        <v/>
      </c>
    </row>
    <row r="953" customFormat="false" ht="15" hidden="false" customHeight="true" outlineLevel="0" collapsed="false">
      <c r="A953" s="14" t="n">
        <v>646403</v>
      </c>
      <c r="B953" s="14" t="n">
        <v>487758</v>
      </c>
      <c r="C953" s="14" t="s">
        <v>7447</v>
      </c>
      <c r="D953" s="14" t="s">
        <v>7448</v>
      </c>
      <c r="E953" s="14" t="s">
        <v>7449</v>
      </c>
      <c r="F953" s="14" t="s">
        <v>7450</v>
      </c>
      <c r="G953" s="14" t="s">
        <v>7451</v>
      </c>
      <c r="H953" s="14" t="s">
        <v>7452</v>
      </c>
      <c r="I953" s="14"/>
      <c r="J953" s="14" t="s">
        <v>7453</v>
      </c>
      <c r="K953" s="14" t="s">
        <v>604</v>
      </c>
      <c r="L953" s="14" t="s">
        <v>7454</v>
      </c>
      <c r="M953" s="14" t="s">
        <v>7455</v>
      </c>
      <c r="N953" s="14" t="s">
        <v>70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2" t="n">
        <f aca="false">AB953*(1+$L$3)</f>
        <v>0</v>
      </c>
      <c r="AD953" s="20"/>
      <c r="AE953" s="23" t="n">
        <f aca="false">AC953-AD953</f>
        <v>0</v>
      </c>
      <c r="AF953" s="21" t="str">
        <f aca="false">IFERROR(AD953/AC953,"")</f>
        <v/>
      </c>
    </row>
    <row r="954" customFormat="false" ht="15" hidden="false" customHeight="true" outlineLevel="0" collapsed="false">
      <c r="A954" s="14" t="n">
        <v>622788</v>
      </c>
      <c r="B954" s="14" t="n">
        <v>472208</v>
      </c>
      <c r="C954" s="14" t="s">
        <v>7456</v>
      </c>
      <c r="D954" s="14" t="s">
        <v>7457</v>
      </c>
      <c r="E954" s="14" t="s">
        <v>7458</v>
      </c>
      <c r="F954" s="14" t="s">
        <v>7459</v>
      </c>
      <c r="G954" s="14" t="s">
        <v>7460</v>
      </c>
      <c r="H954" s="14" t="s">
        <v>7461</v>
      </c>
      <c r="I954" s="14"/>
      <c r="J954" s="14" t="s">
        <v>7462</v>
      </c>
      <c r="K954" s="14" t="s">
        <v>335</v>
      </c>
      <c r="L954" s="14" t="s">
        <v>7463</v>
      </c>
      <c r="M954" s="14" t="s">
        <v>7464</v>
      </c>
      <c r="N954" s="14" t="s">
        <v>70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2" t="n">
        <f aca="false">AB954*(1+$L$3)</f>
        <v>0</v>
      </c>
      <c r="AD954" s="20"/>
      <c r="AE954" s="23" t="n">
        <f aca="false">AC954-AD954</f>
        <v>0</v>
      </c>
      <c r="AF954" s="21" t="str">
        <f aca="false">IFERROR(AD954/AC954,"")</f>
        <v/>
      </c>
    </row>
    <row r="955" customFormat="false" ht="15" hidden="false" customHeight="true" outlineLevel="0" collapsed="false">
      <c r="A955" s="14" t="n">
        <v>188481</v>
      </c>
      <c r="B955" s="14" t="n">
        <v>198252</v>
      </c>
      <c r="C955" s="14" t="s">
        <v>7465</v>
      </c>
      <c r="D955" s="14" t="s">
        <v>7466</v>
      </c>
      <c r="E955" s="14" t="s">
        <v>7467</v>
      </c>
      <c r="F955" s="14" t="s">
        <v>7468</v>
      </c>
      <c r="G955" s="14" t="s">
        <v>7469</v>
      </c>
      <c r="H955" s="14" t="s">
        <v>7470</v>
      </c>
      <c r="I955" s="14"/>
      <c r="J955" s="14" t="s">
        <v>1168</v>
      </c>
      <c r="K955" s="14" t="s">
        <v>464</v>
      </c>
      <c r="L955" s="14" t="s">
        <v>1169</v>
      </c>
      <c r="M955" s="14" t="s">
        <v>7471</v>
      </c>
      <c r="N955" s="14" t="s">
        <v>70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2" t="n">
        <f aca="false">AB955*(1+$L$3)</f>
        <v>0</v>
      </c>
      <c r="AD955" s="20"/>
      <c r="AE955" s="23" t="n">
        <f aca="false">AC955-AD955</f>
        <v>0</v>
      </c>
      <c r="AF955" s="21" t="str">
        <f aca="false">IFERROR(AD955/AC955,"")</f>
        <v/>
      </c>
    </row>
    <row r="956" customFormat="false" ht="15" hidden="false" customHeight="true" outlineLevel="0" collapsed="false">
      <c r="A956" s="14" t="n">
        <v>616140</v>
      </c>
      <c r="B956" s="14" t="n">
        <v>465576</v>
      </c>
      <c r="C956" s="14" t="s">
        <v>7472</v>
      </c>
      <c r="D956" s="14" t="s">
        <v>7473</v>
      </c>
      <c r="E956" s="14" t="s">
        <v>7474</v>
      </c>
      <c r="F956" s="14" t="s">
        <v>7475</v>
      </c>
      <c r="G956" s="14" t="s">
        <v>7476</v>
      </c>
      <c r="H956" s="14" t="s">
        <v>7477</v>
      </c>
      <c r="I956" s="14"/>
      <c r="J956" s="14" t="s">
        <v>7478</v>
      </c>
      <c r="K956" s="14" t="s">
        <v>1160</v>
      </c>
      <c r="L956" s="14" t="s">
        <v>7479</v>
      </c>
      <c r="M956" s="14" t="s">
        <v>7480</v>
      </c>
      <c r="N956" s="14" t="s">
        <v>70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2" t="n">
        <f aca="false">AB956*(1+$L$3)</f>
        <v>0</v>
      </c>
      <c r="AD956" s="20"/>
      <c r="AE956" s="23" t="n">
        <f aca="false">AC956-AD956</f>
        <v>0</v>
      </c>
      <c r="AF956" s="21" t="str">
        <f aca="false">IFERROR(AD956/AC956,"")</f>
        <v/>
      </c>
    </row>
    <row r="957" customFormat="false" ht="15" hidden="false" customHeight="true" outlineLevel="0" collapsed="false">
      <c r="A957" s="14" t="n">
        <v>589061</v>
      </c>
      <c r="B957" s="14" t="n">
        <v>438419</v>
      </c>
      <c r="C957" s="14" t="s">
        <v>7481</v>
      </c>
      <c r="D957" s="14" t="s">
        <v>7482</v>
      </c>
      <c r="E957" s="14" t="s">
        <v>7483</v>
      </c>
      <c r="F957" s="14" t="s">
        <v>7484</v>
      </c>
      <c r="G957" s="14" t="s">
        <v>7485</v>
      </c>
      <c r="H957" s="14" t="s">
        <v>7486</v>
      </c>
      <c r="I957" s="14"/>
      <c r="J957" s="14" t="s">
        <v>306</v>
      </c>
      <c r="K957" s="14" t="s">
        <v>307</v>
      </c>
      <c r="L957" s="14" t="s">
        <v>7487</v>
      </c>
      <c r="M957" s="14" t="s">
        <v>7488</v>
      </c>
      <c r="N957" s="14" t="s">
        <v>70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2" t="n">
        <f aca="false">AB957*(1+$L$3)</f>
        <v>0</v>
      </c>
      <c r="AD957" s="20"/>
      <c r="AE957" s="23" t="n">
        <f aca="false">AC957-AD957</f>
        <v>0</v>
      </c>
      <c r="AF957" s="21" t="str">
        <f aca="false">IFERROR(AD957/AC957,"")</f>
        <v/>
      </c>
    </row>
    <row r="958" customFormat="false" ht="15" hidden="false" customHeight="true" outlineLevel="0" collapsed="false">
      <c r="A958" s="14" t="n">
        <v>620398</v>
      </c>
      <c r="B958" s="14" t="n">
        <v>470812</v>
      </c>
      <c r="C958" s="14" t="s">
        <v>7489</v>
      </c>
      <c r="D958" s="14" t="s">
        <v>7490</v>
      </c>
      <c r="E958" s="14" t="s">
        <v>7491</v>
      </c>
      <c r="F958" s="14" t="s">
        <v>7492</v>
      </c>
      <c r="G958" s="14" t="s">
        <v>7493</v>
      </c>
      <c r="H958" s="14" t="s">
        <v>7494</v>
      </c>
      <c r="I958" s="14" t="s">
        <v>7495</v>
      </c>
      <c r="J958" s="14" t="s">
        <v>7496</v>
      </c>
      <c r="K958" s="14" t="s">
        <v>1545</v>
      </c>
      <c r="L958" s="14" t="s">
        <v>7497</v>
      </c>
      <c r="M958" s="14" t="s">
        <v>7498</v>
      </c>
      <c r="N958" s="14" t="s">
        <v>70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2" t="n">
        <f aca="false">AB958*(1+$L$3)</f>
        <v>0</v>
      </c>
      <c r="AD958" s="20"/>
      <c r="AE958" s="23" t="n">
        <f aca="false">AC958-AD958</f>
        <v>0</v>
      </c>
      <c r="AF958" s="21" t="str">
        <f aca="false">IFERROR(AD958/AC958,"")</f>
        <v/>
      </c>
    </row>
    <row r="959" customFormat="false" ht="15" hidden="false" customHeight="true" outlineLevel="0" collapsed="false">
      <c r="A959" s="14" t="n">
        <v>616168</v>
      </c>
      <c r="B959" s="14" t="n">
        <v>465600</v>
      </c>
      <c r="C959" s="14" t="s">
        <v>7499</v>
      </c>
      <c r="D959" s="14" t="s">
        <v>7500</v>
      </c>
      <c r="E959" s="14" t="s">
        <v>7501</v>
      </c>
      <c r="F959" s="14" t="s">
        <v>7502</v>
      </c>
      <c r="G959" s="14" t="s">
        <v>7503</v>
      </c>
      <c r="H959" s="14" t="s">
        <v>7504</v>
      </c>
      <c r="I959" s="14"/>
      <c r="J959" s="14" t="s">
        <v>7505</v>
      </c>
      <c r="K959" s="14" t="s">
        <v>307</v>
      </c>
      <c r="L959" s="14" t="s">
        <v>7506</v>
      </c>
      <c r="M959" s="14" t="s">
        <v>7507</v>
      </c>
      <c r="N959" s="14" t="s">
        <v>70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2" t="n">
        <f aca="false">AB959*(1+$L$3)</f>
        <v>0</v>
      </c>
      <c r="AD959" s="20"/>
      <c r="AE959" s="23" t="n">
        <f aca="false">AC959-AD959</f>
        <v>0</v>
      </c>
      <c r="AF959" s="21" t="str">
        <f aca="false">IFERROR(AD959/AC959,"")</f>
        <v/>
      </c>
    </row>
    <row r="960" customFormat="false" ht="15" hidden="false" customHeight="true" outlineLevel="0" collapsed="false">
      <c r="A960" s="14" t="n">
        <v>188500</v>
      </c>
      <c r="B960" s="14" t="n">
        <v>198271</v>
      </c>
      <c r="C960" s="14" t="s">
        <v>7508</v>
      </c>
      <c r="D960" s="14" t="s">
        <v>7509</v>
      </c>
      <c r="E960" s="14" t="s">
        <v>7510</v>
      </c>
      <c r="F960" s="14" t="s">
        <v>7511</v>
      </c>
      <c r="G960" s="14" t="s">
        <v>7512</v>
      </c>
      <c r="H960" s="14" t="s">
        <v>7513</v>
      </c>
      <c r="I960" s="14" t="s">
        <v>7514</v>
      </c>
      <c r="J960" s="14" t="s">
        <v>2750</v>
      </c>
      <c r="K960" s="14" t="s">
        <v>506</v>
      </c>
      <c r="L960" s="14" t="s">
        <v>2751</v>
      </c>
      <c r="M960" s="14" t="s">
        <v>7515</v>
      </c>
      <c r="N960" s="14" t="s">
        <v>70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2" t="n">
        <f aca="false">AB960*(1+$L$3)</f>
        <v>0</v>
      </c>
      <c r="AD960" s="20"/>
      <c r="AE960" s="23" t="n">
        <f aca="false">AC960-AD960</f>
        <v>0</v>
      </c>
      <c r="AF960" s="21" t="str">
        <f aca="false">IFERROR(AD960/AC960,"")</f>
        <v/>
      </c>
    </row>
    <row r="961" customFormat="false" ht="15" hidden="false" customHeight="true" outlineLevel="0" collapsed="false">
      <c r="A961" s="14" t="n">
        <v>614075</v>
      </c>
      <c r="B961" s="14" t="n">
        <v>463576</v>
      </c>
      <c r="C961" s="14" t="s">
        <v>7516</v>
      </c>
      <c r="D961" s="14" t="s">
        <v>7517</v>
      </c>
      <c r="E961" s="14" t="s">
        <v>7518</v>
      </c>
      <c r="F961" s="14" t="s">
        <v>7519</v>
      </c>
      <c r="G961" s="14" t="s">
        <v>7520</v>
      </c>
      <c r="H961" s="14" t="s">
        <v>7521</v>
      </c>
      <c r="I961" s="14"/>
      <c r="J961" s="14" t="s">
        <v>1633</v>
      </c>
      <c r="K961" s="14" t="s">
        <v>67</v>
      </c>
      <c r="L961" s="14" t="s">
        <v>4452</v>
      </c>
      <c r="M961" s="14" t="s">
        <v>7522</v>
      </c>
      <c r="N961" s="14" t="s">
        <v>70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2" t="n">
        <f aca="false">AB961*(1+$L$3)</f>
        <v>0</v>
      </c>
      <c r="AD961" s="20"/>
      <c r="AE961" s="23" t="n">
        <f aca="false">AC961-AD961</f>
        <v>0</v>
      </c>
      <c r="AF961" s="21" t="str">
        <f aca="false">IFERROR(AD961/AC961,"")</f>
        <v/>
      </c>
    </row>
    <row r="962" customFormat="false" ht="15" hidden="false" customHeight="true" outlineLevel="0" collapsed="false">
      <c r="A962" s="14" t="n">
        <v>530819</v>
      </c>
      <c r="B962" s="14" t="n">
        <v>385408</v>
      </c>
      <c r="C962" s="14" t="s">
        <v>7523</v>
      </c>
      <c r="D962" s="14" t="s">
        <v>7524</v>
      </c>
      <c r="E962" s="14" t="s">
        <v>7525</v>
      </c>
      <c r="F962" s="14" t="s">
        <v>7526</v>
      </c>
      <c r="G962" s="14" t="s">
        <v>7527</v>
      </c>
      <c r="H962" s="14" t="s">
        <v>7528</v>
      </c>
      <c r="I962" s="14" t="s">
        <v>1457</v>
      </c>
      <c r="J962" s="14" t="s">
        <v>1570</v>
      </c>
      <c r="K962" s="14" t="s">
        <v>506</v>
      </c>
      <c r="L962" s="14" t="s">
        <v>7529</v>
      </c>
      <c r="M962" s="14" t="s">
        <v>7530</v>
      </c>
      <c r="N962" s="14" t="s">
        <v>70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2" t="n">
        <f aca="false">AB962*(1+$L$3)</f>
        <v>0</v>
      </c>
      <c r="AD962" s="20"/>
      <c r="AE962" s="23" t="n">
        <f aca="false">AC962-AD962</f>
        <v>0</v>
      </c>
      <c r="AF962" s="21" t="str">
        <f aca="false">IFERROR(AD962/AC962,"")</f>
        <v/>
      </c>
    </row>
    <row r="963" customFormat="false" ht="15" hidden="false" customHeight="true" outlineLevel="0" collapsed="false">
      <c r="A963" s="14" t="n">
        <v>149809</v>
      </c>
      <c r="B963" s="14" t="n">
        <v>160506</v>
      </c>
      <c r="C963" s="14" t="s">
        <v>7531</v>
      </c>
      <c r="D963" s="14" t="s">
        <v>7532</v>
      </c>
      <c r="E963" s="14" t="s">
        <v>7533</v>
      </c>
      <c r="F963" s="14" t="s">
        <v>7534</v>
      </c>
      <c r="G963" s="14" t="s">
        <v>7535</v>
      </c>
      <c r="H963" s="14" t="s">
        <v>7536</v>
      </c>
      <c r="I963" s="14"/>
      <c r="J963" s="14" t="s">
        <v>2347</v>
      </c>
      <c r="K963" s="14" t="s">
        <v>464</v>
      </c>
      <c r="L963" s="14" t="s">
        <v>7537</v>
      </c>
      <c r="M963" s="14" t="s">
        <v>7538</v>
      </c>
      <c r="N963" s="14" t="s">
        <v>70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2" t="n">
        <f aca="false">AB963*(1+$L$3)</f>
        <v>0</v>
      </c>
      <c r="AD963" s="20"/>
      <c r="AE963" s="23" t="n">
        <f aca="false">AC963-AD963</f>
        <v>0</v>
      </c>
      <c r="AF963" s="21" t="str">
        <f aca="false">IFERROR(AD963/AC963,"")</f>
        <v/>
      </c>
    </row>
    <row r="964" customFormat="false" ht="15" hidden="false" customHeight="true" outlineLevel="0" collapsed="false">
      <c r="A964" s="14" t="n">
        <v>585320</v>
      </c>
      <c r="B964" s="14" t="n">
        <v>435110</v>
      </c>
      <c r="C964" s="14" t="s">
        <v>7539</v>
      </c>
      <c r="D964" s="14" t="s">
        <v>7540</v>
      </c>
      <c r="E964" s="14" t="s">
        <v>3565</v>
      </c>
      <c r="F964" s="14" t="s">
        <v>7541</v>
      </c>
      <c r="G964" s="14" t="s">
        <v>7542</v>
      </c>
      <c r="H964" s="14" t="s">
        <v>7543</v>
      </c>
      <c r="I964" s="14"/>
      <c r="J964" s="14" t="s">
        <v>7544</v>
      </c>
      <c r="K964" s="14" t="s">
        <v>67</v>
      </c>
      <c r="L964" s="14" t="s">
        <v>7545</v>
      </c>
      <c r="M964" s="14" t="s">
        <v>7546</v>
      </c>
      <c r="N964" s="14" t="s">
        <v>70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2" t="n">
        <f aca="false">AB964*(1+$L$3)</f>
        <v>0</v>
      </c>
      <c r="AD964" s="20"/>
      <c r="AE964" s="23" t="n">
        <f aca="false">AC964-AD964</f>
        <v>0</v>
      </c>
      <c r="AF964" s="21" t="str">
        <f aca="false">IFERROR(AD964/AC964,"")</f>
        <v/>
      </c>
    </row>
    <row r="965" customFormat="false" ht="15" hidden="false" customHeight="true" outlineLevel="0" collapsed="false">
      <c r="A965" s="14" t="n">
        <v>615105</v>
      </c>
      <c r="B965" s="14" t="n">
        <v>464606</v>
      </c>
      <c r="C965" s="14" t="s">
        <v>7547</v>
      </c>
      <c r="D965" s="14" t="s">
        <v>7548</v>
      </c>
      <c r="E965" s="14" t="s">
        <v>7549</v>
      </c>
      <c r="F965" s="14" t="s">
        <v>7550</v>
      </c>
      <c r="G965" s="14" t="s">
        <v>7551</v>
      </c>
      <c r="H965" s="14" t="s">
        <v>7552</v>
      </c>
      <c r="I965" s="14"/>
      <c r="J965" s="14" t="s">
        <v>2347</v>
      </c>
      <c r="K965" s="14" t="s">
        <v>464</v>
      </c>
      <c r="L965" s="14" t="s">
        <v>7553</v>
      </c>
      <c r="M965" s="14" t="s">
        <v>7554</v>
      </c>
      <c r="N965" s="14" t="s">
        <v>70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2" t="n">
        <f aca="false">AB965*(1+$L$3)</f>
        <v>0</v>
      </c>
      <c r="AD965" s="20"/>
      <c r="AE965" s="23" t="n">
        <f aca="false">AC965-AD965</f>
        <v>0</v>
      </c>
      <c r="AF965" s="21" t="str">
        <f aca="false">IFERROR(AD965/AC965,"")</f>
        <v/>
      </c>
    </row>
    <row r="966" customFormat="false" ht="15" hidden="false" customHeight="true" outlineLevel="0" collapsed="false">
      <c r="A966" s="14" t="n">
        <v>607668</v>
      </c>
      <c r="B966" s="14" t="n">
        <v>457251</v>
      </c>
      <c r="C966" s="14" t="s">
        <v>7555</v>
      </c>
      <c r="D966" s="14" t="s">
        <v>7556</v>
      </c>
      <c r="E966" s="14" t="s">
        <v>7557</v>
      </c>
      <c r="F966" s="14" t="s">
        <v>7558</v>
      </c>
      <c r="G966" s="14" t="s">
        <v>7559</v>
      </c>
      <c r="H966" s="14" t="s">
        <v>7560</v>
      </c>
      <c r="I966" s="14"/>
      <c r="J966" s="14" t="s">
        <v>7318</v>
      </c>
      <c r="K966" s="14" t="s">
        <v>981</v>
      </c>
      <c r="L966" s="14" t="s">
        <v>7561</v>
      </c>
      <c r="M966" s="14" t="s">
        <v>7562</v>
      </c>
      <c r="N966" s="14" t="s">
        <v>70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2" t="n">
        <f aca="false">AB966*(1+$L$3)</f>
        <v>0</v>
      </c>
      <c r="AD966" s="20"/>
      <c r="AE966" s="23" t="n">
        <f aca="false">AC966-AD966</f>
        <v>0</v>
      </c>
      <c r="AF966" s="21" t="str">
        <f aca="false">IFERROR(AD966/AC966,"")</f>
        <v/>
      </c>
    </row>
    <row r="967" customFormat="false" ht="15" hidden="false" customHeight="true" outlineLevel="0" collapsed="false">
      <c r="A967" s="14" t="n">
        <v>430139</v>
      </c>
      <c r="B967" s="14" t="n">
        <v>285492</v>
      </c>
      <c r="C967" s="14" t="s">
        <v>7563</v>
      </c>
      <c r="D967" s="14" t="s">
        <v>7564</v>
      </c>
      <c r="E967" s="14" t="s">
        <v>7565</v>
      </c>
      <c r="F967" s="14" t="s">
        <v>7566</v>
      </c>
      <c r="G967" s="14" t="s">
        <v>7567</v>
      </c>
      <c r="H967" s="14" t="s">
        <v>7568</v>
      </c>
      <c r="I967" s="14"/>
      <c r="J967" s="14" t="s">
        <v>3321</v>
      </c>
      <c r="K967" s="14" t="s">
        <v>3322</v>
      </c>
      <c r="L967" s="14" t="s">
        <v>3323</v>
      </c>
      <c r="M967" s="14" t="s">
        <v>7569</v>
      </c>
      <c r="N967" s="14" t="s">
        <v>70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2" t="n">
        <f aca="false">AB967*(1+$L$3)</f>
        <v>0</v>
      </c>
      <c r="AD967" s="20"/>
      <c r="AE967" s="23" t="n">
        <f aca="false">AC967-AD967</f>
        <v>0</v>
      </c>
      <c r="AF967" s="21" t="str">
        <f aca="false">IFERROR(AD967/AC967,"")</f>
        <v/>
      </c>
    </row>
    <row r="968" customFormat="false" ht="15" hidden="false" customHeight="true" outlineLevel="0" collapsed="false">
      <c r="A968" s="14" t="n">
        <v>604906</v>
      </c>
      <c r="B968" s="14" t="n">
        <v>454721</v>
      </c>
      <c r="C968" s="14" t="s">
        <v>7570</v>
      </c>
      <c r="D968" s="14" t="s">
        <v>7571</v>
      </c>
      <c r="E968" s="14" t="s">
        <v>7572</v>
      </c>
      <c r="F968" s="14" t="s">
        <v>7573</v>
      </c>
      <c r="G968" s="14" t="s">
        <v>7574</v>
      </c>
      <c r="H968" s="14" t="s">
        <v>7575</v>
      </c>
      <c r="I968" s="14"/>
      <c r="J968" s="14" t="s">
        <v>638</v>
      </c>
      <c r="K968" s="14" t="s">
        <v>67</v>
      </c>
      <c r="L968" s="14" t="s">
        <v>1440</v>
      </c>
      <c r="M968" s="14" t="s">
        <v>7576</v>
      </c>
      <c r="N968" s="14" t="s">
        <v>70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2" t="n">
        <f aca="false">AB968*(1+$L$3)</f>
        <v>0</v>
      </c>
      <c r="AD968" s="20"/>
      <c r="AE968" s="23" t="n">
        <f aca="false">AC968-AD968</f>
        <v>0</v>
      </c>
      <c r="AF968" s="21" t="str">
        <f aca="false">IFERROR(AD968/AC968,"")</f>
        <v/>
      </c>
    </row>
    <row r="969" customFormat="false" ht="15" hidden="false" customHeight="true" outlineLevel="0" collapsed="false">
      <c r="A969" s="14" t="n">
        <v>197573</v>
      </c>
      <c r="B969" s="14" t="n">
        <v>208452</v>
      </c>
      <c r="C969" s="14" t="s">
        <v>7577</v>
      </c>
      <c r="D969" s="14" t="s">
        <v>7578</v>
      </c>
      <c r="E969" s="14" t="s">
        <v>3039</v>
      </c>
      <c r="F969" s="14" t="s">
        <v>7579</v>
      </c>
      <c r="G969" s="14" t="s">
        <v>3041</v>
      </c>
      <c r="H969" s="14" t="s">
        <v>7580</v>
      </c>
      <c r="I969" s="14" t="s">
        <v>7581</v>
      </c>
      <c r="J969" s="14" t="s">
        <v>7582</v>
      </c>
      <c r="K969" s="14" t="s">
        <v>307</v>
      </c>
      <c r="L969" s="14" t="s">
        <v>7583</v>
      </c>
      <c r="M969" s="14" t="s">
        <v>3045</v>
      </c>
      <c r="N969" s="14" t="s">
        <v>70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2" t="n">
        <f aca="false">AB969*(1+$L$3)</f>
        <v>0</v>
      </c>
      <c r="AD969" s="20"/>
      <c r="AE969" s="23" t="n">
        <f aca="false">AC969-AD969</f>
        <v>0</v>
      </c>
      <c r="AF969" s="21" t="str">
        <f aca="false">IFERROR(AD969/AC969,"")</f>
        <v/>
      </c>
    </row>
    <row r="970" customFormat="false" ht="15" hidden="false" customHeight="true" outlineLevel="0" collapsed="false">
      <c r="A970" s="14" t="n">
        <v>603987</v>
      </c>
      <c r="B970" s="14" t="n">
        <v>453774</v>
      </c>
      <c r="C970" s="14" t="s">
        <v>7584</v>
      </c>
      <c r="D970" s="14" t="s">
        <v>7585</v>
      </c>
      <c r="E970" s="14" t="s">
        <v>7586</v>
      </c>
      <c r="F970" s="14" t="s">
        <v>7587</v>
      </c>
      <c r="G970" s="14" t="s">
        <v>7588</v>
      </c>
      <c r="H970" s="14" t="s">
        <v>7589</v>
      </c>
      <c r="I970" s="14"/>
      <c r="J970" s="14" t="s">
        <v>6721</v>
      </c>
      <c r="K970" s="14" t="s">
        <v>67</v>
      </c>
      <c r="L970" s="14" t="s">
        <v>5692</v>
      </c>
      <c r="M970" s="14" t="s">
        <v>7590</v>
      </c>
      <c r="N970" s="14" t="s">
        <v>70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2" t="n">
        <f aca="false">AB970*(1+$L$3)</f>
        <v>0</v>
      </c>
      <c r="AD970" s="20"/>
      <c r="AE970" s="23" t="n">
        <f aca="false">AC970-AD970</f>
        <v>0</v>
      </c>
      <c r="AF970" s="21" t="str">
        <f aca="false">IFERROR(AD970/AC970,"")</f>
        <v/>
      </c>
    </row>
    <row r="971" customFormat="false" ht="15" hidden="false" customHeight="true" outlineLevel="0" collapsed="false">
      <c r="A971" s="14" t="n">
        <v>620808</v>
      </c>
      <c r="B971" s="14" t="n">
        <v>470811</v>
      </c>
      <c r="C971" s="14" t="s">
        <v>7591</v>
      </c>
      <c r="D971" s="14" t="s">
        <v>7592</v>
      </c>
      <c r="E971" s="14" t="s">
        <v>5993</v>
      </c>
      <c r="F971" s="14" t="s">
        <v>7593</v>
      </c>
      <c r="G971" s="14" t="s">
        <v>5995</v>
      </c>
      <c r="H971" s="14" t="s">
        <v>7594</v>
      </c>
      <c r="I971" s="14"/>
      <c r="J971" s="14" t="s">
        <v>7595</v>
      </c>
      <c r="K971" s="14" t="s">
        <v>1715</v>
      </c>
      <c r="L971" s="14" t="s">
        <v>7596</v>
      </c>
      <c r="M971" s="14" t="s">
        <v>7597</v>
      </c>
      <c r="N971" s="14" t="s">
        <v>70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2" t="n">
        <f aca="false">AB971*(1+$L$3)</f>
        <v>0</v>
      </c>
      <c r="AD971" s="20"/>
      <c r="AE971" s="23" t="n">
        <f aca="false">AC971-AD971</f>
        <v>0</v>
      </c>
      <c r="AF971" s="21" t="str">
        <f aca="false">IFERROR(AD971/AC971,"")</f>
        <v/>
      </c>
    </row>
    <row r="972" customFormat="false" ht="15" hidden="false" customHeight="true" outlineLevel="0" collapsed="false">
      <c r="A972" s="14" t="n">
        <v>620767</v>
      </c>
      <c r="B972" s="14" t="n">
        <v>470740</v>
      </c>
      <c r="C972" s="14" t="s">
        <v>7598</v>
      </c>
      <c r="D972" s="14" t="s">
        <v>7599</v>
      </c>
      <c r="E972" s="14" t="s">
        <v>7600</v>
      </c>
      <c r="F972" s="14" t="s">
        <v>7601</v>
      </c>
      <c r="G972" s="14" t="s">
        <v>7602</v>
      </c>
      <c r="H972" s="14" t="s">
        <v>7603</v>
      </c>
      <c r="I972" s="14"/>
      <c r="J972" s="14" t="s">
        <v>7604</v>
      </c>
      <c r="K972" s="14" t="s">
        <v>709</v>
      </c>
      <c r="L972" s="14" t="s">
        <v>7605</v>
      </c>
      <c r="M972" s="14" t="s">
        <v>7606</v>
      </c>
      <c r="N972" s="14" t="s">
        <v>70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2" t="n">
        <f aca="false">AB972*(1+$L$3)</f>
        <v>0</v>
      </c>
      <c r="AD972" s="20"/>
      <c r="AE972" s="23" t="n">
        <f aca="false">AC972-AD972</f>
        <v>0</v>
      </c>
      <c r="AF972" s="21" t="str">
        <f aca="false">IFERROR(AD972/AC972,"")</f>
        <v/>
      </c>
    </row>
    <row r="973" customFormat="false" ht="15" hidden="false" customHeight="true" outlineLevel="0" collapsed="false">
      <c r="A973" s="14" t="n">
        <v>612225</v>
      </c>
      <c r="B973" s="14" t="n">
        <v>461771</v>
      </c>
      <c r="C973" s="14" t="s">
        <v>7607</v>
      </c>
      <c r="D973" s="14" t="s">
        <v>7608</v>
      </c>
      <c r="E973" s="14" t="s">
        <v>7609</v>
      </c>
      <c r="F973" s="14" t="s">
        <v>7610</v>
      </c>
      <c r="G973" s="14" t="s">
        <v>7611</v>
      </c>
      <c r="H973" s="14" t="s">
        <v>7612</v>
      </c>
      <c r="I973" s="14"/>
      <c r="J973" s="14" t="s">
        <v>4783</v>
      </c>
      <c r="K973" s="14" t="s">
        <v>67</v>
      </c>
      <c r="L973" s="14" t="s">
        <v>4784</v>
      </c>
      <c r="M973" s="14" t="s">
        <v>7613</v>
      </c>
      <c r="N973" s="14" t="s">
        <v>70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2" t="n">
        <f aca="false">AB973*(1+$L$3)</f>
        <v>0</v>
      </c>
      <c r="AD973" s="20"/>
      <c r="AE973" s="23" t="n">
        <f aca="false">AC973-AD973</f>
        <v>0</v>
      </c>
      <c r="AF973" s="21" t="str">
        <f aca="false">IFERROR(AD973/AC973,"")</f>
        <v/>
      </c>
    </row>
    <row r="974" customFormat="false" ht="15" hidden="false" customHeight="true" outlineLevel="0" collapsed="false">
      <c r="A974" s="14" t="n">
        <v>616004</v>
      </c>
      <c r="B974" s="14" t="n">
        <v>465444</v>
      </c>
      <c r="C974" s="14" t="s">
        <v>7614</v>
      </c>
      <c r="D974" s="14" t="s">
        <v>7615</v>
      </c>
      <c r="E974" s="14" t="s">
        <v>7616</v>
      </c>
      <c r="F974" s="14" t="s">
        <v>7617</v>
      </c>
      <c r="G974" s="14" t="s">
        <v>7618</v>
      </c>
      <c r="H974" s="14" t="s">
        <v>7619</v>
      </c>
      <c r="I974" s="14"/>
      <c r="J974" s="14" t="s">
        <v>3068</v>
      </c>
      <c r="K974" s="14" t="s">
        <v>67</v>
      </c>
      <c r="L974" s="14" t="s">
        <v>3069</v>
      </c>
      <c r="M974" s="14" t="s">
        <v>7620</v>
      </c>
      <c r="N974" s="14" t="s">
        <v>70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2" t="n">
        <f aca="false">AB974*(1+$L$3)</f>
        <v>0</v>
      </c>
      <c r="AD974" s="20"/>
      <c r="AE974" s="23" t="n">
        <f aca="false">AC974-AD974</f>
        <v>0</v>
      </c>
      <c r="AF974" s="21" t="str">
        <f aca="false">IFERROR(AD974/AC974,"")</f>
        <v/>
      </c>
    </row>
    <row r="975" customFormat="false" ht="15" hidden="false" customHeight="true" outlineLevel="0" collapsed="false">
      <c r="A975" s="14" t="n">
        <v>610503</v>
      </c>
      <c r="B975" s="14" t="n">
        <v>460002</v>
      </c>
      <c r="C975" s="14" t="s">
        <v>7621</v>
      </c>
      <c r="D975" s="14" t="s">
        <v>7622</v>
      </c>
      <c r="E975" s="14" t="s">
        <v>7623</v>
      </c>
      <c r="F975" s="14" t="s">
        <v>7624</v>
      </c>
      <c r="G975" s="14" t="s">
        <v>7625</v>
      </c>
      <c r="H975" s="14" t="s">
        <v>7626</v>
      </c>
      <c r="I975" s="14"/>
      <c r="J975" s="14" t="s">
        <v>638</v>
      </c>
      <c r="K975" s="14" t="s">
        <v>67</v>
      </c>
      <c r="L975" s="14" t="s">
        <v>1273</v>
      </c>
      <c r="M975" s="14" t="s">
        <v>7627</v>
      </c>
      <c r="N975" s="14" t="s">
        <v>70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2" t="n">
        <f aca="false">AB975*(1+$L$3)</f>
        <v>0</v>
      </c>
      <c r="AD975" s="20"/>
      <c r="AE975" s="23" t="n">
        <f aca="false">AC975-AD975</f>
        <v>0</v>
      </c>
      <c r="AF975" s="21" t="str">
        <f aca="false">IFERROR(AD975/AC975,"")</f>
        <v/>
      </c>
    </row>
    <row r="976" customFormat="false" ht="15" hidden="false" customHeight="true" outlineLevel="0" collapsed="false">
      <c r="A976" s="14" t="n">
        <v>610711</v>
      </c>
      <c r="B976" s="14" t="n">
        <v>460213</v>
      </c>
      <c r="C976" s="14" t="s">
        <v>7628</v>
      </c>
      <c r="D976" s="14" t="s">
        <v>7629</v>
      </c>
      <c r="E976" s="14" t="s">
        <v>1242</v>
      </c>
      <c r="F976" s="14" t="s">
        <v>7630</v>
      </c>
      <c r="G976" s="14" t="s">
        <v>1244</v>
      </c>
      <c r="H976" s="14" t="s">
        <v>7631</v>
      </c>
      <c r="I976" s="14"/>
      <c r="J976" s="14" t="s">
        <v>7632</v>
      </c>
      <c r="K976" s="14" t="s">
        <v>604</v>
      </c>
      <c r="L976" s="14" t="s">
        <v>7633</v>
      </c>
      <c r="M976" s="14" t="s">
        <v>1248</v>
      </c>
      <c r="N976" s="14" t="s">
        <v>70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2" t="n">
        <f aca="false">AB976*(1+$L$3)</f>
        <v>0</v>
      </c>
      <c r="AD976" s="20"/>
      <c r="AE976" s="23" t="n">
        <f aca="false">AC976-AD976</f>
        <v>0</v>
      </c>
      <c r="AF976" s="21" t="str">
        <f aca="false">IFERROR(AD976/AC976,"")</f>
        <v/>
      </c>
    </row>
    <row r="977" customFormat="false" ht="15" hidden="false" customHeight="true" outlineLevel="0" collapsed="false">
      <c r="A977" s="14" t="n">
        <v>602056</v>
      </c>
      <c r="B977" s="14" t="n">
        <v>450977</v>
      </c>
      <c r="C977" s="14" t="s">
        <v>7634</v>
      </c>
      <c r="D977" s="14" t="s">
        <v>7635</v>
      </c>
      <c r="E977" s="14" t="s">
        <v>7636</v>
      </c>
      <c r="F977" s="14" t="s">
        <v>7637</v>
      </c>
      <c r="G977" s="14" t="s">
        <v>7638</v>
      </c>
      <c r="H977" s="14" t="s">
        <v>7639</v>
      </c>
      <c r="I977" s="14"/>
      <c r="J977" s="14" t="s">
        <v>7640</v>
      </c>
      <c r="K977" s="14" t="s">
        <v>48</v>
      </c>
      <c r="L977" s="14" t="s">
        <v>7641</v>
      </c>
      <c r="M977" s="14" t="s">
        <v>7642</v>
      </c>
      <c r="N977" s="14" t="s">
        <v>70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2" t="n">
        <f aca="false">AB977*(1+$L$3)</f>
        <v>0</v>
      </c>
      <c r="AD977" s="20"/>
      <c r="AE977" s="23" t="n">
        <f aca="false">AC977-AD977</f>
        <v>0</v>
      </c>
      <c r="AF977" s="21" t="str">
        <f aca="false">IFERROR(AD977/AC977,"")</f>
        <v/>
      </c>
    </row>
    <row r="978" customFormat="false" ht="15" hidden="false" customHeight="true" outlineLevel="0" collapsed="false">
      <c r="A978" s="14" t="n">
        <v>604912</v>
      </c>
      <c r="B978" s="14" t="n">
        <v>454727</v>
      </c>
      <c r="C978" s="14" t="s">
        <v>7643</v>
      </c>
      <c r="D978" s="14" t="s">
        <v>7644</v>
      </c>
      <c r="E978" s="14" t="s">
        <v>7645</v>
      </c>
      <c r="F978" s="14" t="s">
        <v>7646</v>
      </c>
      <c r="G978" s="14" t="s">
        <v>7647</v>
      </c>
      <c r="H978" s="14" t="s">
        <v>7648</v>
      </c>
      <c r="I978" s="14"/>
      <c r="J978" s="14" t="s">
        <v>7649</v>
      </c>
      <c r="K978" s="14" t="s">
        <v>67</v>
      </c>
      <c r="L978" s="14" t="s">
        <v>7650</v>
      </c>
      <c r="M978" s="14" t="s">
        <v>7651</v>
      </c>
      <c r="N978" s="14" t="s">
        <v>70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2" t="n">
        <f aca="false">AB978*(1+$L$3)</f>
        <v>0</v>
      </c>
      <c r="AD978" s="20"/>
      <c r="AE978" s="23" t="n">
        <f aca="false">AC978-AD978</f>
        <v>0</v>
      </c>
      <c r="AF978" s="21" t="str">
        <f aca="false">IFERROR(AD978/AC978,"")</f>
        <v/>
      </c>
    </row>
    <row r="979" customFormat="false" ht="15" hidden="false" customHeight="true" outlineLevel="0" collapsed="false">
      <c r="A979" s="14" t="n">
        <v>561513</v>
      </c>
      <c r="B979" s="14" t="n">
        <v>411521</v>
      </c>
      <c r="C979" s="14" t="s">
        <v>7652</v>
      </c>
      <c r="D979" s="14" t="s">
        <v>7653</v>
      </c>
      <c r="E979" s="14" t="s">
        <v>7654</v>
      </c>
      <c r="F979" s="14" t="s">
        <v>7655</v>
      </c>
      <c r="G979" s="14" t="s">
        <v>7656</v>
      </c>
      <c r="H979" s="14" t="s">
        <v>7657</v>
      </c>
      <c r="I979" s="14"/>
      <c r="J979" s="14" t="s">
        <v>7658</v>
      </c>
      <c r="K979" s="14" t="s">
        <v>1026</v>
      </c>
      <c r="L979" s="14" t="s">
        <v>7659</v>
      </c>
      <c r="M979" s="14" t="s">
        <v>7660</v>
      </c>
      <c r="N979" s="14" t="s">
        <v>70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2" t="n">
        <f aca="false">AB979*(1+$L$3)</f>
        <v>0</v>
      </c>
      <c r="AD979" s="20"/>
      <c r="AE979" s="23" t="n">
        <f aca="false">AC979-AD979</f>
        <v>0</v>
      </c>
      <c r="AF979" s="21" t="str">
        <f aca="false">IFERROR(AD979/AC979,"")</f>
        <v/>
      </c>
    </row>
    <row r="980" customFormat="false" ht="15" hidden="false" customHeight="true" outlineLevel="0" collapsed="false">
      <c r="A980" s="14" t="n">
        <v>537625</v>
      </c>
      <c r="B980" s="14" t="n">
        <v>391779</v>
      </c>
      <c r="C980" s="14" t="s">
        <v>7661</v>
      </c>
      <c r="D980" s="14" t="s">
        <v>7662</v>
      </c>
      <c r="E980" s="14" t="s">
        <v>7663</v>
      </c>
      <c r="F980" s="14" t="s">
        <v>7664</v>
      </c>
      <c r="G980" s="14" t="s">
        <v>7665</v>
      </c>
      <c r="H980" s="14" t="s">
        <v>7666</v>
      </c>
      <c r="I980" s="14"/>
      <c r="J980" s="14" t="s">
        <v>638</v>
      </c>
      <c r="K980" s="14" t="s">
        <v>67</v>
      </c>
      <c r="L980" s="14" t="s">
        <v>639</v>
      </c>
      <c r="M980" s="14" t="s">
        <v>7667</v>
      </c>
      <c r="N980" s="14" t="s">
        <v>70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2" t="n">
        <f aca="false">AB980*(1+$L$3)</f>
        <v>0</v>
      </c>
      <c r="AD980" s="20"/>
      <c r="AE980" s="23" t="n">
        <f aca="false">AC980-AD980</f>
        <v>0</v>
      </c>
      <c r="AF980" s="21" t="str">
        <f aca="false">IFERROR(AD980/AC980,"")</f>
        <v/>
      </c>
    </row>
    <row r="981" customFormat="false" ht="15" hidden="false" customHeight="true" outlineLevel="0" collapsed="false">
      <c r="A981" s="14" t="n">
        <v>530594</v>
      </c>
      <c r="B981" s="14" t="n">
        <v>385172</v>
      </c>
      <c r="C981" s="14" t="s">
        <v>7668</v>
      </c>
      <c r="D981" s="14" t="s">
        <v>7669</v>
      </c>
      <c r="E981" s="14" t="s">
        <v>7670</v>
      </c>
      <c r="F981" s="14" t="s">
        <v>7671</v>
      </c>
      <c r="G981" s="14" t="s">
        <v>7672</v>
      </c>
      <c r="H981" s="14" t="s">
        <v>7673</v>
      </c>
      <c r="I981" s="14"/>
      <c r="J981" s="14" t="s">
        <v>7674</v>
      </c>
      <c r="K981" s="14" t="s">
        <v>1545</v>
      </c>
      <c r="L981" s="14" t="s">
        <v>7675</v>
      </c>
      <c r="M981" s="14" t="s">
        <v>7676</v>
      </c>
      <c r="N981" s="14" t="s">
        <v>70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2" t="n">
        <f aca="false">AB981*(1+$L$3)</f>
        <v>0</v>
      </c>
      <c r="AD981" s="20"/>
      <c r="AE981" s="23" t="n">
        <f aca="false">AC981-AD981</f>
        <v>0</v>
      </c>
      <c r="AF981" s="21" t="str">
        <f aca="false">IFERROR(AD981/AC981,"")</f>
        <v/>
      </c>
    </row>
    <row r="982" customFormat="false" ht="15" hidden="false" customHeight="true" outlineLevel="0" collapsed="false">
      <c r="A982" s="14" t="n">
        <v>582046</v>
      </c>
      <c r="B982" s="14" t="n">
        <v>431288</v>
      </c>
      <c r="C982" s="14" t="s">
        <v>7677</v>
      </c>
      <c r="D982" s="14" t="s">
        <v>7678</v>
      </c>
      <c r="E982" s="14" t="s">
        <v>7679</v>
      </c>
      <c r="F982" s="14" t="s">
        <v>7680</v>
      </c>
      <c r="G982" s="14" t="s">
        <v>7681</v>
      </c>
      <c r="H982" s="14" t="s">
        <v>7682</v>
      </c>
      <c r="I982" s="14"/>
      <c r="J982" s="14" t="s">
        <v>7683</v>
      </c>
      <c r="K982" s="14" t="s">
        <v>1026</v>
      </c>
      <c r="L982" s="14" t="s">
        <v>7684</v>
      </c>
      <c r="M982" s="14" t="s">
        <v>7685</v>
      </c>
      <c r="N982" s="14" t="s">
        <v>70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2" t="n">
        <f aca="false">AB982*(1+$L$3)</f>
        <v>0</v>
      </c>
      <c r="AD982" s="20"/>
      <c r="AE982" s="23" t="n">
        <f aca="false">AC982-AD982</f>
        <v>0</v>
      </c>
      <c r="AF982" s="21" t="str">
        <f aca="false">IFERROR(AD982/AC982,"")</f>
        <v/>
      </c>
    </row>
    <row r="983" customFormat="false" ht="15" hidden="false" customHeight="true" outlineLevel="0" collapsed="false">
      <c r="A983" s="14" t="n">
        <v>176611</v>
      </c>
      <c r="B983" s="14" t="n">
        <v>187386</v>
      </c>
      <c r="C983" s="14" t="s">
        <v>7686</v>
      </c>
      <c r="D983" s="14" t="s">
        <v>7687</v>
      </c>
      <c r="E983" s="14" t="s">
        <v>7688</v>
      </c>
      <c r="F983" s="14" t="s">
        <v>7689</v>
      </c>
      <c r="G983" s="14" t="s">
        <v>7690</v>
      </c>
      <c r="H983" s="14" t="s">
        <v>7691</v>
      </c>
      <c r="I983" s="14"/>
      <c r="J983" s="14" t="s">
        <v>7692</v>
      </c>
      <c r="K983" s="14" t="s">
        <v>1545</v>
      </c>
      <c r="L983" s="14" t="s">
        <v>7693</v>
      </c>
      <c r="M983" s="14" t="s">
        <v>7694</v>
      </c>
      <c r="N983" s="14" t="s">
        <v>70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2" t="n">
        <f aca="false">AB983*(1+$L$3)</f>
        <v>0</v>
      </c>
      <c r="AD983" s="20"/>
      <c r="AE983" s="23" t="n">
        <f aca="false">AC983-AD983</f>
        <v>0</v>
      </c>
      <c r="AF983" s="21" t="str">
        <f aca="false">IFERROR(AD983/AC983,"")</f>
        <v/>
      </c>
    </row>
    <row r="984" customFormat="false" ht="15" hidden="false" customHeight="true" outlineLevel="0" collapsed="false">
      <c r="A984" s="14" t="n">
        <v>578329</v>
      </c>
      <c r="B984" s="14" t="n">
        <v>429505</v>
      </c>
      <c r="C984" s="14" t="s">
        <v>7695</v>
      </c>
      <c r="D984" s="14" t="s">
        <v>7696</v>
      </c>
      <c r="E984" s="14" t="s">
        <v>7697</v>
      </c>
      <c r="F984" s="14" t="s">
        <v>7698</v>
      </c>
      <c r="G984" s="14" t="s">
        <v>7699</v>
      </c>
      <c r="H984" s="14" t="s">
        <v>7700</v>
      </c>
      <c r="I984" s="14" t="s">
        <v>7701</v>
      </c>
      <c r="J984" s="14" t="s">
        <v>7702</v>
      </c>
      <c r="K984" s="14" t="s">
        <v>2088</v>
      </c>
      <c r="L984" s="14" t="s">
        <v>7703</v>
      </c>
      <c r="M984" s="14" t="s">
        <v>7704</v>
      </c>
      <c r="N984" s="14" t="s">
        <v>70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2" t="n">
        <f aca="false">AB984*(1+$L$3)</f>
        <v>0</v>
      </c>
      <c r="AD984" s="20"/>
      <c r="AE984" s="23" t="n">
        <f aca="false">AC984-AD984</f>
        <v>0</v>
      </c>
      <c r="AF984" s="21" t="str">
        <f aca="false">IFERROR(AD984/AC984,"")</f>
        <v/>
      </c>
    </row>
    <row r="985" customFormat="false" ht="15" hidden="false" customHeight="true" outlineLevel="0" collapsed="false">
      <c r="A985" s="14" t="n">
        <v>190616</v>
      </c>
      <c r="B985" s="14" t="n">
        <v>181152</v>
      </c>
      <c r="C985" s="14" t="s">
        <v>7705</v>
      </c>
      <c r="D985" s="14" t="s">
        <v>7706</v>
      </c>
      <c r="E985" s="14" t="s">
        <v>7707</v>
      </c>
      <c r="F985" s="14" t="s">
        <v>7708</v>
      </c>
      <c r="G985" s="14" t="s">
        <v>7709</v>
      </c>
      <c r="H985" s="14" t="s">
        <v>7710</v>
      </c>
      <c r="I985" s="14"/>
      <c r="J985" s="14" t="s">
        <v>708</v>
      </c>
      <c r="K985" s="14" t="s">
        <v>709</v>
      </c>
      <c r="L985" s="14" t="s">
        <v>7711</v>
      </c>
      <c r="M985" s="14" t="s">
        <v>7712</v>
      </c>
      <c r="N985" s="14" t="s">
        <v>70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2" t="n">
        <f aca="false">AB985*(1+$L$3)</f>
        <v>0</v>
      </c>
      <c r="AD985" s="20"/>
      <c r="AE985" s="23" t="n">
        <f aca="false">AC985-AD985</f>
        <v>0</v>
      </c>
      <c r="AF985" s="21" t="str">
        <f aca="false">IFERROR(AD985/AC985,"")</f>
        <v/>
      </c>
    </row>
    <row r="986" customFormat="false" ht="15" hidden="false" customHeight="true" outlineLevel="0" collapsed="false">
      <c r="A986" s="14" t="n">
        <v>648567</v>
      </c>
      <c r="B986" s="14" t="n">
        <v>489886</v>
      </c>
      <c r="C986" s="14" t="s">
        <v>7713</v>
      </c>
      <c r="D986" s="14" t="s">
        <v>7714</v>
      </c>
      <c r="E986" s="14" t="s">
        <v>7715</v>
      </c>
      <c r="F986" s="14" t="s">
        <v>6002</v>
      </c>
      <c r="G986" s="14" t="s">
        <v>7716</v>
      </c>
      <c r="H986" s="14" t="s">
        <v>7717</v>
      </c>
      <c r="I986" s="14"/>
      <c r="J986" s="14" t="s">
        <v>638</v>
      </c>
      <c r="K986" s="14" t="s">
        <v>67</v>
      </c>
      <c r="L986" s="14" t="s">
        <v>639</v>
      </c>
      <c r="M986" s="14" t="s">
        <v>7718</v>
      </c>
      <c r="N986" s="14" t="s">
        <v>70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2" t="n">
        <f aca="false">AB986*(1+$L$3)</f>
        <v>0</v>
      </c>
      <c r="AD986" s="20"/>
      <c r="AE986" s="23" t="n">
        <f aca="false">AC986-AD986</f>
        <v>0</v>
      </c>
      <c r="AF986" s="21" t="str">
        <f aca="false">IFERROR(AD986/AC986,"")</f>
        <v/>
      </c>
    </row>
    <row r="987" customFormat="false" ht="15" hidden="false" customHeight="true" outlineLevel="0" collapsed="false">
      <c r="A987" s="14" t="n">
        <v>117646</v>
      </c>
      <c r="B987" s="14" t="n">
        <v>117646</v>
      </c>
      <c r="C987" s="14" t="s">
        <v>7719</v>
      </c>
      <c r="D987" s="14" t="s">
        <v>7720</v>
      </c>
      <c r="E987" s="14" t="s">
        <v>7721</v>
      </c>
      <c r="F987" s="14" t="s">
        <v>7722</v>
      </c>
      <c r="G987" s="14" t="s">
        <v>7723</v>
      </c>
      <c r="H987" s="14" t="s">
        <v>7724</v>
      </c>
      <c r="I987" s="14" t="s">
        <v>1317</v>
      </c>
      <c r="J987" s="14" t="s">
        <v>7725</v>
      </c>
      <c r="K987" s="14" t="s">
        <v>1026</v>
      </c>
      <c r="L987" s="14" t="s">
        <v>7726</v>
      </c>
      <c r="M987" s="14" t="s">
        <v>7727</v>
      </c>
      <c r="N987" s="14" t="s">
        <v>70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2" t="n">
        <f aca="false">AB987*(1+$L$3)</f>
        <v>0</v>
      </c>
      <c r="AD987" s="20"/>
      <c r="AE987" s="23" t="n">
        <f aca="false">AC987-AD987</f>
        <v>0</v>
      </c>
      <c r="AF987" s="21" t="str">
        <f aca="false">IFERROR(AD987/AC987,"")</f>
        <v/>
      </c>
    </row>
    <row r="988" customFormat="false" ht="15" hidden="false" customHeight="true" outlineLevel="0" collapsed="false">
      <c r="A988" s="14" t="n">
        <v>646644</v>
      </c>
      <c r="B988" s="14" t="n">
        <v>487982</v>
      </c>
      <c r="C988" s="14" t="s">
        <v>7728</v>
      </c>
      <c r="D988" s="14" t="s">
        <v>7729</v>
      </c>
      <c r="E988" s="14" t="s">
        <v>7730</v>
      </c>
      <c r="F988" s="14" t="s">
        <v>7731</v>
      </c>
      <c r="G988" s="14" t="s">
        <v>7732</v>
      </c>
      <c r="H988" s="14" t="s">
        <v>7733</v>
      </c>
      <c r="I988" s="14"/>
      <c r="J988" s="14" t="s">
        <v>7734</v>
      </c>
      <c r="K988" s="14" t="s">
        <v>67</v>
      </c>
      <c r="L988" s="14" t="s">
        <v>7735</v>
      </c>
      <c r="M988" s="14" t="s">
        <v>7736</v>
      </c>
      <c r="N988" s="14" t="s">
        <v>70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2" t="n">
        <f aca="false">AB988*(1+$L$3)</f>
        <v>0</v>
      </c>
      <c r="AD988" s="20"/>
      <c r="AE988" s="23" t="n">
        <f aca="false">AC988-AD988</f>
        <v>0</v>
      </c>
      <c r="AF988" s="21" t="str">
        <f aca="false">IFERROR(AD988/AC988,"")</f>
        <v/>
      </c>
    </row>
    <row r="989" customFormat="false" ht="15" hidden="false" customHeight="true" outlineLevel="0" collapsed="false">
      <c r="A989" s="14" t="n">
        <v>638365</v>
      </c>
      <c r="B989" s="14" t="n">
        <v>484228</v>
      </c>
      <c r="C989" s="14" t="s">
        <v>7737</v>
      </c>
      <c r="D989" s="14" t="s">
        <v>7738</v>
      </c>
      <c r="E989" s="14" t="s">
        <v>7739</v>
      </c>
      <c r="F989" s="14" t="s">
        <v>7740</v>
      </c>
      <c r="G989" s="14" t="s">
        <v>7741</v>
      </c>
      <c r="H989" s="14" t="s">
        <v>7742</v>
      </c>
      <c r="I989" s="14"/>
      <c r="J989" s="14" t="s">
        <v>7318</v>
      </c>
      <c r="K989" s="14" t="s">
        <v>981</v>
      </c>
      <c r="L989" s="14" t="s">
        <v>7561</v>
      </c>
      <c r="M989" s="14" t="s">
        <v>7743</v>
      </c>
      <c r="N989" s="14" t="s">
        <v>70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2" t="n">
        <f aca="false">AB989*(1+$L$3)</f>
        <v>0</v>
      </c>
      <c r="AD989" s="20"/>
      <c r="AE989" s="23" t="n">
        <f aca="false">AC989-AD989</f>
        <v>0</v>
      </c>
      <c r="AF989" s="21" t="str">
        <f aca="false">IFERROR(AD989/AC989,"")</f>
        <v/>
      </c>
    </row>
    <row r="990" customFormat="false" ht="15" hidden="false" customHeight="true" outlineLevel="0" collapsed="false">
      <c r="A990" s="14" t="n">
        <v>604880</v>
      </c>
      <c r="B990" s="14" t="n">
        <v>454695</v>
      </c>
      <c r="C990" s="14" t="s">
        <v>7744</v>
      </c>
      <c r="D990" s="14" t="s">
        <v>7745</v>
      </c>
      <c r="E990" s="14" t="s">
        <v>7746</v>
      </c>
      <c r="F990" s="14" t="s">
        <v>7747</v>
      </c>
      <c r="G990" s="14" t="s">
        <v>7748</v>
      </c>
      <c r="H990" s="14" t="s">
        <v>7749</v>
      </c>
      <c r="I990" s="14"/>
      <c r="J990" s="14" t="s">
        <v>3451</v>
      </c>
      <c r="K990" s="14" t="s">
        <v>67</v>
      </c>
      <c r="L990" s="14" t="s">
        <v>7750</v>
      </c>
      <c r="M990" s="14" t="s">
        <v>7751</v>
      </c>
      <c r="N990" s="14" t="s">
        <v>70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2" t="n">
        <f aca="false">AB990*(1+$L$3)</f>
        <v>0</v>
      </c>
      <c r="AD990" s="20"/>
      <c r="AE990" s="23" t="n">
        <f aca="false">AC990-AD990</f>
        <v>0</v>
      </c>
      <c r="AF990" s="21" t="str">
        <f aca="false">IFERROR(AD990/AC990,"")</f>
        <v/>
      </c>
    </row>
    <row r="991" customFormat="false" ht="15" hidden="false" customHeight="true" outlineLevel="0" collapsed="false">
      <c r="A991" s="14" t="n">
        <v>112713</v>
      </c>
      <c r="B991" s="14" t="n">
        <v>123789</v>
      </c>
      <c r="C991" s="14" t="s">
        <v>7752</v>
      </c>
      <c r="D991" s="14" t="s">
        <v>7753</v>
      </c>
      <c r="E991" s="14" t="s">
        <v>7754</v>
      </c>
      <c r="F991" s="14" t="s">
        <v>7755</v>
      </c>
      <c r="G991" s="14" t="s">
        <v>7756</v>
      </c>
      <c r="H991" s="14" t="s">
        <v>7757</v>
      </c>
      <c r="I991" s="14"/>
      <c r="J991" s="14" t="s">
        <v>2953</v>
      </c>
      <c r="K991" s="14" t="s">
        <v>67</v>
      </c>
      <c r="L991" s="14" t="s">
        <v>7758</v>
      </c>
      <c r="M991" s="14" t="s">
        <v>7759</v>
      </c>
      <c r="N991" s="14" t="s">
        <v>70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2" t="n">
        <f aca="false">AB991*(1+$L$3)</f>
        <v>0</v>
      </c>
      <c r="AD991" s="20"/>
      <c r="AE991" s="23" t="n">
        <f aca="false">AC991-AD991</f>
        <v>0</v>
      </c>
      <c r="AF991" s="21" t="str">
        <f aca="false">IFERROR(AD991/AC991,"")</f>
        <v/>
      </c>
    </row>
    <row r="992" customFormat="false" ht="15" hidden="false" customHeight="true" outlineLevel="0" collapsed="false">
      <c r="A992" s="14" t="n">
        <v>608266</v>
      </c>
      <c r="B992" s="14" t="n">
        <v>457840</v>
      </c>
      <c r="C992" s="14" t="s">
        <v>7760</v>
      </c>
      <c r="D992" s="14" t="s">
        <v>7761</v>
      </c>
      <c r="E992" s="14" t="s">
        <v>7762</v>
      </c>
      <c r="F992" s="14" t="s">
        <v>7763</v>
      </c>
      <c r="G992" s="14" t="s">
        <v>7764</v>
      </c>
      <c r="H992" s="14" t="s">
        <v>7765</v>
      </c>
      <c r="I992" s="14"/>
      <c r="J992" s="14" t="s">
        <v>7766</v>
      </c>
      <c r="K992" s="14" t="s">
        <v>1160</v>
      </c>
      <c r="L992" s="14" t="s">
        <v>7767</v>
      </c>
      <c r="M992" s="14" t="s">
        <v>7768</v>
      </c>
      <c r="N992" s="14" t="s">
        <v>70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2" t="n">
        <f aca="false">AB992*(1+$L$3)</f>
        <v>0</v>
      </c>
      <c r="AD992" s="20"/>
      <c r="AE992" s="23" t="n">
        <f aca="false">AC992-AD992</f>
        <v>0</v>
      </c>
      <c r="AF992" s="21" t="str">
        <f aca="false">IFERROR(AD992/AC992,"")</f>
        <v/>
      </c>
    </row>
    <row r="993" customFormat="false" ht="15" hidden="false" customHeight="true" outlineLevel="0" collapsed="false">
      <c r="A993" s="14" t="n">
        <v>384199</v>
      </c>
      <c r="B993" s="14" t="n">
        <v>245077</v>
      </c>
      <c r="C993" s="14" t="s">
        <v>7769</v>
      </c>
      <c r="D993" s="14" t="s">
        <v>7770</v>
      </c>
      <c r="E993" s="14" t="s">
        <v>7771</v>
      </c>
      <c r="F993" s="14" t="s">
        <v>7772</v>
      </c>
      <c r="G993" s="14" t="s">
        <v>7773</v>
      </c>
      <c r="H993" s="14" t="s">
        <v>7774</v>
      </c>
      <c r="I993" s="14" t="s">
        <v>7775</v>
      </c>
      <c r="J993" s="14" t="s">
        <v>1657</v>
      </c>
      <c r="K993" s="14" t="s">
        <v>67</v>
      </c>
      <c r="L993" s="14" t="s">
        <v>1658</v>
      </c>
      <c r="M993" s="14" t="s">
        <v>7776</v>
      </c>
      <c r="N993" s="14" t="s">
        <v>70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2" t="n">
        <f aca="false">AB993*(1+$L$3)</f>
        <v>0</v>
      </c>
      <c r="AD993" s="20"/>
      <c r="AE993" s="23" t="n">
        <f aca="false">AC993-AD993</f>
        <v>0</v>
      </c>
      <c r="AF993" s="21" t="str">
        <f aca="false">IFERROR(AD993/AC993,"")</f>
        <v/>
      </c>
    </row>
    <row r="994" customFormat="false" ht="15" hidden="false" customHeight="true" outlineLevel="0" collapsed="false">
      <c r="A994" s="14" t="n">
        <v>618215</v>
      </c>
      <c r="B994" s="14" t="n">
        <v>468663</v>
      </c>
      <c r="C994" s="14" t="s">
        <v>7777</v>
      </c>
      <c r="D994" s="14" t="s">
        <v>7778</v>
      </c>
      <c r="E994" s="14" t="s">
        <v>7779</v>
      </c>
      <c r="F994" s="14" t="s">
        <v>7780</v>
      </c>
      <c r="G994" s="14" t="s">
        <v>7781</v>
      </c>
      <c r="H994" s="14" t="s">
        <v>7782</v>
      </c>
      <c r="I994" s="14"/>
      <c r="J994" s="14" t="s">
        <v>7783</v>
      </c>
      <c r="K994" s="14" t="s">
        <v>307</v>
      </c>
      <c r="L994" s="14" t="s">
        <v>7784</v>
      </c>
      <c r="M994" s="14" t="s">
        <v>7785</v>
      </c>
      <c r="N994" s="14" t="s">
        <v>70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2" t="n">
        <f aca="false">AB994*(1+$L$3)</f>
        <v>0</v>
      </c>
      <c r="AD994" s="20"/>
      <c r="AE994" s="23" t="n">
        <f aca="false">AC994-AD994</f>
        <v>0</v>
      </c>
      <c r="AF994" s="21" t="str">
        <f aca="false">IFERROR(AD994/AC994,"")</f>
        <v/>
      </c>
    </row>
    <row r="995" customFormat="false" ht="15" hidden="false" customHeight="true" outlineLevel="0" collapsed="false">
      <c r="A995" s="14" t="n">
        <v>607634</v>
      </c>
      <c r="B995" s="14" t="n">
        <v>457217</v>
      </c>
      <c r="C995" s="14" t="s">
        <v>7786</v>
      </c>
      <c r="D995" s="14" t="s">
        <v>7787</v>
      </c>
      <c r="E995" s="14" t="s">
        <v>7788</v>
      </c>
      <c r="F995" s="14" t="s">
        <v>7789</v>
      </c>
      <c r="G995" s="14" t="s">
        <v>7790</v>
      </c>
      <c r="H995" s="14" t="s">
        <v>7791</v>
      </c>
      <c r="I995" s="14"/>
      <c r="J995" s="14" t="s">
        <v>7792</v>
      </c>
      <c r="K995" s="14" t="s">
        <v>307</v>
      </c>
      <c r="L995" s="14" t="s">
        <v>7793</v>
      </c>
      <c r="M995" s="14" t="s">
        <v>7794</v>
      </c>
      <c r="N995" s="14" t="s">
        <v>70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2" t="n">
        <f aca="false">AB995*(1+$L$3)</f>
        <v>0</v>
      </c>
      <c r="AD995" s="20"/>
      <c r="AE995" s="23" t="n">
        <f aca="false">AC995-AD995</f>
        <v>0</v>
      </c>
      <c r="AF995" s="21" t="str">
        <f aca="false">IFERROR(AD995/AC995,"")</f>
        <v/>
      </c>
    </row>
    <row r="996" customFormat="false" ht="15" hidden="false" customHeight="true" outlineLevel="0" collapsed="false">
      <c r="A996" s="14" t="n">
        <v>518534</v>
      </c>
      <c r="B996" s="14" t="n">
        <v>374909</v>
      </c>
      <c r="C996" s="14" t="s">
        <v>7795</v>
      </c>
      <c r="D996" s="14" t="s">
        <v>7796</v>
      </c>
      <c r="E996" s="14" t="s">
        <v>7797</v>
      </c>
      <c r="F996" s="14" t="s">
        <v>7798</v>
      </c>
      <c r="G996" s="14" t="s">
        <v>7799</v>
      </c>
      <c r="H996" s="14" t="s">
        <v>7800</v>
      </c>
      <c r="I996" s="14"/>
      <c r="J996" s="14" t="s">
        <v>3200</v>
      </c>
      <c r="K996" s="14" t="s">
        <v>999</v>
      </c>
      <c r="L996" s="14" t="s">
        <v>7801</v>
      </c>
      <c r="M996" s="14" t="s">
        <v>7802</v>
      </c>
      <c r="N996" s="14" t="s">
        <v>70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2" t="n">
        <f aca="false">AB996*(1+$L$3)</f>
        <v>0</v>
      </c>
      <c r="AD996" s="20"/>
      <c r="AE996" s="23" t="n">
        <f aca="false">AC996-AD996</f>
        <v>0</v>
      </c>
      <c r="AF996" s="21" t="str">
        <f aca="false">IFERROR(AD996/AC996,"")</f>
        <v/>
      </c>
    </row>
    <row r="997" customFormat="false" ht="15" hidden="false" customHeight="true" outlineLevel="0" collapsed="false">
      <c r="A997" s="14" t="n">
        <v>632135</v>
      </c>
      <c r="B997" s="14" t="n">
        <v>478679</v>
      </c>
      <c r="C997" s="14" t="s">
        <v>7803</v>
      </c>
      <c r="D997" s="14" t="s">
        <v>7804</v>
      </c>
      <c r="E997" s="14" t="s">
        <v>7805</v>
      </c>
      <c r="F997" s="14" t="s">
        <v>7806</v>
      </c>
      <c r="G997" s="14" t="s">
        <v>7807</v>
      </c>
      <c r="H997" s="14" t="s">
        <v>937</v>
      </c>
      <c r="I997" s="14" t="s">
        <v>7808</v>
      </c>
      <c r="J997" s="14" t="s">
        <v>679</v>
      </c>
      <c r="K997" s="14" t="s">
        <v>307</v>
      </c>
      <c r="L997" s="14" t="s">
        <v>939</v>
      </c>
      <c r="M997" s="14" t="s">
        <v>7809</v>
      </c>
      <c r="N997" s="14" t="s">
        <v>70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2" t="n">
        <f aca="false">AB997*(1+$L$3)</f>
        <v>0</v>
      </c>
      <c r="AD997" s="20"/>
      <c r="AE997" s="23" t="n">
        <f aca="false">AC997-AD997</f>
        <v>0</v>
      </c>
      <c r="AF997" s="21" t="str">
        <f aca="false">IFERROR(AD997/AC997,"")</f>
        <v/>
      </c>
    </row>
    <row r="998" customFormat="false" ht="15" hidden="false" customHeight="true" outlineLevel="0" collapsed="false">
      <c r="A998" s="14" t="n">
        <v>604937</v>
      </c>
      <c r="B998" s="14" t="n">
        <v>454752</v>
      </c>
      <c r="C998" s="14" t="s">
        <v>7810</v>
      </c>
      <c r="D998" s="14" t="s">
        <v>7811</v>
      </c>
      <c r="E998" s="14" t="s">
        <v>7812</v>
      </c>
      <c r="F998" s="14" t="s">
        <v>7813</v>
      </c>
      <c r="G998" s="14" t="s">
        <v>7814</v>
      </c>
      <c r="H998" s="14" t="s">
        <v>7815</v>
      </c>
      <c r="I998" s="14"/>
      <c r="J998" s="14" t="s">
        <v>7816</v>
      </c>
      <c r="K998" s="14" t="s">
        <v>67</v>
      </c>
      <c r="L998" s="14" t="s">
        <v>7817</v>
      </c>
      <c r="M998" s="14" t="s">
        <v>7818</v>
      </c>
      <c r="N998" s="14" t="s">
        <v>70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2" t="n">
        <f aca="false">AB998*(1+$L$3)</f>
        <v>0</v>
      </c>
      <c r="AD998" s="20"/>
      <c r="AE998" s="23" t="n">
        <f aca="false">AC998-AD998</f>
        <v>0</v>
      </c>
      <c r="AF998" s="21" t="str">
        <f aca="false">IFERROR(AD998/AC998,"")</f>
        <v/>
      </c>
    </row>
    <row r="999" customFormat="false" ht="15" hidden="false" customHeight="true" outlineLevel="0" collapsed="false">
      <c r="A999" s="14" t="n">
        <v>552278</v>
      </c>
      <c r="B999" s="14" t="n">
        <v>405350</v>
      </c>
      <c r="C999" s="14" t="s">
        <v>7819</v>
      </c>
      <c r="D999" s="14" t="s">
        <v>7820</v>
      </c>
      <c r="E999" s="14" t="s">
        <v>7821</v>
      </c>
      <c r="F999" s="14" t="s">
        <v>7822</v>
      </c>
      <c r="G999" s="14" t="s">
        <v>7823</v>
      </c>
      <c r="H999" s="14" t="s">
        <v>7824</v>
      </c>
      <c r="I999" s="14"/>
      <c r="J999" s="14" t="s">
        <v>7825</v>
      </c>
      <c r="K999" s="14" t="s">
        <v>981</v>
      </c>
      <c r="L999" s="14" t="s">
        <v>7826</v>
      </c>
      <c r="M999" s="14" t="s">
        <v>7827</v>
      </c>
      <c r="N999" s="14" t="s">
        <v>70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2" t="n">
        <f aca="false">AB999*(1+$L$3)</f>
        <v>0</v>
      </c>
      <c r="AD999" s="20"/>
      <c r="AE999" s="23" t="n">
        <f aca="false">AC999-AD999</f>
        <v>0</v>
      </c>
      <c r="AF999" s="21" t="str">
        <f aca="false">IFERROR(AD999/AC999,"")</f>
        <v/>
      </c>
    </row>
    <row r="1000" customFormat="false" ht="15" hidden="false" customHeight="true" outlineLevel="0" collapsed="false">
      <c r="A1000" s="24" t="s">
        <v>7828</v>
      </c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5" t="n">
        <f aca="false">SUMIFS($O$5:$O$999,$T$5:$T$999,"&gt;="&amp;$H$3)</f>
        <v>2001</v>
      </c>
      <c r="P1000" s="25" t="n">
        <f aca="false">SUMIFS($P$5:$P$999,$T$5:$T$999,"&gt;="&amp;$H$3)</f>
        <v>2524</v>
      </c>
      <c r="Q1000" s="25" t="n">
        <f aca="false">SUMIFS($Q$5:$Q$999,$T$5:$T$999,"&gt;="&amp;$H$3)</f>
        <v>2641</v>
      </c>
      <c r="R1000" s="25" t="n">
        <f aca="false">SUMIFS($R$5:$R$999,$T$5:$T$999,"&gt;="&amp;$H$3)</f>
        <v>413</v>
      </c>
      <c r="S1000" s="25" t="n">
        <f aca="false">SUMIFS($S$5:$S$999,$T$5:$T$999,"&gt;="&amp;$H$3)</f>
        <v>7579</v>
      </c>
      <c r="T1000" s="26" t="n">
        <f aca="false">SUMIFS($T$5:$T$999,$T$5:$T$999,"&gt;="&amp;$H$3)</f>
        <v>2388.66666666667</v>
      </c>
      <c r="U1000" s="24"/>
      <c r="V1000" s="27" t="n">
        <f aca="false">SUMIFS($V$5:$V$999,$T$5:$T$999,"&gt;="&amp;$H$3)</f>
        <v>1</v>
      </c>
      <c r="W1000" s="24"/>
      <c r="X1000" s="25" t="n">
        <f aca="false">SUMIFS($X$5:$X$999,$T$5:$T$999,"&gt;="&amp;$H$3)</f>
        <v>2760</v>
      </c>
      <c r="Y1000" s="25" t="n">
        <f aca="false">SUMIFS($Y$5:$Y$999,$T$5:$T$999,"&gt;="&amp;$H$3)</f>
        <v>839</v>
      </c>
      <c r="Z1000" s="25" t="n">
        <f aca="false">X1000-Y1000</f>
        <v>1921</v>
      </c>
      <c r="AA1000" s="27" t="n">
        <f aca="false">IFERROR(Y1000/X1000,"")</f>
        <v>0.303985507246377</v>
      </c>
      <c r="AB1000" s="24"/>
      <c r="AC1000" s="24"/>
      <c r="AD1000" s="24"/>
      <c r="AE1000" s="24"/>
      <c r="AF1000" s="24"/>
    </row>
    <row r="1001" customFormat="false" ht="15" hidden="false" customHeight="true" outlineLevel="0" collapsed="false">
      <c r="A1001" s="28" t="s">
        <v>7829</v>
      </c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9" t="n">
        <f aca="false">SUMIFS($O$5:$O$999,$T$5:$T$999,"&lt;"&amp;$H$3)</f>
        <v>400</v>
      </c>
      <c r="P1001" s="29" t="n">
        <f aca="false">SUMIFS($P$5:$P$999,$T$5:$T$999,"&lt;"&amp;$H$3)</f>
        <v>495</v>
      </c>
      <c r="Q1001" s="29" t="n">
        <f aca="false">SUMIFS($Q$5:$Q$999,$T$5:$T$999,"&lt;"&amp;$H$3)</f>
        <v>567</v>
      </c>
      <c r="R1001" s="29" t="n">
        <f aca="false">SUMIFS($R$5:$R$999,$T$5:$T$999,"&lt;"&amp;$H$3)</f>
        <v>85</v>
      </c>
      <c r="S1001" s="29" t="n">
        <f aca="false">SUMIFS($S$5:$S$999,$T$5:$T$999,"&lt;"&amp;$H$3)</f>
        <v>1547</v>
      </c>
      <c r="T1001" s="30" t="n">
        <f aca="false">SUMIFS($T$5:$T$999,$T$5:$T$999,"&lt;"&amp;$H$3)</f>
        <v>487.333333333333</v>
      </c>
      <c r="U1001" s="28"/>
      <c r="V1001" s="28"/>
      <c r="W1001" s="28"/>
      <c r="X1001" s="29" t="n">
        <f aca="false">SUMIFS($X$5:$X$999,$T$5:$T$999,"&lt;"&amp;$H$3)</f>
        <v>728</v>
      </c>
      <c r="Y1001" s="29" t="n">
        <f aca="false">SUMIFS($Y$5:$Y$999,$T$5:$T$999,"&lt;"&amp;$H$3)</f>
        <v>271</v>
      </c>
      <c r="Z1001" s="29" t="n">
        <f aca="false">X1001-Y1001</f>
        <v>457</v>
      </c>
      <c r="AA1001" s="31" t="n">
        <f aca="false">IFERROR(Y1001/X1001,"")</f>
        <v>0.372252747252747</v>
      </c>
      <c r="AB1001" s="28"/>
      <c r="AC1001" s="28"/>
      <c r="AD1001" s="28"/>
      <c r="AE1001" s="28"/>
      <c r="AF1001" s="28"/>
    </row>
    <row r="1002" customFormat="false" ht="15" hidden="false" customHeight="true" outlineLevel="0" collapsed="false">
      <c r="A1002" s="32" t="s">
        <v>7830</v>
      </c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3" t="n">
        <f aca="false">SUM($O$5:$O$999)</f>
        <v>2401</v>
      </c>
      <c r="P1002" s="33" t="n">
        <f aca="false">SUM($P$5:$P$999)</f>
        <v>3019</v>
      </c>
      <c r="Q1002" s="33" t="n">
        <f aca="false">SUM($Q$5:$Q$999)</f>
        <v>3208</v>
      </c>
      <c r="R1002" s="33" t="n">
        <f aca="false">SUM($R$5:$R$999)</f>
        <v>498</v>
      </c>
      <c r="S1002" s="33" t="n">
        <f aca="false">SUM($S$5:$S$999)</f>
        <v>9126</v>
      </c>
      <c r="T1002" s="34" t="n">
        <f aca="false">SUM($T$5:$T$999)</f>
        <v>2876</v>
      </c>
      <c r="U1002" s="32"/>
      <c r="V1002" s="32"/>
      <c r="W1002" s="32"/>
      <c r="X1002" s="33" t="n">
        <f aca="false">SUM($X$5:$X$999)</f>
        <v>3488</v>
      </c>
      <c r="Y1002" s="33" t="n">
        <f aca="false">SUM($Y$5:$Y$999)</f>
        <v>1110</v>
      </c>
      <c r="Z1002" s="33" t="n">
        <f aca="false">X1002-Y1002</f>
        <v>2378</v>
      </c>
      <c r="AA1002" s="35" t="n">
        <f aca="false">IFERROR(Y1002/X1002,"")</f>
        <v>0.318233944954128</v>
      </c>
      <c r="AB1002" s="33" t="n">
        <f aca="false">SUM($AB$5:$AB$999)</f>
        <v>184</v>
      </c>
      <c r="AC1002" s="36" t="n">
        <f aca="false">SUM($AC$5:$AC$999)</f>
        <v>206.08</v>
      </c>
      <c r="AD1002" s="33" t="n">
        <f aca="false">SUM($AD$5:$AD$999)</f>
        <v>39</v>
      </c>
      <c r="AE1002" s="36" t="n">
        <f aca="false">AC1002-AD1002</f>
        <v>167.08</v>
      </c>
      <c r="AF1002" s="35" t="n">
        <f aca="false">IFERROR(AD1002/AC1002,"")</f>
        <v>0.189246894409938</v>
      </c>
    </row>
    <row r="1004" customFormat="false" ht="15" hidden="false" customHeight="true" outlineLevel="0" collapsed="false">
      <c r="A1004" s="37" t="s">
        <v>7831</v>
      </c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</row>
    <row r="1005" customFormat="false" ht="15" hidden="false" customHeight="true" outlineLevel="0" collapsed="false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</row>
    <row r="1006" customFormat="false" ht="15" hidden="false" customHeight="true" outlineLevel="0" collapsed="false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</row>
    <row r="1007" customFormat="false" ht="15" hidden="false" customHeight="true" outlineLevel="0" collapsed="false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</row>
    <row r="1008" customFormat="false" ht="15" hidden="false" customHeight="true" outlineLevel="0" collapsed="false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</row>
    <row r="1009" customFormat="false" ht="15" hidden="false" customHeight="true" outlineLevel="0" collapsed="false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</row>
  </sheetData>
  <autoFilter ref="A4:AF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conditionalFormatting sqref="AF5:AF999">
    <cfRule type="cellIs" priority="10" operator="greaterThanOrEqual" aboveAverage="0" equalAverage="0" bottom="0" percent="0" rank="0" text="" dxfId="17">
      <formula>1</formula>
    </cfRule>
    <cfRule type="cellIs" priority="11" operator="between" aboveAverage="0" equalAverage="0" bottom="0" percent="0" rank="0" text="" dxfId="18">
      <formula>0.75</formula>
      <formula>0.9999</formula>
    </cfRule>
    <cfRule type="cellIs" priority="12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7832</v>
      </c>
    </row>
    <row r="2" customFormat="false" ht="15" hidden="false" customHeight="true" outlineLevel="0" collapsed="false">
      <c r="A2" s="3" t="s">
        <v>7833</v>
      </c>
    </row>
    <row r="4" customFormat="false" ht="15" hidden="false" customHeight="true" outlineLevel="0" collapsed="false">
      <c r="A4" s="38" t="s">
        <v>7834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9" t="s">
        <v>7835</v>
      </c>
      <c r="D5" s="5" t="n">
        <v>3300</v>
      </c>
    </row>
    <row r="6" customFormat="false" ht="15" hidden="false" customHeight="true" outlineLevel="0" collapsed="false">
      <c r="A6" s="39" t="s">
        <v>7836</v>
      </c>
      <c r="D6" s="40" t="n">
        <v>5</v>
      </c>
    </row>
    <row r="7" customFormat="false" ht="15" hidden="false" customHeight="true" outlineLevel="0" collapsed="false">
      <c r="A7" s="39" t="s">
        <v>7837</v>
      </c>
      <c r="D7" s="40" t="n">
        <v>7</v>
      </c>
    </row>
    <row r="8" customFormat="false" ht="15" hidden="false" customHeight="true" outlineLevel="0" collapsed="false">
      <c r="A8" s="39" t="s">
        <v>7838</v>
      </c>
      <c r="D8" s="41" t="n">
        <v>31</v>
      </c>
    </row>
    <row r="10" customFormat="false" ht="15" hidden="false" customHeight="true" outlineLevel="0" collapsed="false">
      <c r="A10" s="42" t="s">
        <v>7839</v>
      </c>
      <c r="B10" s="42"/>
      <c r="C10" s="42"/>
      <c r="D10" s="42"/>
      <c r="E10" s="42"/>
      <c r="F10" s="42"/>
    </row>
    <row r="11" customFormat="false" ht="15" hidden="false" customHeight="true" outlineLevel="0" collapsed="false">
      <c r="A11" s="4" t="s">
        <v>7840</v>
      </c>
      <c r="D11" s="43" t="n">
        <f aca="false">$H$75</f>
        <v>1126</v>
      </c>
    </row>
    <row r="12" customFormat="false" ht="15" hidden="false" customHeight="true" outlineLevel="0" collapsed="false">
      <c r="A12" s="39" t="s">
        <v>7841</v>
      </c>
      <c r="D12" s="43" t="n">
        <f aca="false">$I$75</f>
        <v>578</v>
      </c>
    </row>
    <row r="13" customFormat="false" ht="15" hidden="false" customHeight="true" outlineLevel="0" collapsed="false">
      <c r="A13" s="39" t="s">
        <v>7842</v>
      </c>
      <c r="D13" s="44" t="n">
        <f aca="false">IFERROR($I$75/$H$75,"")</f>
        <v>0.513321492007105</v>
      </c>
    </row>
    <row r="14" customFormat="false" ht="15" hidden="false" customHeight="true" outlineLevel="0" collapsed="false">
      <c r="A14" s="4" t="s">
        <v>7843</v>
      </c>
      <c r="D14" s="43" t="n">
        <f aca="false">MAX(0,$D$5-IF($H$75="",0,$H$75))</f>
        <v>2174</v>
      </c>
    </row>
    <row r="15" customFormat="false" ht="15" hidden="false" customHeight="true" outlineLevel="0" collapsed="false">
      <c r="A15" s="39" t="s">
        <v>7844</v>
      </c>
      <c r="D15" s="44" t="n">
        <f aca="false">IFERROR($H$75/$D$5,"")</f>
        <v>0.341212121212121</v>
      </c>
    </row>
    <row r="16" customFormat="false" ht="15" hidden="false" customHeight="true" outlineLevel="0" collapsed="false">
      <c r="A16" s="39" t="s">
        <v>7845</v>
      </c>
      <c r="D16" s="45" t="n">
        <f aca="false">IF($H$75="",$D$6,IF($H$75&gt;=$D$5,$D$7,$D$6))</f>
        <v>5</v>
      </c>
    </row>
    <row r="17" customFormat="false" ht="15" hidden="false" customHeight="true" outlineLevel="0" collapsed="false">
      <c r="A17" s="4" t="s">
        <v>7846</v>
      </c>
      <c r="D17" s="46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2" t="s">
        <v>7847</v>
      </c>
      <c r="B19" s="42"/>
      <c r="C19" s="42"/>
      <c r="D19" s="42"/>
      <c r="E19" s="42"/>
      <c r="F19" s="42"/>
    </row>
    <row r="20" customFormat="false" ht="15" hidden="false" customHeight="true" outlineLevel="0" collapsed="false">
      <c r="A20" s="39" t="s">
        <v>7848</v>
      </c>
      <c r="D20" s="47" t="n">
        <f aca="false">COUNTIF($B$45:$B$75,"&gt;=0")</f>
        <v>10</v>
      </c>
    </row>
    <row r="21" customFormat="false" ht="15" hidden="false" customHeight="true" outlineLevel="0" collapsed="false">
      <c r="A21" s="39" t="s">
        <v>7849</v>
      </c>
      <c r="D21" s="47" t="n">
        <f aca="false">MAX(0,$D$8-$D$20)</f>
        <v>21</v>
      </c>
    </row>
    <row r="22" customFormat="false" ht="15" hidden="false" customHeight="true" outlineLevel="0" collapsed="false">
      <c r="A22" s="39" t="s">
        <v>7850</v>
      </c>
      <c r="D22" s="48" t="n">
        <f aca="false">IFERROR($H$75/$D$20,"")</f>
        <v>112.6</v>
      </c>
    </row>
    <row r="23" customFormat="false" ht="15" hidden="false" customHeight="true" outlineLevel="0" collapsed="false">
      <c r="A23" s="4" t="s">
        <v>7851</v>
      </c>
      <c r="D23" s="43" t="n">
        <f aca="false">IFERROR(ROUND($H$75/$D$20*$D$8,0),"")</f>
        <v>3491</v>
      </c>
    </row>
    <row r="24" customFormat="false" ht="15" hidden="false" customHeight="true" outlineLevel="0" collapsed="false">
      <c r="A24" s="39" t="s">
        <v>7852</v>
      </c>
      <c r="D24" s="43" t="n">
        <f aca="false">MAX(0,$D$5-IF($H$75="",0,$H$75))</f>
        <v>2174</v>
      </c>
    </row>
    <row r="25" customFormat="false" ht="15" hidden="false" customHeight="true" outlineLevel="0" collapsed="false">
      <c r="A25" s="39" t="s">
        <v>7853</v>
      </c>
      <c r="D25" s="48" t="n">
        <f aca="false">IFERROR(IF($D$21=0,0,$D$24/$D$21),"")</f>
        <v>103.52380952381</v>
      </c>
    </row>
    <row r="26" customFormat="false" ht="15" hidden="false" customHeight="true" outlineLevel="0" collapsed="false">
      <c r="A26" s="4" t="s">
        <v>7854</v>
      </c>
      <c r="D26" s="46" t="str">
        <f aca="false">IF($D$23="","",IF($D$23&gt;=$D$5,"ON PACE","BEHIND"))</f>
        <v>ON PACE</v>
      </c>
    </row>
    <row r="28" customFormat="false" ht="15" hidden="false" customHeight="true" outlineLevel="0" collapsed="false">
      <c r="A28" s="49" t="s">
        <v>7855</v>
      </c>
      <c r="B28" s="49"/>
      <c r="C28" s="49"/>
      <c r="D28" s="49"/>
      <c r="E28" s="49"/>
      <c r="F28" s="49"/>
    </row>
    <row r="29" customFormat="false" ht="15" hidden="false" customHeight="true" outlineLevel="0" collapsed="false">
      <c r="A29" s="39" t="s">
        <v>7856</v>
      </c>
      <c r="D29" s="43" t="n">
        <f aca="false">$I$75</f>
        <v>578</v>
      </c>
    </row>
    <row r="30" customFormat="false" ht="15" hidden="false" customHeight="true" outlineLevel="0" collapsed="false">
      <c r="A30" s="4" t="s">
        <v>7857</v>
      </c>
      <c r="D30" s="45" t="n">
        <f aca="false">IF($I$75="",0,$I$75*$D$16)</f>
        <v>2890</v>
      </c>
    </row>
    <row r="31" customFormat="false" ht="15" hidden="false" customHeight="true" outlineLevel="0" collapsed="false">
      <c r="A31" s="50" t="s">
        <v>7858</v>
      </c>
    </row>
    <row r="32" customFormat="false" ht="15" hidden="false" customHeight="true" outlineLevel="0" collapsed="false">
      <c r="A32" s="39" t="s">
        <v>7859</v>
      </c>
      <c r="D32" s="43" t="n">
        <f aca="false">IFERROR(ROUND($D$23*$D$13,0),"")</f>
        <v>1792</v>
      </c>
    </row>
    <row r="33" customFormat="false" ht="15" hidden="false" customHeight="true" outlineLevel="0" collapsed="false">
      <c r="A33" s="39" t="s">
        <v>7860</v>
      </c>
      <c r="D33" s="45" t="n">
        <f aca="false">IFERROR($D$32*$D$6,"")</f>
        <v>8960</v>
      </c>
    </row>
    <row r="34" customFormat="false" ht="15" hidden="false" customHeight="true" outlineLevel="0" collapsed="false">
      <c r="A34" s="39" t="s">
        <v>7861</v>
      </c>
      <c r="D34" s="45" t="n">
        <f aca="false">IFERROR($D$32*$D$7,"")</f>
        <v>12544</v>
      </c>
    </row>
    <row r="35" customFormat="false" ht="15" hidden="false" customHeight="true" outlineLevel="0" collapsed="false">
      <c r="A35" s="4" t="s">
        <v>7862</v>
      </c>
      <c r="D35" s="51" t="n">
        <f aca="false">IFERROR($D$34-$D$33,"")</f>
        <v>3584</v>
      </c>
    </row>
    <row r="36" customFormat="false" ht="15" hidden="false" customHeight="true" outlineLevel="0" collapsed="false">
      <c r="A36" s="39" t="s">
        <v>7863</v>
      </c>
      <c r="D36" s="45" t="n">
        <f aca="false">IF($I$75="",0,$I$75*($D$7-$D$6))</f>
        <v>1156</v>
      </c>
    </row>
    <row r="38" customFormat="false" ht="15" hidden="false" customHeight="true" outlineLevel="0" collapsed="false">
      <c r="A38" s="49" t="s">
        <v>7864</v>
      </c>
      <c r="B38" s="49"/>
      <c r="C38" s="49"/>
      <c r="D38" s="49"/>
      <c r="E38" s="49"/>
      <c r="F38" s="49"/>
    </row>
    <row r="39" customFormat="false" ht="15" hidden="false" customHeight="true" outlineLevel="0" collapsed="false">
      <c r="A39" s="3" t="s">
        <v>7865</v>
      </c>
    </row>
    <row r="44" customFormat="false" ht="33.75" hidden="false" customHeight="true" outlineLevel="0" collapsed="false">
      <c r="A44" s="11" t="s">
        <v>7866</v>
      </c>
      <c r="B44" s="11" t="s">
        <v>7867</v>
      </c>
      <c r="C44" s="11" t="s">
        <v>7868</v>
      </c>
      <c r="D44" s="11" t="s">
        <v>7869</v>
      </c>
      <c r="E44" s="11" t="s">
        <v>7870</v>
      </c>
      <c r="F44" s="12" t="s">
        <v>27</v>
      </c>
      <c r="G44" s="12" t="s">
        <v>7871</v>
      </c>
      <c r="H44" s="12" t="s">
        <v>7872</v>
      </c>
      <c r="I44" s="12" t="s">
        <v>7873</v>
      </c>
      <c r="J44" s="12" t="s">
        <v>7874</v>
      </c>
      <c r="K44" s="12" t="s">
        <v>7875</v>
      </c>
    </row>
    <row r="45" customFormat="false" ht="15" hidden="false" customHeight="true" outlineLevel="0" collapsed="false">
      <c r="A45" s="52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3" t="n">
        <f aca="false">IFERROR(H45/$D$5,"")</f>
        <v>0.026969696969697</v>
      </c>
      <c r="K45" s="54" t="n">
        <f aca="false">IF(H45="","",IF(H45&gt;=$D$5,$D$7,$D$6))</f>
        <v>5</v>
      </c>
    </row>
    <row r="46" customFormat="false" ht="15" hidden="false" customHeight="true" outlineLevel="0" collapsed="false">
      <c r="A46" s="52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3" t="n">
        <f aca="false">IFERROR(H46/$D$5,"")</f>
        <v>0.0633333333333333</v>
      </c>
      <c r="K46" s="54" t="n">
        <f aca="false">IF(H46="","",IF(H46&gt;=$D$5,$D$7,$D$6))</f>
        <v>5</v>
      </c>
    </row>
    <row r="47" customFormat="false" ht="15" hidden="false" customHeight="true" outlineLevel="0" collapsed="false">
      <c r="A47" s="52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3" t="n">
        <f aca="false">IFERROR(H47/$D$5,"")</f>
        <v>0.104545454545455</v>
      </c>
      <c r="K47" s="54" t="n">
        <f aca="false">IF(H47="","",IF(H47&gt;=$D$5,$D$7,$D$6))</f>
        <v>5</v>
      </c>
    </row>
    <row r="48" customFormat="false" ht="15" hidden="false" customHeight="true" outlineLevel="0" collapsed="false">
      <c r="A48" s="52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3" t="n">
        <f aca="false">IFERROR(H48/$D$5,"")</f>
        <v>0.12969696969697</v>
      </c>
      <c r="K48" s="54" t="n">
        <f aca="false">IF(H48="","",IF(H48&gt;=$D$5,$D$7,$D$6))</f>
        <v>5</v>
      </c>
    </row>
    <row r="49" customFormat="false" ht="15" hidden="false" customHeight="true" outlineLevel="0" collapsed="false">
      <c r="A49" s="52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3" t="n">
        <f aca="false">IFERROR(H49/$D$5,"")</f>
        <v>0.162424242424242</v>
      </c>
      <c r="K49" s="54" t="n">
        <f aca="false">IF(H49="","",IF(H49&gt;=$D$5,$D$7,$D$6))</f>
        <v>5</v>
      </c>
    </row>
    <row r="50" customFormat="false" ht="15" hidden="false" customHeight="true" outlineLevel="0" collapsed="false">
      <c r="A50" s="52" t="n">
        <v>46240</v>
      </c>
      <c r="B50" s="20" t="n">
        <v>20</v>
      </c>
      <c r="C50" s="20" t="n">
        <v>27</v>
      </c>
      <c r="D50" s="20" t="n">
        <v>0</v>
      </c>
      <c r="E50" s="20" t="n">
        <v>52</v>
      </c>
      <c r="F50" s="19" t="n">
        <f aca="false">IF(COUNT(B50:E50)=0,"",SUM(B50:E50))</f>
        <v>99</v>
      </c>
      <c r="G50" s="15" t="n">
        <f aca="false">IF(COUNT(B50:D50)=0,"",SUM(B50:D50))</f>
        <v>47</v>
      </c>
      <c r="H50" s="19" t="n">
        <f aca="false">IF(COUNT($B$45:$E50)=0,"",SUM($F$45:F50))</f>
        <v>635</v>
      </c>
      <c r="I50" s="15" t="n">
        <f aca="false">IF(COUNT($B$45:$D50)=0,"",SUM($G$45:G50))</f>
        <v>383</v>
      </c>
      <c r="J50" s="53" t="n">
        <f aca="false">IFERROR(H50/$D$5,"")</f>
        <v>0.192424242424242</v>
      </c>
      <c r="K50" s="54" t="n">
        <f aca="false">IF(H50="","",IF(H50&gt;=$D$5,$D$7,$D$6))</f>
        <v>5</v>
      </c>
    </row>
    <row r="51" customFormat="false" ht="15" hidden="false" customHeight="true" outlineLevel="0" collapsed="false">
      <c r="A51" s="52" t="n">
        <v>46241</v>
      </c>
      <c r="B51" s="20" t="n">
        <v>25</v>
      </c>
      <c r="C51" s="20" t="n">
        <v>29</v>
      </c>
      <c r="D51" s="20" t="n">
        <v>0</v>
      </c>
      <c r="E51" s="20" t="n">
        <v>69</v>
      </c>
      <c r="F51" s="19" t="n">
        <f aca="false">IF(COUNT(B51:E51)=0,"",SUM(B51:E51))</f>
        <v>123</v>
      </c>
      <c r="G51" s="15" t="n">
        <f aca="false">IF(COUNT(B51:D51)=0,"",SUM(B51:D51))</f>
        <v>54</v>
      </c>
      <c r="H51" s="19" t="n">
        <f aca="false">IF(COUNT($B$45:$E51)=0,"",SUM($F$45:F51))</f>
        <v>758</v>
      </c>
      <c r="I51" s="15" t="n">
        <f aca="false">IF(COUNT($B$45:$D51)=0,"",SUM($G$45:G51))</f>
        <v>437</v>
      </c>
      <c r="J51" s="53" t="n">
        <f aca="false">IFERROR(H51/$D$5,"")</f>
        <v>0.22969696969697</v>
      </c>
      <c r="K51" s="54" t="n">
        <f aca="false">IF(H51="","",IF(H51&gt;=$D$5,$D$7,$D$6))</f>
        <v>5</v>
      </c>
    </row>
    <row r="52" customFormat="false" ht="15" hidden="false" customHeight="true" outlineLevel="0" collapsed="false">
      <c r="A52" s="52" t="n">
        <v>46242</v>
      </c>
      <c r="B52" s="20" t="n">
        <v>8</v>
      </c>
      <c r="C52" s="20" t="n">
        <v>39</v>
      </c>
      <c r="D52" s="20" t="n">
        <v>0</v>
      </c>
      <c r="E52" s="20" t="n">
        <v>26</v>
      </c>
      <c r="F52" s="19" t="n">
        <f aca="false">IF(COUNT(B52:E52)=0,"",SUM(B52:E52))</f>
        <v>73</v>
      </c>
      <c r="G52" s="15" t="n">
        <f aca="false">IF(COUNT(B52:D52)=0,"",SUM(B52:D52))</f>
        <v>47</v>
      </c>
      <c r="H52" s="19" t="n">
        <f aca="false">IF(COUNT($B$45:$E52)=0,"",SUM($F$45:F52))</f>
        <v>831</v>
      </c>
      <c r="I52" s="15" t="n">
        <f aca="false">IF(COUNT($B$45:$D52)=0,"",SUM($G$45:G52))</f>
        <v>484</v>
      </c>
      <c r="J52" s="53" t="n">
        <f aca="false">IFERROR(H52/$D$5,"")</f>
        <v>0.251818181818182</v>
      </c>
      <c r="K52" s="54" t="n">
        <f aca="false">IF(H52="","",IF(H52&gt;=$D$5,$D$7,$D$6))</f>
        <v>5</v>
      </c>
    </row>
    <row r="53" customFormat="false" ht="15" hidden="false" customHeight="true" outlineLevel="0" collapsed="false">
      <c r="A53" s="52" t="n">
        <v>46243</v>
      </c>
      <c r="B53" s="20" t="n">
        <v>3</v>
      </c>
      <c r="C53" s="20" t="n">
        <v>31</v>
      </c>
      <c r="D53" s="20" t="n">
        <v>1</v>
      </c>
      <c r="E53" s="20" t="n">
        <v>81</v>
      </c>
      <c r="F53" s="19" t="n">
        <f aca="false">IF(COUNT(B53:E53)=0,"",SUM(B53:E53))</f>
        <v>116</v>
      </c>
      <c r="G53" s="15" t="n">
        <f aca="false">IF(COUNT(B53:D53)=0,"",SUM(B53:D53))</f>
        <v>35</v>
      </c>
      <c r="H53" s="19" t="n">
        <f aca="false">IF(COUNT($B$45:$E53)=0,"",SUM($F$45:F53))</f>
        <v>947</v>
      </c>
      <c r="I53" s="15" t="n">
        <f aca="false">IF(COUNT($B$45:$D53)=0,"",SUM($G$45:G53))</f>
        <v>519</v>
      </c>
      <c r="J53" s="53" t="n">
        <f aca="false">IFERROR(H53/$D$5,"")</f>
        <v>0.286969696969697</v>
      </c>
      <c r="K53" s="54" t="n">
        <f aca="false">IF(H53="","",IF(H53&gt;=$D$5,$D$7,$D$6))</f>
        <v>5</v>
      </c>
    </row>
    <row r="54" customFormat="false" ht="15" hidden="false" customHeight="true" outlineLevel="0" collapsed="false">
      <c r="A54" s="52" t="n">
        <v>46244</v>
      </c>
      <c r="B54" s="20" t="n">
        <v>25</v>
      </c>
      <c r="C54" s="20" t="n">
        <v>33</v>
      </c>
      <c r="D54" s="20" t="n">
        <v>1</v>
      </c>
      <c r="E54" s="20" t="n">
        <v>120</v>
      </c>
      <c r="F54" s="19" t="n">
        <f aca="false">IF(COUNT(B54:E54)=0,"",SUM(B54:E54))</f>
        <v>179</v>
      </c>
      <c r="G54" s="15" t="n">
        <f aca="false">IF(COUNT(B54:D54)=0,"",SUM(B54:D54))</f>
        <v>59</v>
      </c>
      <c r="H54" s="19" t="n">
        <f aca="false">IF(COUNT($B$45:$E54)=0,"",SUM($F$45:F54))</f>
        <v>1126</v>
      </c>
      <c r="I54" s="15" t="n">
        <f aca="false">IF(COUNT($B$45:$D54)=0,"",SUM($G$45:G54))</f>
        <v>578</v>
      </c>
      <c r="J54" s="53" t="n">
        <f aca="false">IFERROR(H54/$D$5,"")</f>
        <v>0.341212121212121</v>
      </c>
      <c r="K54" s="54" t="n">
        <f aca="false">IF(H54="","",IF(H54&gt;=$D$5,$D$7,$D$6))</f>
        <v>5</v>
      </c>
    </row>
    <row r="55" customFormat="false" ht="15" hidden="false" customHeight="true" outlineLevel="0" collapsed="false">
      <c r="A55" s="52" t="n">
        <v>46245</v>
      </c>
      <c r="B55" s="20"/>
      <c r="C55" s="20"/>
      <c r="D55" s="20"/>
      <c r="E55" s="20"/>
      <c r="F55" s="19" t="str">
        <f aca="false">IF(COUNT(B55:E55)=0,"",SUM(B55:E55))</f>
        <v/>
      </c>
      <c r="G55" s="15" t="str">
        <f aca="false">IF(COUNT(B55:D55)=0,"",SUM(B55:D55))</f>
        <v/>
      </c>
      <c r="H55" s="19" t="n">
        <f aca="false">IF(COUNT($B$45:$E55)=0,"",SUM($F$45:F55))</f>
        <v>1126</v>
      </c>
      <c r="I55" s="15" t="n">
        <f aca="false">IF(COUNT($B$45:$D55)=0,"",SUM($G$45:G55))</f>
        <v>578</v>
      </c>
      <c r="J55" s="53" t="n">
        <f aca="false">IFERROR(H55/$D$5,"")</f>
        <v>0.341212121212121</v>
      </c>
      <c r="K55" s="54" t="n">
        <f aca="false">IF(H55="","",IF(H55&gt;=$D$5,$D$7,$D$6))</f>
        <v>5</v>
      </c>
    </row>
    <row r="56" customFormat="false" ht="15" hidden="false" customHeight="true" outlineLevel="0" collapsed="false">
      <c r="A56" s="52" t="n">
        <v>46246</v>
      </c>
      <c r="B56" s="20"/>
      <c r="C56" s="20"/>
      <c r="D56" s="20"/>
      <c r="E56" s="20"/>
      <c r="F56" s="19" t="str">
        <f aca="false">IF(COUNT(B56:E56)=0,"",SUM(B56:E56))</f>
        <v/>
      </c>
      <c r="G56" s="15" t="str">
        <f aca="false">IF(COUNT(B56:D56)=0,"",SUM(B56:D56))</f>
        <v/>
      </c>
      <c r="H56" s="19" t="n">
        <f aca="false">IF(COUNT($B$45:$E56)=0,"",SUM($F$45:F56))</f>
        <v>1126</v>
      </c>
      <c r="I56" s="15" t="n">
        <f aca="false">IF(COUNT($B$45:$D56)=0,"",SUM($G$45:G56))</f>
        <v>578</v>
      </c>
      <c r="J56" s="53" t="n">
        <f aca="false">IFERROR(H56/$D$5,"")</f>
        <v>0.341212121212121</v>
      </c>
      <c r="K56" s="54" t="n">
        <f aca="false">IF(H56="","",IF(H56&gt;=$D$5,$D$7,$D$6))</f>
        <v>5</v>
      </c>
    </row>
    <row r="57" customFormat="false" ht="15" hidden="false" customHeight="true" outlineLevel="0" collapsed="false">
      <c r="A57" s="52" t="n">
        <v>46247</v>
      </c>
      <c r="B57" s="20"/>
      <c r="C57" s="20"/>
      <c r="D57" s="20"/>
      <c r="E57" s="20"/>
      <c r="F57" s="19" t="str">
        <f aca="false">IF(COUNT(B57:E57)=0,"",SUM(B57:E57))</f>
        <v/>
      </c>
      <c r="G57" s="15" t="str">
        <f aca="false">IF(COUNT(B57:D57)=0,"",SUM(B57:D57))</f>
        <v/>
      </c>
      <c r="H57" s="19" t="n">
        <f aca="false">IF(COUNT($B$45:$E57)=0,"",SUM($F$45:F57))</f>
        <v>1126</v>
      </c>
      <c r="I57" s="15" t="n">
        <f aca="false">IF(COUNT($B$45:$D57)=0,"",SUM($G$45:G57))</f>
        <v>578</v>
      </c>
      <c r="J57" s="53" t="n">
        <f aca="false">IFERROR(H57/$D$5,"")</f>
        <v>0.341212121212121</v>
      </c>
      <c r="K57" s="54" t="n">
        <f aca="false">IF(H57="","",IF(H57&gt;=$D$5,$D$7,$D$6))</f>
        <v>5</v>
      </c>
    </row>
    <row r="58" customFormat="false" ht="15" hidden="false" customHeight="true" outlineLevel="0" collapsed="false">
      <c r="A58" s="52" t="n">
        <v>46248</v>
      </c>
      <c r="B58" s="20"/>
      <c r="C58" s="20"/>
      <c r="D58" s="20"/>
      <c r="E58" s="20"/>
      <c r="F58" s="19" t="str">
        <f aca="false">IF(COUNT(B58:E58)=0,"",SUM(B58:E58))</f>
        <v/>
      </c>
      <c r="G58" s="15" t="str">
        <f aca="false">IF(COUNT(B58:D58)=0,"",SUM(B58:D58))</f>
        <v/>
      </c>
      <c r="H58" s="19" t="n">
        <f aca="false">IF(COUNT($B$45:$E58)=0,"",SUM($F$45:F58))</f>
        <v>1126</v>
      </c>
      <c r="I58" s="15" t="n">
        <f aca="false">IF(COUNT($B$45:$D58)=0,"",SUM($G$45:G58))</f>
        <v>578</v>
      </c>
      <c r="J58" s="53" t="n">
        <f aca="false">IFERROR(H58/$D$5,"")</f>
        <v>0.341212121212121</v>
      </c>
      <c r="K58" s="54" t="n">
        <f aca="false">IF(H58="","",IF(H58&gt;=$D$5,$D$7,$D$6))</f>
        <v>5</v>
      </c>
    </row>
    <row r="59" customFormat="false" ht="15" hidden="false" customHeight="true" outlineLevel="0" collapsed="false">
      <c r="A59" s="52" t="n">
        <v>46249</v>
      </c>
      <c r="B59" s="20"/>
      <c r="C59" s="20"/>
      <c r="D59" s="20"/>
      <c r="E59" s="20"/>
      <c r="F59" s="19" t="str">
        <f aca="false">IF(COUNT(B59:E59)=0,"",SUM(B59:E59))</f>
        <v/>
      </c>
      <c r="G59" s="15" t="str">
        <f aca="false">IF(COUNT(B59:D59)=0,"",SUM(B59:D59))</f>
        <v/>
      </c>
      <c r="H59" s="19" t="n">
        <f aca="false">IF(COUNT($B$45:$E59)=0,"",SUM($F$45:F59))</f>
        <v>1126</v>
      </c>
      <c r="I59" s="15" t="n">
        <f aca="false">IF(COUNT($B$45:$D59)=0,"",SUM($G$45:G59))</f>
        <v>578</v>
      </c>
      <c r="J59" s="53" t="n">
        <f aca="false">IFERROR(H59/$D$5,"")</f>
        <v>0.341212121212121</v>
      </c>
      <c r="K59" s="54" t="n">
        <f aca="false">IF(H59="","",IF(H59&gt;=$D$5,$D$7,$D$6))</f>
        <v>5</v>
      </c>
    </row>
    <row r="60" customFormat="false" ht="15" hidden="false" customHeight="true" outlineLevel="0" collapsed="false">
      <c r="A60" s="52" t="n">
        <v>46250</v>
      </c>
      <c r="B60" s="20"/>
      <c r="C60" s="20"/>
      <c r="D60" s="20"/>
      <c r="E60" s="20"/>
      <c r="F60" s="19" t="str">
        <f aca="false">IF(COUNT(B60:E60)=0,"",SUM(B60:E60))</f>
        <v/>
      </c>
      <c r="G60" s="15" t="str">
        <f aca="false">IF(COUNT(B60:D60)=0,"",SUM(B60:D60))</f>
        <v/>
      </c>
      <c r="H60" s="19" t="n">
        <f aca="false">IF(COUNT($B$45:$E60)=0,"",SUM($F$45:F60))</f>
        <v>1126</v>
      </c>
      <c r="I60" s="15" t="n">
        <f aca="false">IF(COUNT($B$45:$D60)=0,"",SUM($G$45:G60))</f>
        <v>578</v>
      </c>
      <c r="J60" s="53" t="n">
        <f aca="false">IFERROR(H60/$D$5,"")</f>
        <v>0.341212121212121</v>
      </c>
      <c r="K60" s="54" t="n">
        <f aca="false">IF(H60="","",IF(H60&gt;=$D$5,$D$7,$D$6))</f>
        <v>5</v>
      </c>
    </row>
    <row r="61" customFormat="false" ht="15" hidden="false" customHeight="true" outlineLevel="0" collapsed="false">
      <c r="A61" s="52" t="n">
        <v>46251</v>
      </c>
      <c r="B61" s="20"/>
      <c r="C61" s="20"/>
      <c r="D61" s="20"/>
      <c r="E61" s="20"/>
      <c r="F61" s="19" t="str">
        <f aca="false">IF(COUNT(B61:E61)=0,"",SUM(B61:E61))</f>
        <v/>
      </c>
      <c r="G61" s="15" t="str">
        <f aca="false">IF(COUNT(B61:D61)=0,"",SUM(B61:D61))</f>
        <v/>
      </c>
      <c r="H61" s="19" t="n">
        <f aca="false">IF(COUNT($B$45:$E61)=0,"",SUM($F$45:F61))</f>
        <v>1126</v>
      </c>
      <c r="I61" s="15" t="n">
        <f aca="false">IF(COUNT($B$45:$D61)=0,"",SUM($G$45:G61))</f>
        <v>578</v>
      </c>
      <c r="J61" s="53" t="n">
        <f aca="false">IFERROR(H61/$D$5,"")</f>
        <v>0.341212121212121</v>
      </c>
      <c r="K61" s="54" t="n">
        <f aca="false">IF(H61="","",IF(H61&gt;=$D$5,$D$7,$D$6))</f>
        <v>5</v>
      </c>
    </row>
    <row r="62" customFormat="false" ht="15" hidden="false" customHeight="true" outlineLevel="0" collapsed="false">
      <c r="A62" s="52" t="n">
        <v>46252</v>
      </c>
      <c r="B62" s="20"/>
      <c r="C62" s="20"/>
      <c r="D62" s="20"/>
      <c r="E62" s="20"/>
      <c r="F62" s="19" t="str">
        <f aca="false">IF(COUNT(B62:E62)=0,"",SUM(B62:E62))</f>
        <v/>
      </c>
      <c r="G62" s="15" t="str">
        <f aca="false">IF(COUNT(B62:D62)=0,"",SUM(B62:D62))</f>
        <v/>
      </c>
      <c r="H62" s="19" t="n">
        <f aca="false">IF(COUNT($B$45:$E62)=0,"",SUM($F$45:F62))</f>
        <v>1126</v>
      </c>
      <c r="I62" s="15" t="n">
        <f aca="false">IF(COUNT($B$45:$D62)=0,"",SUM($G$45:G62))</f>
        <v>578</v>
      </c>
      <c r="J62" s="53" t="n">
        <f aca="false">IFERROR(H62/$D$5,"")</f>
        <v>0.341212121212121</v>
      </c>
      <c r="K62" s="54" t="n">
        <f aca="false">IF(H62="","",IF(H62&gt;=$D$5,$D$7,$D$6))</f>
        <v>5</v>
      </c>
    </row>
    <row r="63" customFormat="false" ht="15" hidden="false" customHeight="true" outlineLevel="0" collapsed="false">
      <c r="A63" s="52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1126</v>
      </c>
      <c r="I63" s="15" t="n">
        <f aca="false">IF(COUNT($B$45:$D63)=0,"",SUM($G$45:G63))</f>
        <v>578</v>
      </c>
      <c r="J63" s="53" t="n">
        <f aca="false">IFERROR(H63/$D$5,"")</f>
        <v>0.341212121212121</v>
      </c>
      <c r="K63" s="54" t="n">
        <f aca="false">IF(H63="","",IF(H63&gt;=$D$5,$D$7,$D$6))</f>
        <v>5</v>
      </c>
    </row>
    <row r="64" customFormat="false" ht="15" hidden="false" customHeight="true" outlineLevel="0" collapsed="false">
      <c r="A64" s="52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1126</v>
      </c>
      <c r="I64" s="15" t="n">
        <f aca="false">IF(COUNT($B$45:$D64)=0,"",SUM($G$45:G64))</f>
        <v>578</v>
      </c>
      <c r="J64" s="53" t="n">
        <f aca="false">IFERROR(H64/$D$5,"")</f>
        <v>0.341212121212121</v>
      </c>
      <c r="K64" s="54" t="n">
        <f aca="false">IF(H64="","",IF(H64&gt;=$D$5,$D$7,$D$6))</f>
        <v>5</v>
      </c>
    </row>
    <row r="65" customFormat="false" ht="15" hidden="false" customHeight="true" outlineLevel="0" collapsed="false">
      <c r="A65" s="52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1126</v>
      </c>
      <c r="I65" s="15" t="n">
        <f aca="false">IF(COUNT($B$45:$D65)=0,"",SUM($G$45:G65))</f>
        <v>578</v>
      </c>
      <c r="J65" s="53" t="n">
        <f aca="false">IFERROR(H65/$D$5,"")</f>
        <v>0.341212121212121</v>
      </c>
      <c r="K65" s="54" t="n">
        <f aca="false">IF(H65="","",IF(H65&gt;=$D$5,$D$7,$D$6))</f>
        <v>5</v>
      </c>
    </row>
    <row r="66" customFormat="false" ht="15" hidden="false" customHeight="true" outlineLevel="0" collapsed="false">
      <c r="A66" s="52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1126</v>
      </c>
      <c r="I66" s="15" t="n">
        <f aca="false">IF(COUNT($B$45:$D66)=0,"",SUM($G$45:G66))</f>
        <v>578</v>
      </c>
      <c r="J66" s="53" t="n">
        <f aca="false">IFERROR(H66/$D$5,"")</f>
        <v>0.341212121212121</v>
      </c>
      <c r="K66" s="54" t="n">
        <f aca="false">IF(H66="","",IF(H66&gt;=$D$5,$D$7,$D$6))</f>
        <v>5</v>
      </c>
    </row>
    <row r="67" customFormat="false" ht="15" hidden="false" customHeight="true" outlineLevel="0" collapsed="false">
      <c r="A67" s="52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1126</v>
      </c>
      <c r="I67" s="15" t="n">
        <f aca="false">IF(COUNT($B$45:$D67)=0,"",SUM($G$45:G67))</f>
        <v>578</v>
      </c>
      <c r="J67" s="53" t="n">
        <f aca="false">IFERROR(H67/$D$5,"")</f>
        <v>0.341212121212121</v>
      </c>
      <c r="K67" s="54" t="n">
        <f aca="false">IF(H67="","",IF(H67&gt;=$D$5,$D$7,$D$6))</f>
        <v>5</v>
      </c>
    </row>
    <row r="68" customFormat="false" ht="15" hidden="false" customHeight="true" outlineLevel="0" collapsed="false">
      <c r="A68" s="52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1126</v>
      </c>
      <c r="I68" s="15" t="n">
        <f aca="false">IF(COUNT($B$45:$D68)=0,"",SUM($G$45:G68))</f>
        <v>578</v>
      </c>
      <c r="J68" s="53" t="n">
        <f aca="false">IFERROR(H68/$D$5,"")</f>
        <v>0.341212121212121</v>
      </c>
      <c r="K68" s="54" t="n">
        <f aca="false">IF(H68="","",IF(H68&gt;=$D$5,$D$7,$D$6))</f>
        <v>5</v>
      </c>
    </row>
    <row r="69" customFormat="false" ht="15" hidden="false" customHeight="true" outlineLevel="0" collapsed="false">
      <c r="A69" s="52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1126</v>
      </c>
      <c r="I69" s="15" t="n">
        <f aca="false">IF(COUNT($B$45:$D69)=0,"",SUM($G$45:G69))</f>
        <v>578</v>
      </c>
      <c r="J69" s="53" t="n">
        <f aca="false">IFERROR(H69/$D$5,"")</f>
        <v>0.341212121212121</v>
      </c>
      <c r="K69" s="54" t="n">
        <f aca="false">IF(H69="","",IF(H69&gt;=$D$5,$D$7,$D$6))</f>
        <v>5</v>
      </c>
    </row>
    <row r="70" customFormat="false" ht="15" hidden="false" customHeight="true" outlineLevel="0" collapsed="false">
      <c r="A70" s="52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1126</v>
      </c>
      <c r="I70" s="15" t="n">
        <f aca="false">IF(COUNT($B$45:$D70)=0,"",SUM($G$45:G70))</f>
        <v>578</v>
      </c>
      <c r="J70" s="53" t="n">
        <f aca="false">IFERROR(H70/$D$5,"")</f>
        <v>0.341212121212121</v>
      </c>
      <c r="K70" s="54" t="n">
        <f aca="false">IF(H70="","",IF(H70&gt;=$D$5,$D$7,$D$6))</f>
        <v>5</v>
      </c>
    </row>
    <row r="71" customFormat="false" ht="15" hidden="false" customHeight="true" outlineLevel="0" collapsed="false">
      <c r="A71" s="52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1126</v>
      </c>
      <c r="I71" s="15" t="n">
        <f aca="false">IF(COUNT($B$45:$D71)=0,"",SUM($G$45:G71))</f>
        <v>578</v>
      </c>
      <c r="J71" s="53" t="n">
        <f aca="false">IFERROR(H71/$D$5,"")</f>
        <v>0.341212121212121</v>
      </c>
      <c r="K71" s="54" t="n">
        <f aca="false">IF(H71="","",IF(H71&gt;=$D$5,$D$7,$D$6))</f>
        <v>5</v>
      </c>
    </row>
    <row r="72" customFormat="false" ht="15" hidden="false" customHeight="true" outlineLevel="0" collapsed="false">
      <c r="A72" s="52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1126</v>
      </c>
      <c r="I72" s="15" t="n">
        <f aca="false">IF(COUNT($B$45:$D72)=0,"",SUM($G$45:G72))</f>
        <v>578</v>
      </c>
      <c r="J72" s="53" t="n">
        <f aca="false">IFERROR(H72/$D$5,"")</f>
        <v>0.341212121212121</v>
      </c>
      <c r="K72" s="54" t="n">
        <f aca="false">IF(H72="","",IF(H72&gt;=$D$5,$D$7,$D$6))</f>
        <v>5</v>
      </c>
    </row>
    <row r="73" customFormat="false" ht="15" hidden="false" customHeight="true" outlineLevel="0" collapsed="false">
      <c r="A73" s="52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1126</v>
      </c>
      <c r="I73" s="15" t="n">
        <f aca="false">IF(COUNT($B$45:$D73)=0,"",SUM($G$45:G73))</f>
        <v>578</v>
      </c>
      <c r="J73" s="53" t="n">
        <f aca="false">IFERROR(H73/$D$5,"")</f>
        <v>0.341212121212121</v>
      </c>
      <c r="K73" s="54" t="n">
        <f aca="false">IF(H73="","",IF(H73&gt;=$D$5,$D$7,$D$6))</f>
        <v>5</v>
      </c>
    </row>
    <row r="74" customFormat="false" ht="15" hidden="false" customHeight="true" outlineLevel="0" collapsed="false">
      <c r="A74" s="52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1126</v>
      </c>
      <c r="I74" s="15" t="n">
        <f aca="false">IF(COUNT($B$45:$D74)=0,"",SUM($G$45:G74))</f>
        <v>578</v>
      </c>
      <c r="J74" s="53" t="n">
        <f aca="false">IFERROR(H74/$D$5,"")</f>
        <v>0.341212121212121</v>
      </c>
      <c r="K74" s="54" t="n">
        <f aca="false">IF(H74="","",IF(H74&gt;=$D$5,$D$7,$D$6))</f>
        <v>5</v>
      </c>
    </row>
    <row r="75" customFormat="false" ht="15" hidden="false" customHeight="true" outlineLevel="0" collapsed="false">
      <c r="A75" s="52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1126</v>
      </c>
      <c r="I75" s="15" t="n">
        <f aca="false">IF(COUNT($B$45:$D75)=0,"",SUM($G$45:G75))</f>
        <v>578</v>
      </c>
      <c r="J75" s="53" t="n">
        <f aca="false">IFERROR(H75/$D$5,"")</f>
        <v>0.341212121212121</v>
      </c>
      <c r="K75" s="54" t="n">
        <f aca="false">IF(H75="","",IF(H75&gt;=$D$5,$D$7,$D$6))</f>
        <v>5</v>
      </c>
    </row>
    <row r="76" customFormat="false" ht="15" hidden="false" customHeight="true" outlineLevel="0" collapsed="false">
      <c r="A76" s="55" t="s">
        <v>7876</v>
      </c>
      <c r="B76" s="56" t="n">
        <f aca="false">SUM(B45:B75)</f>
        <v>264</v>
      </c>
      <c r="C76" s="56" t="n">
        <f aca="false">SUM(C45:C75)</f>
        <v>307</v>
      </c>
      <c r="D76" s="56" t="n">
        <f aca="false">SUM(D45:D75)</f>
        <v>7</v>
      </c>
      <c r="E76" s="56" t="n">
        <f aca="false">SUM(E45:E75)</f>
        <v>548</v>
      </c>
      <c r="F76" s="56" t="n">
        <f aca="false">SUM(F45:F75)</f>
        <v>1126</v>
      </c>
      <c r="G76" s="56" t="n">
        <f aca="false">SUM(G45:G75)</f>
        <v>578</v>
      </c>
      <c r="H76" s="55"/>
      <c r="I76" s="55"/>
      <c r="J76" s="55"/>
      <c r="K76" s="55"/>
    </row>
    <row r="78" customFormat="false" ht="15" hidden="false" customHeight="true" outlineLevel="0" collapsed="false">
      <c r="A78" s="37" t="s">
        <v>7877</v>
      </c>
      <c r="B78" s="37"/>
      <c r="C78" s="37"/>
      <c r="D78" s="37"/>
      <c r="E78" s="37"/>
      <c r="F78" s="37"/>
      <c r="G78" s="37"/>
      <c r="H78" s="37"/>
      <c r="I78" s="37"/>
    </row>
    <row r="79" customFormat="false" ht="15" hidden="false" customHeight="true" outlineLevel="0" collapsed="false">
      <c r="A79" s="37"/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true" outlineLevel="0" collapsed="false">
      <c r="A80" s="37"/>
      <c r="B80" s="37"/>
      <c r="C80" s="37"/>
      <c r="D80" s="37"/>
      <c r="E80" s="37"/>
      <c r="F80" s="37"/>
      <c r="G80" s="37"/>
      <c r="H80" s="37"/>
      <c r="I80" s="37"/>
    </row>
    <row r="81" customFormat="false" ht="15" hidden="false" customHeight="true" outlineLevel="0" collapsed="false">
      <c r="A81" s="37"/>
      <c r="B81" s="37"/>
      <c r="C81" s="37"/>
      <c r="D81" s="37"/>
      <c r="E81" s="37"/>
      <c r="F81" s="37"/>
      <c r="G81" s="37"/>
      <c r="H81" s="37"/>
      <c r="I81" s="37"/>
    </row>
    <row r="82" customFormat="false" ht="15" hidden="false" customHeight="true" outlineLevel="0" collapsed="false">
      <c r="A82" s="37"/>
      <c r="B82" s="37"/>
      <c r="C82" s="37"/>
      <c r="D82" s="37"/>
      <c r="E82" s="37"/>
      <c r="F82" s="37"/>
      <c r="G82" s="37"/>
      <c r="H82" s="37"/>
      <c r="I82" s="37"/>
    </row>
    <row r="83" customFormat="false" ht="15" hidden="false" customHeight="true" outlineLevel="0" collapsed="false">
      <c r="A83" s="37"/>
      <c r="B83" s="37"/>
      <c r="C83" s="37"/>
      <c r="D83" s="37"/>
      <c r="E83" s="37"/>
      <c r="F83" s="37"/>
      <c r="G83" s="37"/>
      <c r="H83" s="37"/>
      <c r="I83" s="37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D15">
    <cfRule type="cellIs" priority="6" operator="greaterThanOrEqual" aboveAverage="0" equalAverage="0" bottom="0" percent="0" rank="0" text="" dxfId="17">
      <formula>1</formula>
    </cfRule>
  </conditionalFormatting>
  <conditionalFormatting sqref="J45:J75">
    <cfRule type="cellIs" priority="7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2026-08-04T18:47:42Z</dcterms:created>
  <dc:creator>openpyxl</dc:creator>
  <dc:description/>
  <dc:language>en-US</dc:language>
  <cp:lastModifiedBy/>
  <dcterms:modified xsi:type="dcterms:W3CDTF">2026-08-11T17:10:19Z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