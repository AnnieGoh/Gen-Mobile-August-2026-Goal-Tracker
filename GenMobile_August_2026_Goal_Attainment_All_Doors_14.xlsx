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g Goal Attainment" sheetId="1" state="visible" r:id="rId3"/>
    <sheet name="DDP Incentive Tracker" sheetId="2" state="visible" r:id="rId4"/>
  </sheets>
  <definedNames>
    <definedName function="false" hidden="true" localSheetId="0" name="_xlnm._FilterDatabase" vbProcedure="false">'Aug Goal Attainment'!$A$4:$AC$999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<sst xmlns="http://schemas.openxmlformats.org/spreadsheetml/2006/main" count="13023" uniqueCount="9717">
  <si>
    <t xml:space="preserve">GEN MOBILE - AUGUST 2026 GOAL ATTAINMENT BY DOOR</t>
  </si>
  <si>
    <t xml:space="preserve">All 995 approved ERL doors. Activation goal applies only to doors meeting the 3-month-average minimum. The phone goal is COMPANY-LEVEL (July total x lift); phones are tracked per door but not goaled per door.</t>
  </si>
  <si>
    <t xml:space="preserve">Activation Goal  -&gt;</t>
  </si>
  <si>
    <t xml:space="preserve">Min 3-Mo Avg  -&gt;</t>
  </si>
  <si>
    <t xml:space="preserve">Phone Lift %  -&gt;</t>
  </si>
  <si>
    <t xml:space="preserve">Eligible doors:</t>
  </si>
  <si>
    <t xml:space="preserve">Allocated:</t>
  </si>
  <si>
    <t xml:space="preserve">PHONE GOAL (co-wide):</t>
  </si>
  <si>
    <t xml:space="preserve">Phone attainment:</t>
  </si>
  <si>
    <t xml:space="preserve">TSP Terminal ID</t>
  </si>
  <si>
    <t xml:space="preserve">ePay Account ID</t>
  </si>
  <si>
    <t xml:space="preserve">Gen Door ID</t>
  </si>
  <si>
    <t xml:space="preserve">Account Name</t>
  </si>
  <si>
    <t xml:space="preserve">Store Owner</t>
  </si>
  <si>
    <t xml:space="preserve">Phone #</t>
  </si>
  <si>
    <t xml:space="preserve">Email</t>
  </si>
  <si>
    <t xml:space="preserve">Shipping Street</t>
  </si>
  <si>
    <t xml:space="preserve">Shipping Unit</t>
  </si>
  <si>
    <t xml:space="preserve">Shipping City</t>
  </si>
  <si>
    <t xml:space="preserve">Shipping State</t>
  </si>
  <si>
    <t xml:space="preserve">Shipping Code</t>
  </si>
  <si>
    <t xml:space="preserve">NetSuite ID</t>
  </si>
  <si>
    <t xml:space="preserve">Account Type</t>
  </si>
  <si>
    <t xml:space="preserve">Jul 2026 Activations</t>
  </si>
  <si>
    <t xml:space="preserve">Jun 2026 Activations</t>
  </si>
  <si>
    <t xml:space="preserve">May 2026 Activations</t>
  </si>
  <si>
    <t xml:space="preserve">Apr 2026 Activations</t>
  </si>
  <si>
    <t xml:space="preserve">Total Activations</t>
  </si>
  <si>
    <t xml:space="preserve">3-Mo Avg (May-Jul)</t>
  </si>
  <si>
    <t xml:space="preserve">Goal Eligibility</t>
  </si>
  <si>
    <t xml:space="preserve">Baseline Share %</t>
  </si>
  <si>
    <t xml:space="preserve">Door Status</t>
  </si>
  <si>
    <t xml:space="preserve">Aug Activation Goal</t>
  </si>
  <si>
    <t xml:space="preserve">Aug Activation Actual</t>
  </si>
  <si>
    <t xml:space="preserve">Activation Gap to Goal</t>
  </si>
  <si>
    <t xml:space="preserve">Activation % to Attainment</t>
  </si>
  <si>
    <t xml:space="preserve">Jul 2026 Phones Purchased</t>
  </si>
  <si>
    <t xml:space="preserve">Aug 2026 Phones Actual</t>
  </si>
  <si>
    <t xml:space="preserve">647085</t>
  </si>
  <si>
    <t xml:space="preserve">488411</t>
  </si>
  <si>
    <t xml:space="preserve">211689</t>
  </si>
  <si>
    <t xml:space="preserve">H&amp;A MOBILE INC</t>
  </si>
  <si>
    <t xml:space="preserve">Meixian Wu</t>
  </si>
  <si>
    <t xml:space="preserve">(646) 881-0033</t>
  </si>
  <si>
    <t xml:space="preserve">hnamobileinc@gmail.com</t>
  </si>
  <si>
    <t xml:space="preserve">5924 8th Ave</t>
  </si>
  <si>
    <t xml:space="preserve">Brooklyn</t>
  </si>
  <si>
    <t xml:space="preserve">NY</t>
  </si>
  <si>
    <t xml:space="preserve">11220</t>
  </si>
  <si>
    <t xml:space="preserve">C51045</t>
  </si>
  <si>
    <t xml:space="preserve">Business</t>
  </si>
  <si>
    <t xml:space="preserve">625816</t>
  </si>
  <si>
    <t xml:space="preserve">474756</t>
  </si>
  <si>
    <t xml:space="preserve">203953</t>
  </si>
  <si>
    <t xml:space="preserve">New HL Wireless Inc</t>
  </si>
  <si>
    <t xml:space="preserve">Weilong Liu</t>
  </si>
  <si>
    <t xml:space="preserve">(718) 288-9595</t>
  </si>
  <si>
    <t xml:space="preserve">newhlwireless@gmail.com</t>
  </si>
  <si>
    <t xml:space="preserve">5621 8th Ave</t>
  </si>
  <si>
    <t xml:space="preserve">C50446</t>
  </si>
  <si>
    <t xml:space="preserve">633954</t>
  </si>
  <si>
    <t xml:space="preserve">480449</t>
  </si>
  <si>
    <t xml:space="preserve">208939</t>
  </si>
  <si>
    <t xml:space="preserve">Cloud Mobile LLC</t>
  </si>
  <si>
    <t xml:space="preserve">Philip Shan Ma</t>
  </si>
  <si>
    <t xml:space="preserve">(626) 222-2255</t>
  </si>
  <si>
    <t xml:space="preserve">pma9217@gmail.com</t>
  </si>
  <si>
    <t xml:space="preserve">123 S Lincoln Ave</t>
  </si>
  <si>
    <t xml:space="preserve">Ste A</t>
  </si>
  <si>
    <t xml:space="preserve">Monterey Park</t>
  </si>
  <si>
    <t xml:space="preserve">CA</t>
  </si>
  <si>
    <t xml:space="preserve">91755</t>
  </si>
  <si>
    <t xml:space="preserve">C50755</t>
  </si>
  <si>
    <t xml:space="preserve">Field Sales</t>
  </si>
  <si>
    <t xml:space="preserve">635956</t>
  </si>
  <si>
    <t xml:space="preserve">482415</t>
  </si>
  <si>
    <t xml:space="preserve">209702</t>
  </si>
  <si>
    <t xml:space="preserve">2R Accessories Inc</t>
  </si>
  <si>
    <t xml:space="preserve">Renee Lin</t>
  </si>
  <si>
    <t xml:space="preserve">(646) 886-6613</t>
  </si>
  <si>
    <t xml:space="preserve">2rwirelessflushing@gmail.com</t>
  </si>
  <si>
    <t xml:space="preserve">4111 Kissena Blvd</t>
  </si>
  <si>
    <t xml:space="preserve">Flushing</t>
  </si>
  <si>
    <t xml:space="preserve">11354</t>
  </si>
  <si>
    <t xml:space="preserve">C50847</t>
  </si>
  <si>
    <t xml:space="preserve">636897</t>
  </si>
  <si>
    <t xml:space="preserve">483337</t>
  </si>
  <si>
    <t xml:space="preserve">209882</t>
  </si>
  <si>
    <t xml:space="preserve">5G MARKET LEADER INC</t>
  </si>
  <si>
    <t xml:space="preserve">Gary Liang</t>
  </si>
  <si>
    <t xml:space="preserve">(347) 266-0000</t>
  </si>
  <si>
    <t xml:space="preserve">garygochina@yahoo.com</t>
  </si>
  <si>
    <t xml:space="preserve">41-40 Kissena Blvd</t>
  </si>
  <si>
    <t xml:space="preserve">11355</t>
  </si>
  <si>
    <t xml:space="preserve">C50866</t>
  </si>
  <si>
    <t xml:space="preserve">636889</t>
  </si>
  <si>
    <t xml:space="preserve">483335</t>
  </si>
  <si>
    <t xml:space="preserve">209883</t>
  </si>
  <si>
    <t xml:space="preserve">37-02 Main St</t>
  </si>
  <si>
    <t xml:space="preserve">F4</t>
  </si>
  <si>
    <t xml:space="preserve">645592</t>
  </si>
  <si>
    <t xml:space="preserve">486980</t>
  </si>
  <si>
    <t xml:space="preserve">211136</t>
  </si>
  <si>
    <t xml:space="preserve">AJX Wireless Inc</t>
  </si>
  <si>
    <t xml:space="preserve">Miao He</t>
  </si>
  <si>
    <t xml:space="preserve">(929) 229-1999</t>
  </si>
  <si>
    <t xml:space="preserve">happyrainingsnowday@gmail.com</t>
  </si>
  <si>
    <t xml:space="preserve">5904 8th Ave</t>
  </si>
  <si>
    <t xml:space="preserve">C50960</t>
  </si>
  <si>
    <t xml:space="preserve">650829</t>
  </si>
  <si>
    <t xml:space="preserve">492079</t>
  </si>
  <si>
    <t xml:space="preserve">212490</t>
  </si>
  <si>
    <t xml:space="preserve">TL XU Wireless Inc</t>
  </si>
  <si>
    <t xml:space="preserve">Hanxiao Xu</t>
  </si>
  <si>
    <t xml:space="preserve">(626) 777-7771</t>
  </si>
  <si>
    <t xml:space="preserve">meijia626@gmail.com</t>
  </si>
  <si>
    <t xml:space="preserve">304 N Garfield Ave</t>
  </si>
  <si>
    <t xml:space="preserve">C4</t>
  </si>
  <si>
    <t xml:space="preserve">91754</t>
  </si>
  <si>
    <t xml:space="preserve">C51283</t>
  </si>
  <si>
    <t xml:space="preserve">657271</t>
  </si>
  <si>
    <t xml:space="preserve">498305</t>
  </si>
  <si>
    <t xml:space="preserve">213503</t>
  </si>
  <si>
    <t xml:space="preserve">iRepair Phonecare, Inc.</t>
  </si>
  <si>
    <t xml:space="preserve">Ryan Jing Liu</t>
  </si>
  <si>
    <t xml:space="preserve">(626) 200-9707</t>
  </si>
  <si>
    <t xml:space="preserve">ryan2009707@gmail.com</t>
  </si>
  <si>
    <t xml:space="preserve">1011 E Amar Rd</t>
  </si>
  <si>
    <t xml:space="preserve">West Covina</t>
  </si>
  <si>
    <t xml:space="preserve">91792</t>
  </si>
  <si>
    <t xml:space="preserve">C51578</t>
  </si>
  <si>
    <t xml:space="preserve">659285</t>
  </si>
  <si>
    <t xml:space="preserve">500280</t>
  </si>
  <si>
    <t xml:space="preserve">214032</t>
  </si>
  <si>
    <t xml:space="preserve">New CS Mobile Inc</t>
  </si>
  <si>
    <t xml:space="preserve">Christopher Chan</t>
  </si>
  <si>
    <t xml:space="preserve">(646) 878-8778</t>
  </si>
  <si>
    <t xml:space="preserve">stephen36mobile@gmail.com</t>
  </si>
  <si>
    <t xml:space="preserve">5105 8th Ave</t>
  </si>
  <si>
    <t xml:space="preserve">C51762</t>
  </si>
  <si>
    <t xml:space="preserve">636036</t>
  </si>
  <si>
    <t xml:space="preserve">482496</t>
  </si>
  <si>
    <t xml:space="preserve">209717</t>
  </si>
  <si>
    <t xml:space="preserve">V &amp; S Wireless Inc</t>
  </si>
  <si>
    <t xml:space="preserve">Yanna Tan</t>
  </si>
  <si>
    <t xml:space="preserve">(917) 929-5986</t>
  </si>
  <si>
    <t xml:space="preserve">sandyzhao1991@hotmail.com</t>
  </si>
  <si>
    <t xml:space="preserve">5403 8th Ave</t>
  </si>
  <si>
    <t xml:space="preserve">A</t>
  </si>
  <si>
    <t xml:space="preserve">C50855</t>
  </si>
  <si>
    <t xml:space="preserve">636139</t>
  </si>
  <si>
    <t xml:space="preserve">482593</t>
  </si>
  <si>
    <t xml:space="preserve">209750</t>
  </si>
  <si>
    <t xml:space="preserve">Oriental Wireless Flushing Inc</t>
  </si>
  <si>
    <t xml:space="preserve">Tai Cheng Ang</t>
  </si>
  <si>
    <t xml:space="preserve">(718) 886-2266</t>
  </si>
  <si>
    <t xml:space="preserve">kissena.adtcall@gmail.com</t>
  </si>
  <si>
    <t xml:space="preserve">4113 Kissena Blvd Frnt</t>
  </si>
  <si>
    <t xml:space="preserve">C50854</t>
  </si>
  <si>
    <t xml:space="preserve">646525</t>
  </si>
  <si>
    <t xml:space="preserve">487874</t>
  </si>
  <si>
    <t xml:space="preserve">211491</t>
  </si>
  <si>
    <t xml:space="preserve">HYZ Communication INC</t>
  </si>
  <si>
    <t xml:space="preserve">Jiangzi Zhao</t>
  </si>
  <si>
    <t xml:space="preserve">(347) 257-9898</t>
  </si>
  <si>
    <t xml:space="preserve">hyzcommunication@gmail.com</t>
  </si>
  <si>
    <t xml:space="preserve">13685 Roosevelt Ave</t>
  </si>
  <si>
    <t xml:space="preserve">STE 1</t>
  </si>
  <si>
    <t xml:space="preserve">C51009</t>
  </si>
  <si>
    <t xml:space="preserve">625229</t>
  </si>
  <si>
    <t xml:space="preserve">474223</t>
  </si>
  <si>
    <t xml:space="preserve">203955</t>
  </si>
  <si>
    <t xml:space="preserve">Friendly company inc</t>
  </si>
  <si>
    <t xml:space="preserve">Edward Wong</t>
  </si>
  <si>
    <t xml:space="preserve">(845) 588-5889</t>
  </si>
  <si>
    <t xml:space="preserve">friendly5813@gmail.com</t>
  </si>
  <si>
    <t xml:space="preserve">5813 8th Ave</t>
  </si>
  <si>
    <t xml:space="preserve">C50417</t>
  </si>
  <si>
    <t xml:space="preserve">634855</t>
  </si>
  <si>
    <t xml:space="preserve">481338</t>
  </si>
  <si>
    <t xml:space="preserve">209370</t>
  </si>
  <si>
    <t xml:space="preserve">Fada 2006 Inc</t>
  </si>
  <si>
    <t xml:space="preserve">Muwang Zheng</t>
  </si>
  <si>
    <t xml:space="preserve">(718) 484-9230</t>
  </si>
  <si>
    <t xml:space="preserve">fadagroup@yahoo.com</t>
  </si>
  <si>
    <t xml:space="preserve">5723 8th Ave</t>
  </si>
  <si>
    <t xml:space="preserve">Ste D</t>
  </si>
  <si>
    <t xml:space="preserve">C50798</t>
  </si>
  <si>
    <t xml:space="preserve">634753</t>
  </si>
  <si>
    <t xml:space="preserve">481239</t>
  </si>
  <si>
    <t xml:space="preserve">209362</t>
  </si>
  <si>
    <t xml:space="preserve">K &amp; K Wireless Inc</t>
  </si>
  <si>
    <t xml:space="preserve">Jian Wei Mei</t>
  </si>
  <si>
    <t xml:space="preserve">(631) 829-1111</t>
  </si>
  <si>
    <t xml:space="preserve">kkwirelessinc@gmail.com</t>
  </si>
  <si>
    <t xml:space="preserve">810 60th St</t>
  </si>
  <si>
    <t xml:space="preserve">C50801</t>
  </si>
  <si>
    <t xml:space="preserve">633918</t>
  </si>
  <si>
    <t xml:space="preserve">480415</t>
  </si>
  <si>
    <t xml:space="preserve">208927</t>
  </si>
  <si>
    <t xml:space="preserve">Project C Wireless INC</t>
  </si>
  <si>
    <t xml:space="preserve">Randy Lin</t>
  </si>
  <si>
    <t xml:space="preserve">(718) 833-9888</t>
  </si>
  <si>
    <t xml:space="preserve">Projectcallwireless@gmail.com</t>
  </si>
  <si>
    <t xml:space="preserve">6317 8th Ave</t>
  </si>
  <si>
    <t xml:space="preserve">C50751</t>
  </si>
  <si>
    <t xml:space="preserve">631016</t>
  </si>
  <si>
    <t xml:space="preserve">477517</t>
  </si>
  <si>
    <t xml:space="preserve">206812</t>
  </si>
  <si>
    <t xml:space="preserve">you mi cellular phone, inc</t>
  </si>
  <si>
    <t xml:space="preserve">Ling Wang</t>
  </si>
  <si>
    <t xml:space="preserve">(929) 239-1888</t>
  </si>
  <si>
    <t xml:space="preserve">Youmi1888s@gmail.com</t>
  </si>
  <si>
    <t xml:space="preserve">5317 8TH AVE</t>
  </si>
  <si>
    <t xml:space="preserve">C50590</t>
  </si>
  <si>
    <t xml:space="preserve">647607</t>
  </si>
  <si>
    <t xml:space="preserve">488919</t>
  </si>
  <si>
    <t xml:space="preserve">211695</t>
  </si>
  <si>
    <t xml:space="preserve">CL Wireless CORP</t>
  </si>
  <si>
    <t xml:space="preserve">Chumin Li</t>
  </si>
  <si>
    <t xml:space="preserve">(929) 698-9188</t>
  </si>
  <si>
    <t xml:space="preserve">chuminli89@gmail.com</t>
  </si>
  <si>
    <t xml:space="preserve">6610 Bay PKWY</t>
  </si>
  <si>
    <t xml:space="preserve">11204</t>
  </si>
  <si>
    <t xml:space="preserve">C50970</t>
  </si>
  <si>
    <t xml:space="preserve">660877</t>
  </si>
  <si>
    <t xml:space="preserve">501892</t>
  </si>
  <si>
    <t xml:space="preserve">214387</t>
  </si>
  <si>
    <t xml:space="preserve">A and H Cellular LLC</t>
  </si>
  <si>
    <t xml:space="preserve">Ibrahim Ghannam</t>
  </si>
  <si>
    <t xml:space="preserve">(616) 589-2224</t>
  </si>
  <si>
    <t xml:space="preserve">ibrahimghannam1980@gmail.com</t>
  </si>
  <si>
    <t xml:space="preserve">4315 Kalamazoo Ave SE</t>
  </si>
  <si>
    <t xml:space="preserve">Grand Rapids</t>
  </si>
  <si>
    <t xml:space="preserve">MI</t>
  </si>
  <si>
    <t xml:space="preserve">49508</t>
  </si>
  <si>
    <t xml:space="preserve">C53707</t>
  </si>
  <si>
    <t xml:space="preserve">650687</t>
  </si>
  <si>
    <t xml:space="preserve">491934</t>
  </si>
  <si>
    <t xml:space="preserve">212368</t>
  </si>
  <si>
    <t xml:space="preserve">Peace Com Inc</t>
  </si>
  <si>
    <t xml:space="preserve">(347) 588-6688</t>
  </si>
  <si>
    <t xml:space="preserve">peacecom8408@gmail.com</t>
  </si>
  <si>
    <t xml:space="preserve">8408B Broadway</t>
  </si>
  <si>
    <t xml:space="preserve">Elmhurst</t>
  </si>
  <si>
    <t xml:space="preserve">11373</t>
  </si>
  <si>
    <t xml:space="preserve">C51216</t>
  </si>
  <si>
    <t xml:space="preserve">633425</t>
  </si>
  <si>
    <t xml:space="preserve">479935</t>
  </si>
  <si>
    <t xml:space="preserve">208616</t>
  </si>
  <si>
    <t xml:space="preserve">RC Wireless Service Inc</t>
  </si>
  <si>
    <t xml:space="preserve">Wei Shuang Ding</t>
  </si>
  <si>
    <t xml:space="preserve">(347) 688-5818</t>
  </si>
  <si>
    <t xml:space="preserve">rcwire171@gmail.com</t>
  </si>
  <si>
    <t xml:space="preserve">142-18 38th Ave</t>
  </si>
  <si>
    <t xml:space="preserve">2A</t>
  </si>
  <si>
    <t xml:space="preserve">C50717</t>
  </si>
  <si>
    <t xml:space="preserve">636137</t>
  </si>
  <si>
    <t xml:space="preserve">482591</t>
  </si>
  <si>
    <t xml:space="preserve">209748</t>
  </si>
  <si>
    <t xml:space="preserve">Oriental Wireless NY Inc</t>
  </si>
  <si>
    <t xml:space="preserve">Ling Li Mei</t>
  </si>
  <si>
    <t xml:space="preserve">(212) 226-2388</t>
  </si>
  <si>
    <t xml:space="preserve">orientalwireless@gmail.com</t>
  </si>
  <si>
    <t xml:space="preserve">94 Hester St</t>
  </si>
  <si>
    <t xml:space="preserve">New York City</t>
  </si>
  <si>
    <t xml:space="preserve">10002</t>
  </si>
  <si>
    <t xml:space="preserve">C50858</t>
  </si>
  <si>
    <t xml:space="preserve">647086</t>
  </si>
  <si>
    <t xml:space="preserve">488412</t>
  </si>
  <si>
    <t xml:space="preserve">211691</t>
  </si>
  <si>
    <t xml:space="preserve">3999 Wireless Inc</t>
  </si>
  <si>
    <t xml:space="preserve">Enyi Chen</t>
  </si>
  <si>
    <t xml:space="preserve">(929) 586-3999</t>
  </si>
  <si>
    <t xml:space="preserve">3999wireless@gmail.com</t>
  </si>
  <si>
    <t xml:space="preserve">5624 8th Ave</t>
  </si>
  <si>
    <t xml:space="preserve">C51047</t>
  </si>
  <si>
    <t xml:space="preserve">658612</t>
  </si>
  <si>
    <t xml:space="preserve">499620</t>
  </si>
  <si>
    <t xml:space="preserve">213903</t>
  </si>
  <si>
    <t xml:space="preserve">Bay Media Star Inc</t>
  </si>
  <si>
    <t xml:space="preserve">Della Rong Ou</t>
  </si>
  <si>
    <t xml:space="preserve">(510) 651-1888</t>
  </si>
  <si>
    <t xml:space="preserve">baymediastarinc@gmail.com</t>
  </si>
  <si>
    <t xml:space="preserve">46292 Warm Springs Blvd</t>
  </si>
  <si>
    <t xml:space="preserve">606</t>
  </si>
  <si>
    <t xml:space="preserve">Fremont</t>
  </si>
  <si>
    <t xml:space="preserve">94539</t>
  </si>
  <si>
    <t xml:space="preserve">C51731</t>
  </si>
  <si>
    <t xml:space="preserve">657930</t>
  </si>
  <si>
    <t xml:space="preserve">498935</t>
  </si>
  <si>
    <t xml:space="preserve">213714</t>
  </si>
  <si>
    <t xml:space="preserve">Ifixforu NV</t>
  </si>
  <si>
    <t xml:space="preserve">Jun Wang</t>
  </si>
  <si>
    <t xml:space="preserve">(702) 779-8888</t>
  </si>
  <si>
    <t xml:space="preserve">ifixforulasvegas2@gmail.com</t>
  </si>
  <si>
    <t xml:space="preserve">4598 Spring Mountain Rd</t>
  </si>
  <si>
    <t xml:space="preserve">Las Vegas</t>
  </si>
  <si>
    <t xml:space="preserve">NV</t>
  </si>
  <si>
    <t xml:space="preserve">89102</t>
  </si>
  <si>
    <t xml:space="preserve">C51653</t>
  </si>
  <si>
    <t xml:space="preserve">658866</t>
  </si>
  <si>
    <t xml:space="preserve">499857</t>
  </si>
  <si>
    <t xml:space="preserve">213945</t>
  </si>
  <si>
    <t xml:space="preserve">Miaohua Wu</t>
  </si>
  <si>
    <t xml:space="preserve">Miao Hua Wu</t>
  </si>
  <si>
    <t xml:space="preserve">(510) 612-3012</t>
  </si>
  <si>
    <t xml:space="preserve">keyannah530@gmail.com</t>
  </si>
  <si>
    <t xml:space="preserve">388 9th St</t>
  </si>
  <si>
    <t xml:space="preserve">Ste 112</t>
  </si>
  <si>
    <t xml:space="preserve">Oakland</t>
  </si>
  <si>
    <t xml:space="preserve">94607</t>
  </si>
  <si>
    <t xml:space="preserve">C51744</t>
  </si>
  <si>
    <t xml:space="preserve">625746</t>
  </si>
  <si>
    <t xml:space="preserve">474683</t>
  </si>
  <si>
    <t xml:space="preserve">204500</t>
  </si>
  <si>
    <t xml:space="preserve">Global Wireless Telecom Group inc</t>
  </si>
  <si>
    <t xml:space="preserve">xiu lin zheng</t>
  </si>
  <si>
    <t xml:space="preserve">(917) 780-2288</t>
  </si>
  <si>
    <t xml:space="preserve">offibook@gmail.com</t>
  </si>
  <si>
    <t xml:space="preserve">4212 Main St</t>
  </si>
  <si>
    <t xml:space="preserve">Queens</t>
  </si>
  <si>
    <t xml:space="preserve">C50440</t>
  </si>
  <si>
    <t xml:space="preserve">638393</t>
  </si>
  <si>
    <t xml:space="preserve">476560</t>
  </si>
  <si>
    <t xml:space="preserve">205943</t>
  </si>
  <si>
    <t xml:space="preserve">CC Wireless 888 Inc</t>
  </si>
  <si>
    <t xml:space="preserve">Cheng Cheng</t>
  </si>
  <si>
    <t xml:space="preserve">(929) 955-9888</t>
  </si>
  <si>
    <t xml:space="preserve">ccwireless888@gmail.com</t>
  </si>
  <si>
    <t xml:space="preserve">5824 8th Ave</t>
  </si>
  <si>
    <t xml:space="preserve">Ste C</t>
  </si>
  <si>
    <t xml:space="preserve">C50560</t>
  </si>
  <si>
    <t xml:space="preserve">645918</t>
  </si>
  <si>
    <t xml:space="preserve">487291</t>
  </si>
  <si>
    <t xml:space="preserve">211254</t>
  </si>
  <si>
    <t xml:space="preserve">OSL RETAIL SERVICES INC</t>
  </si>
  <si>
    <t xml:space="preserve">BRETT FARREN</t>
  </si>
  <si>
    <t xml:space="preserve">(808) 940-0985</t>
  </si>
  <si>
    <t xml:space="preserve">jvitelli@oslrs.com</t>
  </si>
  <si>
    <t xml:space="preserve">4725 Bougainville Dr</t>
  </si>
  <si>
    <t xml:space="preserve">Bldg 631</t>
  </si>
  <si>
    <t xml:space="preserve">Honolulu</t>
  </si>
  <si>
    <t xml:space="preserve">HI</t>
  </si>
  <si>
    <t xml:space="preserve">96818</t>
  </si>
  <si>
    <t xml:space="preserve">C50976</t>
  </si>
  <si>
    <t xml:space="preserve">Military Base</t>
  </si>
  <si>
    <t xml:space="preserve">647304</t>
  </si>
  <si>
    <t xml:space="preserve">488630</t>
  </si>
  <si>
    <t xml:space="preserve">212276</t>
  </si>
  <si>
    <t xml:space="preserve">Diego's Wireless Inc</t>
  </si>
  <si>
    <t xml:space="preserve">Roman Montes</t>
  </si>
  <si>
    <t xml:space="preserve">(661) 210-9753</t>
  </si>
  <si>
    <t xml:space="preserve">diegoscyn@gmail.com</t>
  </si>
  <si>
    <t xml:space="preserve">1304 Duarte Rd</t>
  </si>
  <si>
    <t xml:space="preserve">Duarte</t>
  </si>
  <si>
    <t xml:space="preserve">91010</t>
  </si>
  <si>
    <t xml:space="preserve">C49861</t>
  </si>
  <si>
    <t xml:space="preserve">646877</t>
  </si>
  <si>
    <t xml:space="preserve">488205</t>
  </si>
  <si>
    <t xml:space="preserve">211551</t>
  </si>
  <si>
    <t xml:space="preserve">Master Cell Store</t>
  </si>
  <si>
    <t xml:space="preserve">Ngai Hing Wong</t>
  </si>
  <si>
    <t xml:space="preserve">(713) 255-2038</t>
  </si>
  <si>
    <t xml:space="preserve">Mastercellstore@gmail.com</t>
  </si>
  <si>
    <t xml:space="preserve">9889 Bellaire Blvd</t>
  </si>
  <si>
    <t xml:space="preserve">Ste B-24D</t>
  </si>
  <si>
    <t xml:space="preserve">Houston</t>
  </si>
  <si>
    <t xml:space="preserve">TX</t>
  </si>
  <si>
    <t xml:space="preserve">77036</t>
  </si>
  <si>
    <t xml:space="preserve">C51026</t>
  </si>
  <si>
    <t xml:space="preserve">625671</t>
  </si>
  <si>
    <t xml:space="preserve">474617</t>
  </si>
  <si>
    <t xml:space="preserve">204508</t>
  </si>
  <si>
    <t xml:space="preserve">One National Wireless LLC</t>
  </si>
  <si>
    <t xml:space="preserve">Barketali Rayani</t>
  </si>
  <si>
    <t xml:space="preserve">(972) 488-6968</t>
  </si>
  <si>
    <t xml:space="preserve">internationalphone@sbcglobal.net</t>
  </si>
  <si>
    <t xml:space="preserve">11367 Harry Hines Blvd</t>
  </si>
  <si>
    <t xml:space="preserve">Dallas</t>
  </si>
  <si>
    <t xml:space="preserve">75229</t>
  </si>
  <si>
    <t xml:space="preserve">C50436</t>
  </si>
  <si>
    <t xml:space="preserve">647030</t>
  </si>
  <si>
    <t xml:space="preserve">488358</t>
  </si>
  <si>
    <t xml:space="preserve">211594</t>
  </si>
  <si>
    <t xml:space="preserve">High Tech Wireless</t>
  </si>
  <si>
    <t xml:space="preserve">Hayk Tarkhanyan</t>
  </si>
  <si>
    <t xml:space="preserve">(818) 508-7777</t>
  </si>
  <si>
    <t xml:space="preserve">greg@cellphoneguys.com</t>
  </si>
  <si>
    <t xml:space="preserve">12501 Burbank Blvd</t>
  </si>
  <si>
    <t xml:space="preserve">Valley Village</t>
  </si>
  <si>
    <t xml:space="preserve">91607</t>
  </si>
  <si>
    <t xml:space="preserve">C51039</t>
  </si>
  <si>
    <t xml:space="preserve">656950</t>
  </si>
  <si>
    <t xml:space="preserve">497993</t>
  </si>
  <si>
    <t xml:space="preserve">213448</t>
  </si>
  <si>
    <t xml:space="preserve">Abes Wireless</t>
  </si>
  <si>
    <t xml:space="preserve">Ibrahim Omar</t>
  </si>
  <si>
    <t xml:space="preserve">(330) 962-3453</t>
  </si>
  <si>
    <t xml:space="preserve">lilarabguy@gmail.com</t>
  </si>
  <si>
    <t xml:space="preserve">77 S Arlington St</t>
  </si>
  <si>
    <t xml:space="preserve">Akron</t>
  </si>
  <si>
    <t xml:space="preserve">OH</t>
  </si>
  <si>
    <t xml:space="preserve">44306</t>
  </si>
  <si>
    <t xml:space="preserve">C51559</t>
  </si>
  <si>
    <t xml:space="preserve">658181</t>
  </si>
  <si>
    <t xml:space="preserve">499185</t>
  </si>
  <si>
    <t xml:space="preserve">213788</t>
  </si>
  <si>
    <t xml:space="preserve">Tech Prestar Inc</t>
  </si>
  <si>
    <t xml:space="preserve">Ming Dong</t>
  </si>
  <si>
    <t xml:space="preserve">(347) 335-6888</t>
  </si>
  <si>
    <t xml:space="preserve">techprestar@gmail.com</t>
  </si>
  <si>
    <t xml:space="preserve">5113 8th Ave</t>
  </si>
  <si>
    <t xml:space="preserve">C51696</t>
  </si>
  <si>
    <t xml:space="preserve">658056</t>
  </si>
  <si>
    <t xml:space="preserve">499059</t>
  </si>
  <si>
    <t xml:space="preserve">213747</t>
  </si>
  <si>
    <t xml:space="preserve">Connect Mobile</t>
  </si>
  <si>
    <t xml:space="preserve">Nicholis Salazar</t>
  </si>
  <si>
    <t xml:space="preserve">(858) 744-8764</t>
  </si>
  <si>
    <t xml:space="preserve">NickSalazar@connectmobile.us</t>
  </si>
  <si>
    <t xml:space="preserve">347 Third Ave</t>
  </si>
  <si>
    <t xml:space="preserve">STE 201F</t>
  </si>
  <si>
    <t xml:space="preserve">Chula Vista</t>
  </si>
  <si>
    <t xml:space="preserve">91910</t>
  </si>
  <si>
    <t xml:space="preserve">C51686</t>
  </si>
  <si>
    <t xml:space="preserve">650791</t>
  </si>
  <si>
    <t xml:space="preserve">492041</t>
  </si>
  <si>
    <t xml:space="preserve">212388</t>
  </si>
  <si>
    <t xml:space="preserve">J ONE WIRELESS INC</t>
  </si>
  <si>
    <t xml:space="preserve">Jincheng Lin</t>
  </si>
  <si>
    <t xml:space="preserve">(929) 999-6088</t>
  </si>
  <si>
    <t xml:space="preserve">jonewireless@gmail.com</t>
  </si>
  <si>
    <t xml:space="preserve">42-35 Main St</t>
  </si>
  <si>
    <t xml:space="preserve">STE 1P5</t>
  </si>
  <si>
    <t xml:space="preserve">C51245</t>
  </si>
  <si>
    <t xml:space="preserve">638399</t>
  </si>
  <si>
    <t xml:space="preserve">484262</t>
  </si>
  <si>
    <t xml:space="preserve">209358</t>
  </si>
  <si>
    <t xml:space="preserve">X Wei Wei Wireless Inc</t>
  </si>
  <si>
    <t xml:space="preserve">Hang Wu</t>
  </si>
  <si>
    <t xml:space="preserve">(718) 851-8858</t>
  </si>
  <si>
    <t xml:space="preserve">xweiwei718@gmail.com</t>
  </si>
  <si>
    <t xml:space="preserve">5809 8th Ave</t>
  </si>
  <si>
    <t xml:space="preserve">Fl 1</t>
  </si>
  <si>
    <t xml:space="preserve">C50797</t>
  </si>
  <si>
    <t xml:space="preserve">658767</t>
  </si>
  <si>
    <t xml:space="preserve">499759</t>
  </si>
  <si>
    <t xml:space="preserve">213926</t>
  </si>
  <si>
    <t xml:space="preserve">WTELCOM Inc</t>
  </si>
  <si>
    <t xml:space="preserve">Michael Wang Sheng</t>
  </si>
  <si>
    <t xml:space="preserve">(718) 358-6555</t>
  </si>
  <si>
    <t xml:space="preserve">gwmk1688@gmail.com</t>
  </si>
  <si>
    <t xml:space="preserve">13336 41st Rd</t>
  </si>
  <si>
    <t xml:space="preserve">#CS3</t>
  </si>
  <si>
    <t xml:space="preserve">C51741</t>
  </si>
  <si>
    <t xml:space="preserve">642914</t>
  </si>
  <si>
    <t xml:space="preserve">484473</t>
  </si>
  <si>
    <t xml:space="preserve">210266</t>
  </si>
  <si>
    <t xml:space="preserve">ADT Enterprises Inc</t>
  </si>
  <si>
    <t xml:space="preserve">Ang Tai Cheng</t>
  </si>
  <si>
    <t xml:space="preserve">(212) 966-8285</t>
  </si>
  <si>
    <t xml:space="preserve">adtcall@gmail.com</t>
  </si>
  <si>
    <t xml:space="preserve">1 3 Eldridge St</t>
  </si>
  <si>
    <t xml:space="preserve">New York</t>
  </si>
  <si>
    <t xml:space="preserve">C50895</t>
  </si>
  <si>
    <t xml:space="preserve">636864</t>
  </si>
  <si>
    <t xml:space="preserve">483314</t>
  </si>
  <si>
    <t xml:space="preserve">209849</t>
  </si>
  <si>
    <t xml:space="preserve">TS Mobile Inc</t>
  </si>
  <si>
    <t xml:space="preserve">Jian Hui Zhao</t>
  </si>
  <si>
    <t xml:space="preserve">(646) 577-8111</t>
  </si>
  <si>
    <t xml:space="preserve">tsmobileinc@gmail.com</t>
  </si>
  <si>
    <t xml:space="preserve">2257 86th St</t>
  </si>
  <si>
    <t xml:space="preserve">11214</t>
  </si>
  <si>
    <t xml:space="preserve">C50864</t>
  </si>
  <si>
    <t xml:space="preserve">631472</t>
  </si>
  <si>
    <t xml:space="preserve">477971</t>
  </si>
  <si>
    <t xml:space="preserve">207229</t>
  </si>
  <si>
    <t xml:space="preserve">Planet Cellphone Inc</t>
  </si>
  <si>
    <t xml:space="preserve">(917) 924-8888</t>
  </si>
  <si>
    <t xml:space="preserve">planetcellphoneinc@gmail.com</t>
  </si>
  <si>
    <t xml:space="preserve">5009 8th Ave</t>
  </si>
  <si>
    <t xml:space="preserve">C50638</t>
  </si>
  <si>
    <t xml:space="preserve">658034</t>
  </si>
  <si>
    <t xml:space="preserve">499037</t>
  </si>
  <si>
    <t xml:space="preserve">213606</t>
  </si>
  <si>
    <t xml:space="preserve">Ya Hala Wireless &amp; More LLC</t>
  </si>
  <si>
    <t xml:space="preserve">Mohammed Ali</t>
  </si>
  <si>
    <t xml:space="preserve">(317) 426-4024</t>
  </si>
  <si>
    <t xml:space="preserve">yahalawireless@yahoo.com</t>
  </si>
  <si>
    <t xml:space="preserve">2306 E 34th st</t>
  </si>
  <si>
    <t xml:space="preserve">Indianapolis</t>
  </si>
  <si>
    <t xml:space="preserve">IN</t>
  </si>
  <si>
    <t xml:space="preserve">46218</t>
  </si>
  <si>
    <t xml:space="preserve">C51681</t>
  </si>
  <si>
    <t xml:space="preserve">654368</t>
  </si>
  <si>
    <t xml:space="preserve">495521</t>
  </si>
  <si>
    <t xml:space="preserve">212995</t>
  </si>
  <si>
    <t xml:space="preserve">Mark Wireless, INC.</t>
  </si>
  <si>
    <t xml:space="preserve">Mary Liang</t>
  </si>
  <si>
    <t xml:space="preserve">(626) 571-0838</t>
  </si>
  <si>
    <t xml:space="preserve">markwirelessinc@gmail.com</t>
  </si>
  <si>
    <t xml:space="preserve">120 E Valley Blvd</t>
  </si>
  <si>
    <t xml:space="preserve">San Gabriel</t>
  </si>
  <si>
    <t xml:space="preserve">91776</t>
  </si>
  <si>
    <t xml:space="preserve">C51469</t>
  </si>
  <si>
    <t xml:space="preserve">659802</t>
  </si>
  <si>
    <t xml:space="preserve">500809</t>
  </si>
  <si>
    <t xml:space="preserve">214159</t>
  </si>
  <si>
    <t xml:space="preserve">18 Tech Fix Inc</t>
  </si>
  <si>
    <t xml:space="preserve">Baofeng Chen</t>
  </si>
  <si>
    <t xml:space="preserve">(347) 677-7788</t>
  </si>
  <si>
    <t xml:space="preserve">18techfix@gmail.com</t>
  </si>
  <si>
    <t xml:space="preserve">7018 18th Ave</t>
  </si>
  <si>
    <t xml:space="preserve">C51810</t>
  </si>
  <si>
    <t xml:space="preserve">644687</t>
  </si>
  <si>
    <t xml:space="preserve">486107</t>
  </si>
  <si>
    <t xml:space="preserve">211046</t>
  </si>
  <si>
    <t xml:space="preserve">SEVEN BOOKS INC</t>
  </si>
  <si>
    <t xml:space="preserve">JASON HSU</t>
  </si>
  <si>
    <t xml:space="preserve">(626) 572-8518</t>
  </si>
  <si>
    <t xml:space="preserve">montereybook@gmail.com</t>
  </si>
  <si>
    <t xml:space="preserve">107 E Garvey Ave</t>
  </si>
  <si>
    <t xml:space="preserve">C50948</t>
  </si>
  <si>
    <t xml:space="preserve">660179</t>
  </si>
  <si>
    <t xml:space="preserve">501187</t>
  </si>
  <si>
    <t xml:space="preserve">214103</t>
  </si>
  <si>
    <t xml:space="preserve">Simple Communication LLC</t>
  </si>
  <si>
    <t xml:space="preserve">Juan Angel Garcia</t>
  </si>
  <si>
    <t xml:space="preserve">(956) 224-0592</t>
  </si>
  <si>
    <t xml:space="preserve">juanangelg2009@hotmail.com</t>
  </si>
  <si>
    <t xml:space="preserve">1972 E Grant St</t>
  </si>
  <si>
    <t xml:space="preserve">Roma</t>
  </si>
  <si>
    <t xml:space="preserve">78584</t>
  </si>
  <si>
    <t xml:space="preserve">C51400</t>
  </si>
  <si>
    <t xml:space="preserve">644373</t>
  </si>
  <si>
    <t xml:space="preserve">485800</t>
  </si>
  <si>
    <t xml:space="preserve">210979</t>
  </si>
  <si>
    <t xml:space="preserve">DF Wireless Inc</t>
  </si>
  <si>
    <t xml:space="preserve">James Guo</t>
  </si>
  <si>
    <t xml:space="preserve">(347) 863-6269</t>
  </si>
  <si>
    <t xml:space="preserve">5803df@gmail.com</t>
  </si>
  <si>
    <t xml:space="preserve">5803 8th Ave</t>
  </si>
  <si>
    <t xml:space="preserve">C50944</t>
  </si>
  <si>
    <t xml:space="preserve">635358</t>
  </si>
  <si>
    <t xml:space="preserve">481827</t>
  </si>
  <si>
    <t xml:space="preserve">209468</t>
  </si>
  <si>
    <t xml:space="preserve">CLQ International, Inc.</t>
  </si>
  <si>
    <t xml:space="preserve">Li Qin Zhang</t>
  </si>
  <si>
    <t xml:space="preserve">(832) 277-7745</t>
  </si>
  <si>
    <t xml:space="preserve">better1988@gmail.com</t>
  </si>
  <si>
    <t xml:space="preserve">Ste 312</t>
  </si>
  <si>
    <t xml:space="preserve">C50810</t>
  </si>
  <si>
    <t xml:space="preserve">176303</t>
  </si>
  <si>
    <t xml:space="preserve">187166</t>
  </si>
  <si>
    <t xml:space="preserve">200032</t>
  </si>
  <si>
    <t xml:space="preserve">Power House</t>
  </si>
  <si>
    <t xml:space="preserve">Patrick Ricketts</t>
  </si>
  <si>
    <t xml:space="preserve">(203) 870-1255</t>
  </si>
  <si>
    <t xml:space="preserve">powerhousepat@me.com</t>
  </si>
  <si>
    <t xml:space="preserve">120 Boston Ave</t>
  </si>
  <si>
    <t xml:space="preserve">Bridgeport</t>
  </si>
  <si>
    <t xml:space="preserve">CT</t>
  </si>
  <si>
    <t xml:space="preserve">6610</t>
  </si>
  <si>
    <t xml:space="preserve">C17549</t>
  </si>
  <si>
    <t xml:space="preserve">659547</t>
  </si>
  <si>
    <t xml:space="preserve">500553</t>
  </si>
  <si>
    <t xml:space="preserve">214146</t>
  </si>
  <si>
    <t xml:space="preserve">Houston Smart Phone Headquarters</t>
  </si>
  <si>
    <t xml:space="preserve">Abdul Abbas</t>
  </si>
  <si>
    <t xml:space="preserve">(901) 319-0757</t>
  </si>
  <si>
    <t xml:space="preserve">vidapay32@gmail.com</t>
  </si>
  <si>
    <t xml:space="preserve">7350 Harwin Dr</t>
  </si>
  <si>
    <t xml:space="preserve">C51794</t>
  </si>
  <si>
    <t xml:space="preserve">655720</t>
  </si>
  <si>
    <t xml:space="preserve">496848</t>
  </si>
  <si>
    <t xml:space="preserve">213363</t>
  </si>
  <si>
    <t xml:space="preserve">Quick Phone Repair</t>
  </si>
  <si>
    <t xml:space="preserve">Safa Hanoka</t>
  </si>
  <si>
    <t xml:space="preserve">(248) 247-8563</t>
  </si>
  <si>
    <t xml:space="preserve">quickrepair.oakpark@gmail.com</t>
  </si>
  <si>
    <t xml:space="preserve">14383 Gratiot Ave</t>
  </si>
  <si>
    <t xml:space="preserve">Detroit</t>
  </si>
  <si>
    <t xml:space="preserve">48205</t>
  </si>
  <si>
    <t xml:space="preserve">C51541</t>
  </si>
  <si>
    <t xml:space="preserve">652451</t>
  </si>
  <si>
    <t xml:space="preserve">493609</t>
  </si>
  <si>
    <t xml:space="preserve">208963</t>
  </si>
  <si>
    <t xml:space="preserve">Mandvia Brothers INC</t>
  </si>
  <si>
    <t xml:space="preserve">Rubina Mandvia</t>
  </si>
  <si>
    <t xml:space="preserve">(210) 309-7852</t>
  </si>
  <si>
    <t xml:space="preserve">2103097852ms@gmail.com</t>
  </si>
  <si>
    <t xml:space="preserve">1015 S WW White RD</t>
  </si>
  <si>
    <t xml:space="preserve">San Antonio</t>
  </si>
  <si>
    <t xml:space="preserve">78220</t>
  </si>
  <si>
    <t xml:space="preserve">C47144</t>
  </si>
  <si>
    <t xml:space="preserve">631776</t>
  </si>
  <si>
    <t xml:space="preserve">478269</t>
  </si>
  <si>
    <t xml:space="preserve">207398</t>
  </si>
  <si>
    <t xml:space="preserve">NB Wireless Inc</t>
  </si>
  <si>
    <t xml:space="preserve">Jiafu Lin</t>
  </si>
  <si>
    <t xml:space="preserve">(929) 313-8888</t>
  </si>
  <si>
    <t xml:space="preserve">nbwireless86@gmail.com</t>
  </si>
  <si>
    <t xml:space="preserve">2318 86th St</t>
  </si>
  <si>
    <t xml:space="preserve">C50665</t>
  </si>
  <si>
    <t xml:space="preserve">660725</t>
  </si>
  <si>
    <t xml:space="preserve">501738</t>
  </si>
  <si>
    <t xml:space="preserve">214323</t>
  </si>
  <si>
    <t xml:space="preserve">Great Wall Corporation</t>
  </si>
  <si>
    <t xml:space="preserve">Emily Li</t>
  </si>
  <si>
    <t xml:space="preserve">GREATWALLCORP@GMAIL.COM</t>
  </si>
  <si>
    <t xml:space="preserve">2300 Pleasant Hill Rd</t>
  </si>
  <si>
    <t xml:space="preserve">Ste B6</t>
  </si>
  <si>
    <t xml:space="preserve">Duluth</t>
  </si>
  <si>
    <t xml:space="preserve">GA</t>
  </si>
  <si>
    <t xml:space="preserve">30096</t>
  </si>
  <si>
    <t xml:space="preserve">C53695</t>
  </si>
  <si>
    <t xml:space="preserve">660647</t>
  </si>
  <si>
    <t xml:space="preserve">501660</t>
  </si>
  <si>
    <t xml:space="preserve">214307</t>
  </si>
  <si>
    <t xml:space="preserve">General Techne</t>
  </si>
  <si>
    <t xml:space="preserve">SHU LI</t>
  </si>
  <si>
    <t xml:space="preserve">(917) 602-3888</t>
  </si>
  <si>
    <t xml:space="preserve">gtiaveu@gmail.com</t>
  </si>
  <si>
    <t xml:space="preserve">1304 Avenue U</t>
  </si>
  <si>
    <t xml:space="preserve">11229</t>
  </si>
  <si>
    <t xml:space="preserve">C53682</t>
  </si>
  <si>
    <t xml:space="preserve">660802</t>
  </si>
  <si>
    <t xml:space="preserve">501817</t>
  </si>
  <si>
    <t xml:space="preserve">214374</t>
  </si>
  <si>
    <t xml:space="preserve">Nanda Wireless</t>
  </si>
  <si>
    <t xml:space="preserve">Kyaw Nan Da Zaw</t>
  </si>
  <si>
    <t xml:space="preserve">(317) 985-7777</t>
  </si>
  <si>
    <t xml:space="preserve">nandawireless36@gmail.com</t>
  </si>
  <si>
    <t xml:space="preserve">8214 Madison Ave</t>
  </si>
  <si>
    <t xml:space="preserve">46227</t>
  </si>
  <si>
    <t xml:space="preserve">C53702</t>
  </si>
  <si>
    <t xml:space="preserve">658104</t>
  </si>
  <si>
    <t xml:space="preserve">499107</t>
  </si>
  <si>
    <t xml:space="preserve">213742</t>
  </si>
  <si>
    <t xml:space="preserve">Game On Corp</t>
  </si>
  <si>
    <t xml:space="preserve">Salman Saadi</t>
  </si>
  <si>
    <t xml:space="preserve">(631) 761-6225</t>
  </si>
  <si>
    <t xml:space="preserve">gameonrepairs@yahoo.com</t>
  </si>
  <si>
    <t xml:space="preserve">26 Wheeler Rd</t>
  </si>
  <si>
    <t xml:space="preserve">Central Islip</t>
  </si>
  <si>
    <t xml:space="preserve">11722</t>
  </si>
  <si>
    <t xml:space="preserve">C51667</t>
  </si>
  <si>
    <t xml:space="preserve">659197</t>
  </si>
  <si>
    <t xml:space="preserve">500193</t>
  </si>
  <si>
    <t xml:space="preserve">214019</t>
  </si>
  <si>
    <t xml:space="preserve">Della Ou</t>
  </si>
  <si>
    <t xml:space="preserve">(510) 676-7518</t>
  </si>
  <si>
    <t xml:space="preserve">338 Barber Ln</t>
  </si>
  <si>
    <t xml:space="preserve">Milpitas</t>
  </si>
  <si>
    <t xml:space="preserve">95035</t>
  </si>
  <si>
    <t xml:space="preserve">631073</t>
  </si>
  <si>
    <t xml:space="preserve">477576</t>
  </si>
  <si>
    <t xml:space="preserve">206811</t>
  </si>
  <si>
    <t xml:space="preserve">GOOD LUCK CELLULAR PHONE INC</t>
  </si>
  <si>
    <t xml:space="preserve">Rentian Cai</t>
  </si>
  <si>
    <t xml:space="preserve">(917) 861-9998</t>
  </si>
  <si>
    <t xml:space="preserve">fredact10002@gmail.com</t>
  </si>
  <si>
    <t xml:space="preserve">60 E BROADWAY</t>
  </si>
  <si>
    <t xml:space="preserve">STORE 101</t>
  </si>
  <si>
    <t xml:space="preserve">NEW YORK</t>
  </si>
  <si>
    <t xml:space="preserve">10013</t>
  </si>
  <si>
    <t xml:space="preserve">C50592</t>
  </si>
  <si>
    <t xml:space="preserve">658962</t>
  </si>
  <si>
    <t xml:space="preserve">499954</t>
  </si>
  <si>
    <t xml:space="preserve">213975</t>
  </si>
  <si>
    <t xml:space="preserve">ZC LLC</t>
  </si>
  <si>
    <t xml:space="preserve">Damen Mojaswar Mustafa</t>
  </si>
  <si>
    <t xml:space="preserve">(267) 239-2484</t>
  </si>
  <si>
    <t xml:space="preserve">mobilecarerepair@yahoo.com</t>
  </si>
  <si>
    <t xml:space="preserve">178 W Lehigh Ave</t>
  </si>
  <si>
    <t xml:space="preserve">Philadelphia</t>
  </si>
  <si>
    <t xml:space="preserve">PA</t>
  </si>
  <si>
    <t xml:space="preserve">19133</t>
  </si>
  <si>
    <t xml:space="preserve">C51752</t>
  </si>
  <si>
    <t xml:space="preserve">636852</t>
  </si>
  <si>
    <t xml:space="preserve">483302</t>
  </si>
  <si>
    <t xml:space="preserve">209848</t>
  </si>
  <si>
    <t xml:space="preserve">Boss Phone Repairs Inc</t>
  </si>
  <si>
    <t xml:space="preserve">MD Shahadat Hossain</t>
  </si>
  <si>
    <t xml:space="preserve">(929) 407-9874</t>
  </si>
  <si>
    <t xml:space="preserve">bossrepairs100@gmail.com</t>
  </si>
  <si>
    <t xml:space="preserve">8507 Jamaica Ave</t>
  </si>
  <si>
    <t xml:space="preserve">Jamaica</t>
  </si>
  <si>
    <t xml:space="preserve">11421</t>
  </si>
  <si>
    <t xml:space="preserve">C50869</t>
  </si>
  <si>
    <t xml:space="preserve">657294</t>
  </si>
  <si>
    <t xml:space="preserve">498327</t>
  </si>
  <si>
    <t xml:space="preserve">213513</t>
  </si>
  <si>
    <t xml:space="preserve">Juan Eliceo Barrera DBA:1 Stop Wireless</t>
  </si>
  <si>
    <t xml:space="preserve">Juan E Barrera</t>
  </si>
  <si>
    <t xml:space="preserve">(562) 860-8001</t>
  </si>
  <si>
    <t xml:space="preserve">juan1stop@gmail.com</t>
  </si>
  <si>
    <t xml:space="preserve">20314 Norwalk Blvd</t>
  </si>
  <si>
    <t xml:space="preserve">Lakewood</t>
  </si>
  <si>
    <t xml:space="preserve">90715</t>
  </si>
  <si>
    <t xml:space="preserve">C51580</t>
  </si>
  <si>
    <t xml:space="preserve">632579</t>
  </si>
  <si>
    <t xml:space="preserve">479094</t>
  </si>
  <si>
    <t xml:space="preserve">208040</t>
  </si>
  <si>
    <t xml:space="preserve">Mobile Vision Repairs</t>
  </si>
  <si>
    <t xml:space="preserve">Antonio Samano Jr</t>
  </si>
  <si>
    <t xml:space="preserve">(818) 792-3777</t>
  </si>
  <si>
    <t xml:space="preserve">mobilevisionwireless@gmail.com</t>
  </si>
  <si>
    <t xml:space="preserve">12431 San Fernando Rd</t>
  </si>
  <si>
    <t xml:space="preserve">Suite #G</t>
  </si>
  <si>
    <t xml:space="preserve">Sylmar</t>
  </si>
  <si>
    <t xml:space="preserve">91342</t>
  </si>
  <si>
    <t xml:space="preserve">C50625</t>
  </si>
  <si>
    <t xml:space="preserve">182638</t>
  </si>
  <si>
    <t xml:space="preserve">192642</t>
  </si>
  <si>
    <t xml:space="preserve">200097</t>
  </si>
  <si>
    <t xml:space="preserve">Airkom Wireless</t>
  </si>
  <si>
    <t xml:space="preserve">Andy Tran</t>
  </si>
  <si>
    <t xml:space="preserve">(949) 515-3663</t>
  </si>
  <si>
    <t xml:space="preserve">airkom2001@yahoo.com</t>
  </si>
  <si>
    <t xml:space="preserve">1922 Harbor Blvd</t>
  </si>
  <si>
    <t xml:space="preserve">Costa Mesa</t>
  </si>
  <si>
    <t xml:space="preserve">92627</t>
  </si>
  <si>
    <t xml:space="preserve">C1059</t>
  </si>
  <si>
    <t xml:space="preserve">659599</t>
  </si>
  <si>
    <t xml:space="preserve">500605</t>
  </si>
  <si>
    <t xml:space="preserve">214145</t>
  </si>
  <si>
    <t xml:space="preserve">Hip Hop Fashion</t>
  </si>
  <si>
    <t xml:space="preserve">Abdu Aogmi</t>
  </si>
  <si>
    <t xml:space="preserve">(779) 772-7574</t>
  </si>
  <si>
    <t xml:space="preserve">hiphopfashion2012@yahoo.com</t>
  </si>
  <si>
    <t xml:space="preserve">3134 11th St</t>
  </si>
  <si>
    <t xml:space="preserve">Rockford</t>
  </si>
  <si>
    <t xml:space="preserve">IL</t>
  </si>
  <si>
    <t xml:space="preserve">61109</t>
  </si>
  <si>
    <t xml:space="preserve">C51808</t>
  </si>
  <si>
    <t xml:space="preserve">627278</t>
  </si>
  <si>
    <t xml:space="preserve">475654</t>
  </si>
  <si>
    <t xml:space="preserve">204684</t>
  </si>
  <si>
    <t xml:space="preserve">G &amp; G Wireless LLC</t>
  </si>
  <si>
    <t xml:space="preserve">Mauricio</t>
  </si>
  <si>
    <t xml:space="preserve">(214) 394-2276</t>
  </si>
  <si>
    <t xml:space="preserve">mauridallas@hotmail.com</t>
  </si>
  <si>
    <t xml:space="preserve">3434 W Illinois Ave</t>
  </si>
  <si>
    <t xml:space="preserve">112</t>
  </si>
  <si>
    <t xml:space="preserve">75211</t>
  </si>
  <si>
    <t xml:space="preserve">C50491</t>
  </si>
  <si>
    <t xml:space="preserve">631622</t>
  </si>
  <si>
    <t xml:space="preserve">478114</t>
  </si>
  <si>
    <t xml:space="preserve">207237</t>
  </si>
  <si>
    <t xml:space="preserve">Cellutown INC</t>
  </si>
  <si>
    <t xml:space="preserve">Zi Chao Liang</t>
  </si>
  <si>
    <t xml:space="preserve">(929) 278-2222</t>
  </si>
  <si>
    <t xml:space="preserve">CELLUTOWN5405@GMAIL.COM</t>
  </si>
  <si>
    <t xml:space="preserve">5405 8th Ave</t>
  </si>
  <si>
    <t xml:space="preserve">C50634</t>
  </si>
  <si>
    <t xml:space="preserve">627553</t>
  </si>
  <si>
    <t xml:space="preserve">475928</t>
  </si>
  <si>
    <t xml:space="preserve">204813</t>
  </si>
  <si>
    <t xml:space="preserve">Aliyeh Communication LLC</t>
  </si>
  <si>
    <t xml:space="preserve">Fadi Aliyeh</t>
  </si>
  <si>
    <t xml:space="preserve">(419) 205-2050</t>
  </si>
  <si>
    <t xml:space="preserve">fadikhalid419@gmail.com</t>
  </si>
  <si>
    <t xml:space="preserve">1419 South Ave</t>
  </si>
  <si>
    <t xml:space="preserve">Toledo</t>
  </si>
  <si>
    <t xml:space="preserve">43609</t>
  </si>
  <si>
    <t xml:space="preserve">C50519</t>
  </si>
  <si>
    <t xml:space="preserve">585277</t>
  </si>
  <si>
    <t xml:space="preserve">435072</t>
  </si>
  <si>
    <t xml:space="preserve">201483</t>
  </si>
  <si>
    <t xml:space="preserve">Valenzo Venegas Brothers</t>
  </si>
  <si>
    <t xml:space="preserve">Laura Valenzo</t>
  </si>
  <si>
    <t xml:space="preserve">(323) 232-1022</t>
  </si>
  <si>
    <t xml:space="preserve">valenzolaura@yahoo.com</t>
  </si>
  <si>
    <t xml:space="preserve">5137 Avalon Blvd</t>
  </si>
  <si>
    <t xml:space="preserve">Los Angeles</t>
  </si>
  <si>
    <t xml:space="preserve">90011</t>
  </si>
  <si>
    <t xml:space="preserve">C46885</t>
  </si>
  <si>
    <t xml:space="preserve">610023</t>
  </si>
  <si>
    <t xml:space="preserve">459539</t>
  </si>
  <si>
    <t xml:space="preserve">201465</t>
  </si>
  <si>
    <t xml:space="preserve">Mobile One Communication</t>
  </si>
  <si>
    <t xml:space="preserve">Paul Charoon Butt</t>
  </si>
  <si>
    <t xml:space="preserve">(323) 258-7988</t>
  </si>
  <si>
    <t xml:space="preserve">mobileone7988@yahoo.com</t>
  </si>
  <si>
    <t xml:space="preserve">5040 York Blvd</t>
  </si>
  <si>
    <t xml:space="preserve">90042</t>
  </si>
  <si>
    <t xml:space="preserve">C6900</t>
  </si>
  <si>
    <t xml:space="preserve">631471</t>
  </si>
  <si>
    <t xml:space="preserve">477970</t>
  </si>
  <si>
    <t xml:space="preserve">207227</t>
  </si>
  <si>
    <t xml:space="preserve">MOBICITY INC</t>
  </si>
  <si>
    <t xml:space="preserve">RYANH HE</t>
  </si>
  <si>
    <t xml:space="preserve">(718) 666-6576</t>
  </si>
  <si>
    <t xml:space="preserve">MOBICITY5513@GMAIL.COM</t>
  </si>
  <si>
    <t xml:space="preserve">5513 5TH AVE</t>
  </si>
  <si>
    <t xml:space="preserve">BROOKLYN</t>
  </si>
  <si>
    <t xml:space="preserve">C50633</t>
  </si>
  <si>
    <t xml:space="preserve">658333</t>
  </si>
  <si>
    <t xml:space="preserve">499346</t>
  </si>
  <si>
    <t xml:space="preserve">213838</t>
  </si>
  <si>
    <t xml:space="preserve">Smart Service Center</t>
  </si>
  <si>
    <t xml:space="preserve">Sana Harris</t>
  </si>
  <si>
    <t xml:space="preserve">(773) 946-9642</t>
  </si>
  <si>
    <t xml:space="preserve">quickpayharris@gmail.com</t>
  </si>
  <si>
    <t xml:space="preserve">1743 W Devon Ave</t>
  </si>
  <si>
    <t xml:space="preserve">Floor 1</t>
  </si>
  <si>
    <t xml:space="preserve">Chicago</t>
  </si>
  <si>
    <t xml:space="preserve">60660</t>
  </si>
  <si>
    <t xml:space="preserve">C51709</t>
  </si>
  <si>
    <t xml:space="preserve">661518</t>
  </si>
  <si>
    <t xml:space="preserve">502547</t>
  </si>
  <si>
    <t xml:space="preserve">209304</t>
  </si>
  <si>
    <t xml:space="preserve">Coco Wireless Inc</t>
  </si>
  <si>
    <t xml:space="preserve">Kit Xie</t>
  </si>
  <si>
    <t xml:space="preserve">cocowireless5505@gmail.com</t>
  </si>
  <si>
    <t xml:space="preserve">5505 8th Ave</t>
  </si>
  <si>
    <t xml:space="preserve">C53726</t>
  </si>
  <si>
    <t xml:space="preserve">634647</t>
  </si>
  <si>
    <t xml:space="preserve">481134</t>
  </si>
  <si>
    <t xml:space="preserve">209205</t>
  </si>
  <si>
    <t xml:space="preserve">ZNS Wireless Inc</t>
  </si>
  <si>
    <t xml:space="preserve">Siraj Ali Lakhani</t>
  </si>
  <si>
    <t xml:space="preserve">(817) 395-1032</t>
  </si>
  <si>
    <t xml:space="preserve">siru_lakhani@yahoo.com</t>
  </si>
  <si>
    <t xml:space="preserve">6320 Meadowbrook Dr</t>
  </si>
  <si>
    <t xml:space="preserve">Fort Worth</t>
  </si>
  <si>
    <t xml:space="preserve">76112</t>
  </si>
  <si>
    <t xml:space="preserve">C50789</t>
  </si>
  <si>
    <t xml:space="preserve">633777</t>
  </si>
  <si>
    <t xml:space="preserve">480276</t>
  </si>
  <si>
    <t xml:space="preserve">208706</t>
  </si>
  <si>
    <t xml:space="preserve">YoYa, Inc.</t>
  </si>
  <si>
    <t xml:space="preserve">Maria Guerra</t>
  </si>
  <si>
    <t xml:space="preserve">(818) 890-0088</t>
  </si>
  <si>
    <t xml:space="preserve">Tguerra41@aol.com</t>
  </si>
  <si>
    <t xml:space="preserve">13133 Van Nuys Blvd</t>
  </si>
  <si>
    <t xml:space="preserve">STE #B</t>
  </si>
  <si>
    <t xml:space="preserve">Pacoima</t>
  </si>
  <si>
    <t xml:space="preserve">91331</t>
  </si>
  <si>
    <t xml:space="preserve">C22463</t>
  </si>
  <si>
    <t xml:space="preserve">633690</t>
  </si>
  <si>
    <t xml:space="preserve">480189</t>
  </si>
  <si>
    <t xml:space="preserve">208681</t>
  </si>
  <si>
    <t xml:space="preserve">TX EXPRESS TECH INC</t>
  </si>
  <si>
    <t xml:space="preserve">SULAIMAN NASSER</t>
  </si>
  <si>
    <t xml:space="preserve">(469) 759-6262</t>
  </si>
  <si>
    <t xml:space="preserve">expresswirelessdv@gmail.com</t>
  </si>
  <si>
    <t xml:space="preserve">138 W CAMP WISDOM RD</t>
  </si>
  <si>
    <t xml:space="preserve">DUNCANVILLE</t>
  </si>
  <si>
    <t xml:space="preserve">75116</t>
  </si>
  <si>
    <t xml:space="preserve">C50735</t>
  </si>
  <si>
    <t xml:space="preserve">524678</t>
  </si>
  <si>
    <t xml:space="preserve">380516</t>
  </si>
  <si>
    <t xml:space="preserve">200959</t>
  </si>
  <si>
    <t xml:space="preserve">Wireless Way Inc</t>
  </si>
  <si>
    <t xml:space="preserve">Jae Jung</t>
  </si>
  <si>
    <t xml:space="preserve">(410) 276-8255</t>
  </si>
  <si>
    <t xml:space="preserve">wirelesswayinc@gmail.com</t>
  </si>
  <si>
    <t xml:space="preserve">2401 Belair Rd</t>
  </si>
  <si>
    <t xml:space="preserve">#110</t>
  </si>
  <si>
    <t xml:space="preserve">Baltimore</t>
  </si>
  <si>
    <t xml:space="preserve">MD</t>
  </si>
  <si>
    <t xml:space="preserve">21213</t>
  </si>
  <si>
    <t xml:space="preserve">C42671</t>
  </si>
  <si>
    <t xml:space="preserve">632443</t>
  </si>
  <si>
    <t xml:space="preserve">478964</t>
  </si>
  <si>
    <t xml:space="preserve">207845</t>
  </si>
  <si>
    <t xml:space="preserve">MNT Wireless Inc</t>
  </si>
  <si>
    <t xml:space="preserve">Li Ting Chen</t>
  </si>
  <si>
    <t xml:space="preserve">(347) 462-2228</t>
  </si>
  <si>
    <t xml:space="preserve">mntwireless2022@gmail.com</t>
  </si>
  <si>
    <t xml:space="preserve">2118 86th st</t>
  </si>
  <si>
    <t xml:space="preserve">C50680</t>
  </si>
  <si>
    <t xml:space="preserve">657846</t>
  </si>
  <si>
    <t xml:space="preserve">498850</t>
  </si>
  <si>
    <t xml:space="preserve">213663</t>
  </si>
  <si>
    <t xml:space="preserve">1 Quick Wireless of Michigan Inc</t>
  </si>
  <si>
    <t xml:space="preserve">Belal Attia</t>
  </si>
  <si>
    <t xml:space="preserve">(810) 516-0777</t>
  </si>
  <si>
    <t xml:space="preserve">flintsinstafix@gmail.com</t>
  </si>
  <si>
    <t xml:space="preserve">3601 Corunna Rd</t>
  </si>
  <si>
    <t xml:space="preserve">Flint</t>
  </si>
  <si>
    <t xml:space="preserve">48532</t>
  </si>
  <si>
    <t xml:space="preserve">C51638</t>
  </si>
  <si>
    <t xml:space="preserve">635266</t>
  </si>
  <si>
    <t xml:space="preserve">481735</t>
  </si>
  <si>
    <t xml:space="preserve">209436</t>
  </si>
  <si>
    <t xml:space="preserve">Red Apple Trading Inc</t>
  </si>
  <si>
    <t xml:space="preserve">Yujie Ma</t>
  </si>
  <si>
    <t xml:space="preserve">(718) 790-3353</t>
  </si>
  <si>
    <t xml:space="preserve">redapple11204@hotmail.com</t>
  </si>
  <si>
    <t xml:space="preserve">5011 8th Ave</t>
  </si>
  <si>
    <t xml:space="preserve">C50807</t>
  </si>
  <si>
    <t xml:space="preserve">627551</t>
  </si>
  <si>
    <t xml:space="preserve">475926</t>
  </si>
  <si>
    <t xml:space="preserve">204836</t>
  </si>
  <si>
    <t xml:space="preserve">Best Way International LLC</t>
  </si>
  <si>
    <t xml:space="preserve">Abdul Rauf</t>
  </si>
  <si>
    <t xml:space="preserve">(972) 982-2085</t>
  </si>
  <si>
    <t xml:space="preserve">raufrashid74@yahoo.com</t>
  </si>
  <si>
    <t xml:space="preserve">8238 E R L Thornton Fwy</t>
  </si>
  <si>
    <t xml:space="preserve">STE A</t>
  </si>
  <si>
    <t xml:space="preserve">75228</t>
  </si>
  <si>
    <t xml:space="preserve">C50510</t>
  </si>
  <si>
    <t xml:space="preserve">604901</t>
  </si>
  <si>
    <t xml:space="preserve">454716</t>
  </si>
  <si>
    <t xml:space="preserve">200985</t>
  </si>
  <si>
    <t xml:space="preserve">Av Wireless</t>
  </si>
  <si>
    <t xml:space="preserve">Alma Ezquibel-Sanchez</t>
  </si>
  <si>
    <t xml:space="preserve">(323) 541-0092</t>
  </si>
  <si>
    <t xml:space="preserve">av.wireless@yahoo.com</t>
  </si>
  <si>
    <t xml:space="preserve">250 W Florence Ave</t>
  </si>
  <si>
    <t xml:space="preserve">90003</t>
  </si>
  <si>
    <t xml:space="preserve">C48676</t>
  </si>
  <si>
    <t xml:space="preserve">181827</t>
  </si>
  <si>
    <t xml:space="preserve">191951</t>
  </si>
  <si>
    <t xml:space="preserve">200880</t>
  </si>
  <si>
    <t xml:space="preserve">Electronics Plus</t>
  </si>
  <si>
    <t xml:space="preserve">Daniel Baik</t>
  </si>
  <si>
    <t xml:space="preserve">(818) 347-7795</t>
  </si>
  <si>
    <t xml:space="preserve">EP7795@GMAIL.COM</t>
  </si>
  <si>
    <t xml:space="preserve">21107 1/2 Sherman Way</t>
  </si>
  <si>
    <t xml:space="preserve">Canoga Park</t>
  </si>
  <si>
    <t xml:space="preserve">91303</t>
  </si>
  <si>
    <t xml:space="preserve">C4775</t>
  </si>
  <si>
    <t xml:space="preserve">631620</t>
  </si>
  <si>
    <t xml:space="preserve">478112</t>
  </si>
  <si>
    <t xml:space="preserve">207388</t>
  </si>
  <si>
    <t xml:space="preserve">Smart Choice Communications Group, INC</t>
  </si>
  <si>
    <t xml:space="preserve">Felix Alishayev</t>
  </si>
  <si>
    <t xml:space="preserve">(718) 381-4149</t>
  </si>
  <si>
    <t xml:space="preserve">smartchoice11385@gmail.com</t>
  </si>
  <si>
    <t xml:space="preserve">6902 Myrtle Ave</t>
  </si>
  <si>
    <t xml:space="preserve">Glendale</t>
  </si>
  <si>
    <t xml:space="preserve">11385</t>
  </si>
  <si>
    <t xml:space="preserve">C50644</t>
  </si>
  <si>
    <t xml:space="preserve">620572</t>
  </si>
  <si>
    <t xml:space="preserve">470775</t>
  </si>
  <si>
    <t xml:space="preserve">201398</t>
  </si>
  <si>
    <t xml:space="preserve">Axe Wireless Communication</t>
  </si>
  <si>
    <t xml:space="preserve">Maria Angelica Hoyos</t>
  </si>
  <si>
    <t xml:space="preserve">(202) 600-6774</t>
  </si>
  <si>
    <t xml:space="preserve">axewireless@gmail.com</t>
  </si>
  <si>
    <t xml:space="preserve">4600 Cooper Ln</t>
  </si>
  <si>
    <t xml:space="preserve">Hyattsville</t>
  </si>
  <si>
    <t xml:space="preserve">20784</t>
  </si>
  <si>
    <t xml:space="preserve">C50118</t>
  </si>
  <si>
    <t xml:space="preserve">660331</t>
  </si>
  <si>
    <t xml:space="preserve">501339</t>
  </si>
  <si>
    <t xml:space="preserve">214266</t>
  </si>
  <si>
    <t xml:space="preserve">Malla LLC</t>
  </si>
  <si>
    <t xml:space="preserve">Nabin Malla</t>
  </si>
  <si>
    <t xml:space="preserve">(410) 205-0063</t>
  </si>
  <si>
    <t xml:space="preserve">mallallc2065@gmail.com</t>
  </si>
  <si>
    <t xml:space="preserve">7696 Belair Rd</t>
  </si>
  <si>
    <t xml:space="preserve">21226</t>
  </si>
  <si>
    <t xml:space="preserve">C53665</t>
  </si>
  <si>
    <t xml:space="preserve">428523</t>
  </si>
  <si>
    <t xml:space="preserve">283898</t>
  </si>
  <si>
    <t xml:space="preserve">201274</t>
  </si>
  <si>
    <t xml:space="preserve">Jc Wireless</t>
  </si>
  <si>
    <t xml:space="preserve">Juan Carlos Gomez</t>
  </si>
  <si>
    <t xml:space="preserve">(626) 442-0224</t>
  </si>
  <si>
    <t xml:space="preserve">jcwirelesscell@yahoo.com</t>
  </si>
  <si>
    <t xml:space="preserve">3818 Peck Rd</t>
  </si>
  <si>
    <t xml:space="preserve">Ste B</t>
  </si>
  <si>
    <t xml:space="preserve">El Monte</t>
  </si>
  <si>
    <t xml:space="preserve">91732</t>
  </si>
  <si>
    <t xml:space="preserve">C31703</t>
  </si>
  <si>
    <t xml:space="preserve">659487</t>
  </si>
  <si>
    <t xml:space="preserve">500490</t>
  </si>
  <si>
    <t xml:space="preserve">214109</t>
  </si>
  <si>
    <t xml:space="preserve">Champion 993 Corp</t>
  </si>
  <si>
    <t xml:space="preserve">Mohammed Akram</t>
  </si>
  <si>
    <t xml:space="preserve">(959) 255-6112</t>
  </si>
  <si>
    <t xml:space="preserve">cellfix13413@gmail.com</t>
  </si>
  <si>
    <t xml:space="preserve">993 Main St</t>
  </si>
  <si>
    <t xml:space="preserve">East Hartford</t>
  </si>
  <si>
    <t xml:space="preserve">06108</t>
  </si>
  <si>
    <t xml:space="preserve">C51787</t>
  </si>
  <si>
    <t xml:space="preserve">632823</t>
  </si>
  <si>
    <t xml:space="preserve">479336</t>
  </si>
  <si>
    <t xml:space="preserve">208273</t>
  </si>
  <si>
    <t xml:space="preserve">Fast Log On</t>
  </si>
  <si>
    <t xml:space="preserve">Phu Tran</t>
  </si>
  <si>
    <t xml:space="preserve">(469) 500-0896</t>
  </si>
  <si>
    <t xml:space="preserve">Kevinpartslaptop@yahoo.com</t>
  </si>
  <si>
    <t xml:space="preserve">3565 W Walnut St</t>
  </si>
  <si>
    <t xml:space="preserve">Garland</t>
  </si>
  <si>
    <t xml:space="preserve">75042</t>
  </si>
  <si>
    <t xml:space="preserve">C50692</t>
  </si>
  <si>
    <t xml:space="preserve">659393</t>
  </si>
  <si>
    <t xml:space="preserve">500388</t>
  </si>
  <si>
    <t xml:space="preserve">214066</t>
  </si>
  <si>
    <t xml:space="preserve">LT Wireless Inc</t>
  </si>
  <si>
    <t xml:space="preserve">Li Tan</t>
  </si>
  <si>
    <t xml:space="preserve">(718) 888-7181</t>
  </si>
  <si>
    <t xml:space="preserve">ltwireless123@gmail.com</t>
  </si>
  <si>
    <t xml:space="preserve">4213 Main St</t>
  </si>
  <si>
    <t xml:space="preserve">C51772</t>
  </si>
  <si>
    <t xml:space="preserve">595149</t>
  </si>
  <si>
    <t xml:space="preserve">443733</t>
  </si>
  <si>
    <t xml:space="preserve">200527</t>
  </si>
  <si>
    <t xml:space="preserve">Los Amaya</t>
  </si>
  <si>
    <t xml:space="preserve">Filemon Amaya</t>
  </si>
  <si>
    <t xml:space="preserve">(909) 824-5565</t>
  </si>
  <si>
    <t xml:space="preserve">filemonamaya@yahoo.com</t>
  </si>
  <si>
    <t xml:space="preserve">1257 N Mt Vernon Ave</t>
  </si>
  <si>
    <t xml:space="preserve">Colton</t>
  </si>
  <si>
    <t xml:space="preserve">92324</t>
  </si>
  <si>
    <t xml:space="preserve">C47560</t>
  </si>
  <si>
    <t xml:space="preserve">659854</t>
  </si>
  <si>
    <t xml:space="preserve">500860</t>
  </si>
  <si>
    <t xml:space="preserve">214169</t>
  </si>
  <si>
    <t xml:space="preserve">Wireless Techs</t>
  </si>
  <si>
    <t xml:space="preserve">Muhammad Arshad</t>
  </si>
  <si>
    <t xml:space="preserve">(346) 843-4929</t>
  </si>
  <si>
    <t xml:space="preserve">M.arshad@qaswausa.com</t>
  </si>
  <si>
    <t xml:space="preserve">4307 Ave H</t>
  </si>
  <si>
    <t xml:space="preserve">Rosenberg</t>
  </si>
  <si>
    <t xml:space="preserve">77471</t>
  </si>
  <si>
    <t xml:space="preserve">C53624</t>
  </si>
  <si>
    <t xml:space="preserve">644642</t>
  </si>
  <si>
    <t xml:space="preserve">486061</t>
  </si>
  <si>
    <t xml:space="preserve">211036</t>
  </si>
  <si>
    <t xml:space="preserve">Wireless Central Inc</t>
  </si>
  <si>
    <t xml:space="preserve">Jesse Chung</t>
  </si>
  <si>
    <t xml:space="preserve">(626) 572-9939</t>
  </si>
  <si>
    <t xml:space="preserve">wirelessjenny@gmail.com</t>
  </si>
  <si>
    <t xml:space="preserve">8207 Hellman Ave</t>
  </si>
  <si>
    <t xml:space="preserve">Rosemead</t>
  </si>
  <si>
    <t xml:space="preserve">91770</t>
  </si>
  <si>
    <t xml:space="preserve">C50946</t>
  </si>
  <si>
    <t xml:space="preserve">661517</t>
  </si>
  <si>
    <t xml:space="preserve">502546</t>
  </si>
  <si>
    <t xml:space="preserve">204330</t>
  </si>
  <si>
    <t xml:space="preserve">Xin XinWireless</t>
  </si>
  <si>
    <t xml:space="preserve">Yong Wang</t>
  </si>
  <si>
    <t xml:space="preserve">xinxin54048@gmail.com</t>
  </si>
  <si>
    <t xml:space="preserve">5404 8th Ave</t>
  </si>
  <si>
    <t xml:space="preserve">FL 1</t>
  </si>
  <si>
    <t xml:space="preserve">C53725</t>
  </si>
  <si>
    <t xml:space="preserve">650792</t>
  </si>
  <si>
    <t xml:space="preserve">492042</t>
  </si>
  <si>
    <t xml:space="preserve">212468</t>
  </si>
  <si>
    <t xml:space="preserve">J &amp; C Wireless INC</t>
  </si>
  <si>
    <t xml:space="preserve">Jeffrey Pena</t>
  </si>
  <si>
    <t xml:space="preserve">(347) 820-0999</t>
  </si>
  <si>
    <t xml:space="preserve">jeymax0930@gmail.com</t>
  </si>
  <si>
    <t xml:space="preserve">1406 Ogden Ave</t>
  </si>
  <si>
    <t xml:space="preserve">Bronx</t>
  </si>
  <si>
    <t xml:space="preserve">10452</t>
  </si>
  <si>
    <t xml:space="preserve">C51246</t>
  </si>
  <si>
    <t xml:space="preserve">634148</t>
  </si>
  <si>
    <t xml:space="preserve">480639</t>
  </si>
  <si>
    <t xml:space="preserve">208980</t>
  </si>
  <si>
    <t xml:space="preserve">OM SHREE LLC</t>
  </si>
  <si>
    <t xml:space="preserve">Deepak Chalise</t>
  </si>
  <si>
    <t xml:space="preserve">(469) 733-7489</t>
  </si>
  <si>
    <t xml:space="preserve">phonefortoday@gmail.com</t>
  </si>
  <si>
    <t xml:space="preserve">2810 N Beltline Rd</t>
  </si>
  <si>
    <t xml:space="preserve">Irving</t>
  </si>
  <si>
    <t xml:space="preserve">75062</t>
  </si>
  <si>
    <t xml:space="preserve">C50754</t>
  </si>
  <si>
    <t xml:space="preserve">625110</t>
  </si>
  <si>
    <t xml:space="preserve">474120</t>
  </si>
  <si>
    <t xml:space="preserve">203436</t>
  </si>
  <si>
    <t xml:space="preserve">Riverview Grocery Inc</t>
  </si>
  <si>
    <t xml:space="preserve">Amer Mohammad</t>
  </si>
  <si>
    <t xml:space="preserve">(815) 929-1099</t>
  </si>
  <si>
    <t xml:space="preserve">riverview1060@icloud.com</t>
  </si>
  <si>
    <t xml:space="preserve">1060 E River St</t>
  </si>
  <si>
    <t xml:space="preserve">Kankakee</t>
  </si>
  <si>
    <t xml:space="preserve">60901</t>
  </si>
  <si>
    <t xml:space="preserve">C5956</t>
  </si>
  <si>
    <t xml:space="preserve">452379</t>
  </si>
  <si>
    <t xml:space="preserve">307460</t>
  </si>
  <si>
    <t xml:space="preserve">201491</t>
  </si>
  <si>
    <t xml:space="preserve">Michelle Wireless</t>
  </si>
  <si>
    <t xml:space="preserve">tony oh</t>
  </si>
  <si>
    <t xml:space="preserve">(610) 292-9337</t>
  </si>
  <si>
    <t xml:space="preserve">mwire9337@hotmail.com</t>
  </si>
  <si>
    <t xml:space="preserve">525 W Marshall St</t>
  </si>
  <si>
    <t xml:space="preserve">Norristown</t>
  </si>
  <si>
    <t xml:space="preserve">19401</t>
  </si>
  <si>
    <t xml:space="preserve">C1783</t>
  </si>
  <si>
    <t xml:space="preserve">610566</t>
  </si>
  <si>
    <t xml:space="preserve">460063</t>
  </si>
  <si>
    <t xml:space="preserve">200534</t>
  </si>
  <si>
    <t xml:space="preserve">M &amp; A</t>
  </si>
  <si>
    <t xml:space="preserve">Jamie Chang</t>
  </si>
  <si>
    <t xml:space="preserve">(818) 759-1211</t>
  </si>
  <si>
    <t xml:space="preserve">eddiechang65@yahoo.com</t>
  </si>
  <si>
    <t xml:space="preserve">12727 Sherman Way</t>
  </si>
  <si>
    <t xml:space="preserve">SPC E30</t>
  </si>
  <si>
    <t xml:space="preserve">North Hollywood</t>
  </si>
  <si>
    <t xml:space="preserve">91605</t>
  </si>
  <si>
    <t xml:space="preserve">C6567</t>
  </si>
  <si>
    <t xml:space="preserve">650795</t>
  </si>
  <si>
    <t xml:space="preserve">492045</t>
  </si>
  <si>
    <t xml:space="preserve">212442</t>
  </si>
  <si>
    <t xml:space="preserve">JHC Wireless Inc</t>
  </si>
  <si>
    <t xml:space="preserve">Yu Chen</t>
  </si>
  <si>
    <t xml:space="preserve">(718) 552-6050</t>
  </si>
  <si>
    <t xml:space="preserve">jhcwireless@gmail.com</t>
  </si>
  <si>
    <t xml:space="preserve">20 E Broadway</t>
  </si>
  <si>
    <t xml:space="preserve">C51249</t>
  </si>
  <si>
    <t xml:space="preserve">660946</t>
  </si>
  <si>
    <t xml:space="preserve">501960</t>
  </si>
  <si>
    <t xml:space="preserve">214201</t>
  </si>
  <si>
    <t xml:space="preserve">Yaasi LLC</t>
  </si>
  <si>
    <t xml:space="preserve">Yasmin Sirajali Mukhida</t>
  </si>
  <si>
    <t xml:space="preserve">(786) 684-7867</t>
  </si>
  <si>
    <t xml:space="preserve">dream.deals@yahoo.com</t>
  </si>
  <si>
    <t xml:space="preserve">14315 Bellaire Blvd</t>
  </si>
  <si>
    <t xml:space="preserve">77083</t>
  </si>
  <si>
    <t xml:space="preserve">C53711</t>
  </si>
  <si>
    <t xml:space="preserve">658832</t>
  </si>
  <si>
    <t xml:space="preserve">499823</t>
  </si>
  <si>
    <t xml:space="preserve">213942</t>
  </si>
  <si>
    <t xml:space="preserve">AM Repair Phones and Accessories LLC</t>
  </si>
  <si>
    <t xml:space="preserve">Ashley Morales</t>
  </si>
  <si>
    <t xml:space="preserve">(323) 561-1865</t>
  </si>
  <si>
    <t xml:space="preserve">amphoneaccessories@yahoo.com</t>
  </si>
  <si>
    <t xml:space="preserve">3500 E Cesar E Chavez Ave</t>
  </si>
  <si>
    <t xml:space="preserve">90063</t>
  </si>
  <si>
    <t xml:space="preserve">C51754</t>
  </si>
  <si>
    <t xml:space="preserve">632447</t>
  </si>
  <si>
    <t xml:space="preserve">478968</t>
  </si>
  <si>
    <t xml:space="preserve">209763</t>
  </si>
  <si>
    <t xml:space="preserve">PENA LOPEZ LLC</t>
  </si>
  <si>
    <t xml:space="preserve">Jose Pena</t>
  </si>
  <si>
    <t xml:space="preserve">(856) 964-7100</t>
  </si>
  <si>
    <t xml:space="preserve">ritmorecords@comcast.net</t>
  </si>
  <si>
    <t xml:space="preserve">2224 Federal St</t>
  </si>
  <si>
    <t xml:space="preserve">Camden</t>
  </si>
  <si>
    <t xml:space="preserve">NJ</t>
  </si>
  <si>
    <t xml:space="preserve">8105</t>
  </si>
  <si>
    <t xml:space="preserve">C50677</t>
  </si>
  <si>
    <t xml:space="preserve">627273</t>
  </si>
  <si>
    <t xml:space="preserve">475649</t>
  </si>
  <si>
    <t xml:space="preserve">204685</t>
  </si>
  <si>
    <t xml:space="preserve">Bella Gomez</t>
  </si>
  <si>
    <t xml:space="preserve">4200 South Fwy</t>
  </si>
  <si>
    <t xml:space="preserve">2C-186</t>
  </si>
  <si>
    <t xml:space="preserve">76115</t>
  </si>
  <si>
    <t xml:space="preserve">660470</t>
  </si>
  <si>
    <t xml:space="preserve">501479</t>
  </si>
  <si>
    <t xml:space="preserve">203573</t>
  </si>
  <si>
    <t xml:space="preserve">XLE Wireless Inc.</t>
  </si>
  <si>
    <t xml:space="preserve">Benny Hwang</t>
  </si>
  <si>
    <t xml:space="preserve">(747) 240-2121</t>
  </si>
  <si>
    <t xml:space="preserve">xsewireless@gmail.com</t>
  </si>
  <si>
    <t xml:space="preserve">1701 Truman St.</t>
  </si>
  <si>
    <t xml:space="preserve">San Fernando</t>
  </si>
  <si>
    <t xml:space="preserve">91340</t>
  </si>
  <si>
    <t xml:space="preserve">C53669</t>
  </si>
  <si>
    <t xml:space="preserve">652650</t>
  </si>
  <si>
    <t xml:space="preserve">493809</t>
  </si>
  <si>
    <t xml:space="preserve">212860</t>
  </si>
  <si>
    <t xml:space="preserve">EPIC TECH INT'L LLC</t>
  </si>
  <si>
    <t xml:space="preserve">Yi Chen</t>
  </si>
  <si>
    <t xml:space="preserve">(626) 307-0958</t>
  </si>
  <si>
    <t xml:space="preserve">c6267896789@gmail.com</t>
  </si>
  <si>
    <t xml:space="preserve">306 N Garfield Ave</t>
  </si>
  <si>
    <t xml:space="preserve">Ste A4</t>
  </si>
  <si>
    <t xml:space="preserve">C51398</t>
  </si>
  <si>
    <t xml:space="preserve">661264</t>
  </si>
  <si>
    <t xml:space="preserve">502286</t>
  </si>
  <si>
    <t xml:space="preserve">214313</t>
  </si>
  <si>
    <t xml:space="preserve">En Dios Confio Electronics Sales and Repairs Corp</t>
  </si>
  <si>
    <t xml:space="preserve">Gardys Reyes</t>
  </si>
  <si>
    <t xml:space="preserve">cellularfactory02@gmail.com</t>
  </si>
  <si>
    <t xml:space="preserve">475 Main St</t>
  </si>
  <si>
    <t xml:space="preserve">New Rochelle</t>
  </si>
  <si>
    <t xml:space="preserve">10801</t>
  </si>
  <si>
    <t xml:space="preserve">C53723</t>
  </si>
  <si>
    <t xml:space="preserve">658695</t>
  </si>
  <si>
    <t xml:space="preserve">499688</t>
  </si>
  <si>
    <t xml:space="preserve">213916</t>
  </si>
  <si>
    <t xml:space="preserve">ATL 2025 INC</t>
  </si>
  <si>
    <t xml:space="preserve">Bibi Tasmina</t>
  </si>
  <si>
    <t xml:space="preserve">(347) 264-3050</t>
  </si>
  <si>
    <t xml:space="preserve">atl2025inc@gmail.com</t>
  </si>
  <si>
    <t xml:space="preserve">5000 Buford Hwy</t>
  </si>
  <si>
    <t xml:space="preserve">Chamblee</t>
  </si>
  <si>
    <t xml:space="preserve">30341</t>
  </si>
  <si>
    <t xml:space="preserve">C51332</t>
  </si>
  <si>
    <t xml:space="preserve">655804</t>
  </si>
  <si>
    <t xml:space="preserve">496932</t>
  </si>
  <si>
    <t xml:space="preserve">213399</t>
  </si>
  <si>
    <t xml:space="preserve">Ciara Communications</t>
  </si>
  <si>
    <t xml:space="preserve">Wilson Ruiz</t>
  </si>
  <si>
    <t xml:space="preserve">(978) 918-7812</t>
  </si>
  <si>
    <t xml:space="preserve">ciaracommunication07@gmail.com</t>
  </si>
  <si>
    <t xml:space="preserve">1 Jackson St</t>
  </si>
  <si>
    <t xml:space="preserve">Methuen</t>
  </si>
  <si>
    <t xml:space="preserve">MA</t>
  </si>
  <si>
    <t xml:space="preserve">01844</t>
  </si>
  <si>
    <t xml:space="preserve">C51553</t>
  </si>
  <si>
    <t xml:space="preserve">655425</t>
  </si>
  <si>
    <t xml:space="preserve">496574</t>
  </si>
  <si>
    <t xml:space="preserve">213203</t>
  </si>
  <si>
    <t xml:space="preserve">Five Star Wireless</t>
  </si>
  <si>
    <t xml:space="preserve">Jose Molina</t>
  </si>
  <si>
    <t xml:space="preserve">(410) 624-9700</t>
  </si>
  <si>
    <t xml:space="preserve">fivestarwirelessllc@gmail.com</t>
  </si>
  <si>
    <t xml:space="preserve">1811 Eastern Ave</t>
  </si>
  <si>
    <t xml:space="preserve">21231</t>
  </si>
  <si>
    <t xml:space="preserve">C50684</t>
  </si>
  <si>
    <t xml:space="preserve">660805</t>
  </si>
  <si>
    <t xml:space="preserve">501820</t>
  </si>
  <si>
    <t xml:space="preserve">214378</t>
  </si>
  <si>
    <t xml:space="preserve">Besadhamati LLC</t>
  </si>
  <si>
    <t xml:space="preserve">Yassin Haji</t>
  </si>
  <si>
    <t xml:space="preserve">(314) 583-1814</t>
  </si>
  <si>
    <t xml:space="preserve">makalango@yahoo.com</t>
  </si>
  <si>
    <t xml:space="preserve">3710 Gravois Ave</t>
  </si>
  <si>
    <t xml:space="preserve">St Louis</t>
  </si>
  <si>
    <t xml:space="preserve">MO</t>
  </si>
  <si>
    <t xml:space="preserve">63116</t>
  </si>
  <si>
    <t xml:space="preserve">C53704</t>
  </si>
  <si>
    <t xml:space="preserve">660282</t>
  </si>
  <si>
    <t xml:space="preserve">501290</t>
  </si>
  <si>
    <t xml:space="preserve">214253</t>
  </si>
  <si>
    <t xml:space="preserve">Lakhanis Empire LLC</t>
  </si>
  <si>
    <t xml:space="preserve">Zohaib Lakhani</t>
  </si>
  <si>
    <t xml:space="preserve">(409) 938-7860</t>
  </si>
  <si>
    <t xml:space="preserve">lakhanizohaib@yahoo.com</t>
  </si>
  <si>
    <t xml:space="preserve">8030 FM 1765</t>
  </si>
  <si>
    <t xml:space="preserve">Ste B104</t>
  </si>
  <si>
    <t xml:space="preserve">Texas City</t>
  </si>
  <si>
    <t xml:space="preserve">77591</t>
  </si>
  <si>
    <t xml:space="preserve">C53660</t>
  </si>
  <si>
    <t xml:space="preserve">659935</t>
  </si>
  <si>
    <t xml:space="preserve">500940</t>
  </si>
  <si>
    <t xml:space="preserve">214179</t>
  </si>
  <si>
    <t xml:space="preserve">JX Wireless</t>
  </si>
  <si>
    <t xml:space="preserve">JianBo Cai</t>
  </si>
  <si>
    <t xml:space="preserve">(917) 963-6666</t>
  </si>
  <si>
    <t xml:space="preserve">jxwireless@gmail.com</t>
  </si>
  <si>
    <t xml:space="preserve">46-30 Kissena Blvd</t>
  </si>
  <si>
    <t xml:space="preserve">C53366</t>
  </si>
  <si>
    <t xml:space="preserve">651330</t>
  </si>
  <si>
    <t xml:space="preserve">492588</t>
  </si>
  <si>
    <t xml:space="preserve">212535</t>
  </si>
  <si>
    <t xml:space="preserve">Yared Phones &amp; Electronics Service LLC</t>
  </si>
  <si>
    <t xml:space="preserve">Yared Mengistu Sahele</t>
  </si>
  <si>
    <t xml:space="preserve">(703) 379-6666</t>
  </si>
  <si>
    <t xml:space="preserve">yaredo4@yahoo.com</t>
  </si>
  <si>
    <t xml:space="preserve">3819C S George Mason Dr</t>
  </si>
  <si>
    <t xml:space="preserve">Falls Church</t>
  </si>
  <si>
    <t xml:space="preserve">VA</t>
  </si>
  <si>
    <t xml:space="preserve">22041</t>
  </si>
  <si>
    <t xml:space="preserve">C49970</t>
  </si>
  <si>
    <t xml:space="preserve">660365</t>
  </si>
  <si>
    <t xml:space="preserve">501374</t>
  </si>
  <si>
    <t xml:space="preserve">200679</t>
  </si>
  <si>
    <t xml:space="preserve">Juvenal Rios</t>
  </si>
  <si>
    <t xml:space="preserve">(818) 724-4075</t>
  </si>
  <si>
    <t xml:space="preserve">Aandjcellular@gmail.com</t>
  </si>
  <si>
    <t xml:space="preserve">15650 Nordhoff St</t>
  </si>
  <si>
    <t xml:space="preserve">Ste 105</t>
  </si>
  <si>
    <t xml:space="preserve">North Hills</t>
  </si>
  <si>
    <t xml:space="preserve">91343</t>
  </si>
  <si>
    <t xml:space="preserve">C53667</t>
  </si>
  <si>
    <t xml:space="preserve">658143</t>
  </si>
  <si>
    <t xml:space="preserve">499147</t>
  </si>
  <si>
    <t xml:space="preserve">213782</t>
  </si>
  <si>
    <t xml:space="preserve">I&amp;A Tech Pro Wireless LLC</t>
  </si>
  <si>
    <t xml:space="preserve">Mohamed Imran</t>
  </si>
  <si>
    <t xml:space="preserve">(845) 245-4841</t>
  </si>
  <si>
    <t xml:space="preserve">iatechprowireless@gmail.com</t>
  </si>
  <si>
    <t xml:space="preserve">459 Broadway</t>
  </si>
  <si>
    <t xml:space="preserve">Newburgh</t>
  </si>
  <si>
    <t xml:space="preserve">12550</t>
  </si>
  <si>
    <t xml:space="preserve">C51691</t>
  </si>
  <si>
    <t xml:space="preserve">658339</t>
  </si>
  <si>
    <t xml:space="preserve">499352</t>
  </si>
  <si>
    <t xml:space="preserve">213744</t>
  </si>
  <si>
    <t xml:space="preserve">Wadee marketing inc</t>
  </si>
  <si>
    <t xml:space="preserve">Abbas Abboud</t>
  </si>
  <si>
    <t xml:space="preserve">(513) 662-0505</t>
  </si>
  <si>
    <t xml:space="preserve">abbasabboud@gmail.com</t>
  </si>
  <si>
    <t xml:space="preserve">3348 Glenmore Ave</t>
  </si>
  <si>
    <t xml:space="preserve">Cincinnati</t>
  </si>
  <si>
    <t xml:space="preserve">45211</t>
  </si>
  <si>
    <t xml:space="preserve">C51668</t>
  </si>
  <si>
    <t xml:space="preserve">657130</t>
  </si>
  <si>
    <t xml:space="preserve">498164</t>
  </si>
  <si>
    <t xml:space="preserve">213501</t>
  </si>
  <si>
    <t xml:space="preserve">Dr Phone Repair</t>
  </si>
  <si>
    <t xml:space="preserve">Garima Hamal</t>
  </si>
  <si>
    <t xml:space="preserve">(817) 385-9598</t>
  </si>
  <si>
    <t xml:space="preserve">drphonerepair2018@gmail.com</t>
  </si>
  <si>
    <t xml:space="preserve">2141 N Collins St</t>
  </si>
  <si>
    <t xml:space="preserve">511</t>
  </si>
  <si>
    <t xml:space="preserve">Arlington</t>
  </si>
  <si>
    <t xml:space="preserve">76011</t>
  </si>
  <si>
    <t xml:space="preserve">C51571</t>
  </si>
  <si>
    <t xml:space="preserve">631950</t>
  </si>
  <si>
    <t xml:space="preserve">478490</t>
  </si>
  <si>
    <t xml:space="preserve">211610</t>
  </si>
  <si>
    <t xml:space="preserve">UNICOMM JMJ INC</t>
  </si>
  <si>
    <t xml:space="preserve">Jae Myung Joo</t>
  </si>
  <si>
    <t xml:space="preserve">(310) 878-7888</t>
  </si>
  <si>
    <t xml:space="preserve">unicommjmj@gmail.com</t>
  </si>
  <si>
    <t xml:space="preserve">7355 LANKERSHIM BLVD</t>
  </si>
  <si>
    <t xml:space="preserve">97</t>
  </si>
  <si>
    <t xml:space="preserve">NORTH HOLLYWOOD</t>
  </si>
  <si>
    <t xml:space="preserve">C50656</t>
  </si>
  <si>
    <t xml:space="preserve">643115</t>
  </si>
  <si>
    <t xml:space="preserve">210294</t>
  </si>
  <si>
    <t xml:space="preserve">Orbit Cellular usa LLC</t>
  </si>
  <si>
    <t xml:space="preserve">Mussie Petros</t>
  </si>
  <si>
    <t xml:space="preserve">(702) 533-5494</t>
  </si>
  <si>
    <t xml:space="preserve">orbit.enterprise@yahoo.com</t>
  </si>
  <si>
    <t xml:space="preserve">5255 S Decatur Blvd</t>
  </si>
  <si>
    <t xml:space="preserve">89118</t>
  </si>
  <si>
    <t xml:space="preserve">C50899</t>
  </si>
  <si>
    <t xml:space="preserve">604907</t>
  </si>
  <si>
    <t xml:space="preserve">454722</t>
  </si>
  <si>
    <t xml:space="preserve">201310</t>
  </si>
  <si>
    <t xml:space="preserve">Game Shop</t>
  </si>
  <si>
    <t xml:space="preserve">Tom Yoon</t>
  </si>
  <si>
    <t xml:space="preserve">(310) 902-1170</t>
  </si>
  <si>
    <t xml:space="preserve">tyoontyoon@gmail.com</t>
  </si>
  <si>
    <t xml:space="preserve">4040 W Washington Blvd</t>
  </si>
  <si>
    <t xml:space="preserve">90018</t>
  </si>
  <si>
    <t xml:space="preserve">C48672</t>
  </si>
  <si>
    <t xml:space="preserve">657802</t>
  </si>
  <si>
    <t xml:space="preserve">498810</t>
  </si>
  <si>
    <t xml:space="preserve">213666</t>
  </si>
  <si>
    <t xml:space="preserve">RoboMobile</t>
  </si>
  <si>
    <t xml:space="preserve">Oscar Adrian RomeroDiaz</t>
  </si>
  <si>
    <t xml:space="preserve">(714) 202-6732</t>
  </si>
  <si>
    <t xml:space="preserve">oscar@robomobilerepair.com</t>
  </si>
  <si>
    <t xml:space="preserve">419 S Brookhurst St</t>
  </si>
  <si>
    <t xml:space="preserve">Anaheim</t>
  </si>
  <si>
    <t xml:space="preserve">92804</t>
  </si>
  <si>
    <t xml:space="preserve">C51631</t>
  </si>
  <si>
    <t xml:space="preserve">633535</t>
  </si>
  <si>
    <t xml:space="preserve">480037</t>
  </si>
  <si>
    <t xml:space="preserve">208374</t>
  </si>
  <si>
    <t xml:space="preserve">My Mobile Place LLC</t>
  </si>
  <si>
    <t xml:space="preserve">Jerrica Marquez</t>
  </si>
  <si>
    <t xml:space="preserve">(708) 834-3668</t>
  </si>
  <si>
    <t xml:space="preserve">Joelcongui@gmail.com</t>
  </si>
  <si>
    <t xml:space="preserve">5718 Cermak Rd</t>
  </si>
  <si>
    <t xml:space="preserve">BLDG 1</t>
  </si>
  <si>
    <t xml:space="preserve">Cicero</t>
  </si>
  <si>
    <t xml:space="preserve">60804</t>
  </si>
  <si>
    <t xml:space="preserve">C50741</t>
  </si>
  <si>
    <t xml:space="preserve">659508</t>
  </si>
  <si>
    <t xml:space="preserve">500513</t>
  </si>
  <si>
    <t xml:space="preserve">214124</t>
  </si>
  <si>
    <t xml:space="preserve">Sam Phones</t>
  </si>
  <si>
    <t xml:space="preserve">Mashood Beg</t>
  </si>
  <si>
    <t xml:space="preserve">(317) 354-3367</t>
  </si>
  <si>
    <t xml:space="preserve">samphoneandjewelers@gmail.com</t>
  </si>
  <si>
    <t xml:space="preserve">5110 Pike Plaza Rd</t>
  </si>
  <si>
    <t xml:space="preserve">46254</t>
  </si>
  <si>
    <t xml:space="preserve">C51791</t>
  </si>
  <si>
    <t xml:space="preserve">657915</t>
  </si>
  <si>
    <t xml:space="preserve">498919</t>
  </si>
  <si>
    <t xml:space="preserve">213696</t>
  </si>
  <si>
    <t xml:space="preserve">Jeans N More, Inc.</t>
  </si>
  <si>
    <t xml:space="preserve">Rajkumar Bajaj</t>
  </si>
  <si>
    <t xml:space="preserve">(631) 447-2797</t>
  </si>
  <si>
    <t xml:space="preserve">jeanstown06@aim.com</t>
  </si>
  <si>
    <t xml:space="preserve">22 E Main St</t>
  </si>
  <si>
    <t xml:space="preserve">Patchogue</t>
  </si>
  <si>
    <t xml:space="preserve">11772</t>
  </si>
  <si>
    <t xml:space="preserve">C51651</t>
  </si>
  <si>
    <t xml:space="preserve">648022</t>
  </si>
  <si>
    <t xml:space="preserve">489330</t>
  </si>
  <si>
    <t xml:space="preserve">211914</t>
  </si>
  <si>
    <t xml:space="preserve">DOCTOR REPAIR TECHNOLOGY SERVICES INC.</t>
  </si>
  <si>
    <t xml:space="preserve">Jesus Cuevas Gomez</t>
  </si>
  <si>
    <t xml:space="preserve">(323) 300-0750</t>
  </si>
  <si>
    <t xml:space="preserve">dr.repair.usa@gmail.com</t>
  </si>
  <si>
    <t xml:space="preserve">312 S Soto St</t>
  </si>
  <si>
    <t xml:space="preserve">90033</t>
  </si>
  <si>
    <t xml:space="preserve">C51139</t>
  </si>
  <si>
    <t xml:space="preserve">638103</t>
  </si>
  <si>
    <t xml:space="preserve">483972</t>
  </si>
  <si>
    <t xml:space="preserve">209993</t>
  </si>
  <si>
    <t xml:space="preserve">AOTU Communication Inc</t>
  </si>
  <si>
    <t xml:space="preserve">Kehua Guo</t>
  </si>
  <si>
    <t xml:space="preserve">(929) 301-3711</t>
  </si>
  <si>
    <t xml:space="preserve">aotu.us.inc@gmail.com</t>
  </si>
  <si>
    <t xml:space="preserve">5815 Forbes Ave</t>
  </si>
  <si>
    <t xml:space="preserve">2FL</t>
  </si>
  <si>
    <t xml:space="preserve">Pittsburgh</t>
  </si>
  <si>
    <t xml:space="preserve">15217</t>
  </si>
  <si>
    <t xml:space="preserve">C50879</t>
  </si>
  <si>
    <t xml:space="preserve">646019</t>
  </si>
  <si>
    <t xml:space="preserve">487386</t>
  </si>
  <si>
    <t xml:space="preserve">208286</t>
  </si>
  <si>
    <t xml:space="preserve">FixCell</t>
  </si>
  <si>
    <t xml:space="preserve">Hassan Abulhasan</t>
  </si>
  <si>
    <t xml:space="preserve">(714) 533-3313</t>
  </si>
  <si>
    <t xml:space="preserve">info@occspecialist.com</t>
  </si>
  <si>
    <t xml:space="preserve">2050 W Lincoln Ave</t>
  </si>
  <si>
    <t xml:space="preserve">92801</t>
  </si>
  <si>
    <t xml:space="preserve">C50811</t>
  </si>
  <si>
    <t xml:space="preserve">643081</t>
  </si>
  <si>
    <t xml:space="preserve">484630</t>
  </si>
  <si>
    <t xml:space="preserve">205096</t>
  </si>
  <si>
    <t xml:space="preserve">Smart Buy Shop Inc</t>
  </si>
  <si>
    <t xml:space="preserve">Tariq Alkhatib</t>
  </si>
  <si>
    <t xml:space="preserve">(318) 615-4037</t>
  </si>
  <si>
    <t xml:space="preserve">tareqalkhatib2000@gmail.com</t>
  </si>
  <si>
    <t xml:space="preserve">1045 US-80</t>
  </si>
  <si>
    <t xml:space="preserve">Haughton</t>
  </si>
  <si>
    <t xml:space="preserve">LA</t>
  </si>
  <si>
    <t xml:space="preserve">71037</t>
  </si>
  <si>
    <t xml:space="preserve">C50543</t>
  </si>
  <si>
    <t xml:space="preserve">616366</t>
  </si>
  <si>
    <t xml:space="preserve">465782</t>
  </si>
  <si>
    <t xml:space="preserve">201892</t>
  </si>
  <si>
    <t xml:space="preserve">Leonardo Lima</t>
  </si>
  <si>
    <t xml:space="preserve">(203) 717-2471</t>
  </si>
  <si>
    <t xml:space="preserve">fixmobilex@gmail.com</t>
  </si>
  <si>
    <t xml:space="preserve">953 E Main St</t>
  </si>
  <si>
    <t xml:space="preserve">Stamford</t>
  </si>
  <si>
    <t xml:space="preserve">6902</t>
  </si>
  <si>
    <t xml:space="preserve">C50035</t>
  </si>
  <si>
    <t xml:space="preserve">652532</t>
  </si>
  <si>
    <t xml:space="preserve">493690</t>
  </si>
  <si>
    <t xml:space="preserve">212845</t>
  </si>
  <si>
    <t xml:space="preserve">Faiza Phone &amp; Repair Store INC</t>
  </si>
  <si>
    <t xml:space="preserve">Fahima Akther</t>
  </si>
  <si>
    <t xml:space="preserve">(718) 885-6332</t>
  </si>
  <si>
    <t xml:space="preserve">olmsteadmobile@gmail.com</t>
  </si>
  <si>
    <t xml:space="preserve">1507 Olmstead Ave</t>
  </si>
  <si>
    <t xml:space="preserve">10462</t>
  </si>
  <si>
    <t xml:space="preserve">C51391</t>
  </si>
  <si>
    <t xml:space="preserve">628105</t>
  </si>
  <si>
    <t xml:space="preserve">476419</t>
  </si>
  <si>
    <t xml:space="preserve">205481</t>
  </si>
  <si>
    <t xml:space="preserve">Clarks Cellphone Corner LLC</t>
  </si>
  <si>
    <t xml:space="preserve">James Hutson</t>
  </si>
  <si>
    <t xml:space="preserve">(302) 407-5643</t>
  </si>
  <si>
    <t xml:space="preserve">clarkscellphones@outlook.com</t>
  </si>
  <si>
    <t xml:space="preserve">301 S Maryland Ave</t>
  </si>
  <si>
    <t xml:space="preserve">Suite #: FRNT</t>
  </si>
  <si>
    <t xml:space="preserve">Wilmington</t>
  </si>
  <si>
    <t xml:space="preserve">DE</t>
  </si>
  <si>
    <t xml:space="preserve">19804</t>
  </si>
  <si>
    <t xml:space="preserve">C50548</t>
  </si>
  <si>
    <t xml:space="preserve">634666</t>
  </si>
  <si>
    <t xml:space="preserve">481153</t>
  </si>
  <si>
    <t xml:space="preserve">209209</t>
  </si>
  <si>
    <t xml:space="preserve">ECircle Investment INC</t>
  </si>
  <si>
    <t xml:space="preserve">Hau Chung Lai</t>
  </si>
  <si>
    <t xml:space="preserve">(415) 812-3088 Sandy</t>
  </si>
  <si>
    <t xml:space="preserve">swong@easyfinders.com</t>
  </si>
  <si>
    <t xml:space="preserve">2473 San Bruno Ave</t>
  </si>
  <si>
    <t xml:space="preserve">San Francisco</t>
  </si>
  <si>
    <t xml:space="preserve">94134</t>
  </si>
  <si>
    <t xml:space="preserve">C50802</t>
  </si>
  <si>
    <t xml:space="preserve">624290</t>
  </si>
  <si>
    <t xml:space="preserve">473542</t>
  </si>
  <si>
    <t xml:space="preserve">203434</t>
  </si>
  <si>
    <t xml:space="preserve">CPUSA LLC</t>
  </si>
  <si>
    <t xml:space="preserve">Sharjeel A Surani</t>
  </si>
  <si>
    <t xml:space="preserve">(972) 620-3700</t>
  </si>
  <si>
    <t xml:space="preserve">cellularprosusa@gmail.com</t>
  </si>
  <si>
    <t xml:space="preserve">2099 Valley View Ln</t>
  </si>
  <si>
    <t xml:space="preserve">Suite 180</t>
  </si>
  <si>
    <t xml:space="preserve">Farmers Branch</t>
  </si>
  <si>
    <t xml:space="preserve">75234</t>
  </si>
  <si>
    <t xml:space="preserve">C50399</t>
  </si>
  <si>
    <t xml:space="preserve">191601</t>
  </si>
  <si>
    <t xml:space="preserve">200713</t>
  </si>
  <si>
    <t xml:space="preserve">New Image Communication</t>
  </si>
  <si>
    <t xml:space="preserve">Ray Rubalcava</t>
  </si>
  <si>
    <t xml:space="preserve">(310) 856-8444</t>
  </si>
  <si>
    <t xml:space="preserve">newimageofcarson@yahoo.com</t>
  </si>
  <si>
    <t xml:space="preserve">1665 W Carson St</t>
  </si>
  <si>
    <t xml:space="preserve">Torrance</t>
  </si>
  <si>
    <t xml:space="preserve">90501</t>
  </si>
  <si>
    <t xml:space="preserve">C4233</t>
  </si>
  <si>
    <t xml:space="preserve">657910</t>
  </si>
  <si>
    <t xml:space="preserve">498914</t>
  </si>
  <si>
    <t xml:space="preserve">213722</t>
  </si>
  <si>
    <t xml:space="preserve">NY Computer Geeks</t>
  </si>
  <si>
    <t xml:space="preserve">Javier Aguilar</t>
  </si>
  <si>
    <t xml:space="preserve">(631) 278-3913</t>
  </si>
  <si>
    <t xml:space="preserve">javier@nycomputergeeks.com</t>
  </si>
  <si>
    <t xml:space="preserve">130 W Suffolk Ave</t>
  </si>
  <si>
    <t xml:space="preserve">C51649</t>
  </si>
  <si>
    <t xml:space="preserve">657892</t>
  </si>
  <si>
    <t xml:space="preserve">498896</t>
  </si>
  <si>
    <t xml:space="preserve">213672</t>
  </si>
  <si>
    <t xml:space="preserve">702 Cell Phone repair and sales</t>
  </si>
  <si>
    <t xml:space="preserve">Zhenyi Liao</t>
  </si>
  <si>
    <t xml:space="preserve">(702) 537-4772</t>
  </si>
  <si>
    <t xml:space="preserve">702cellphone@gmail.com</t>
  </si>
  <si>
    <t xml:space="preserve">4276 Spring Mountain Rd</t>
  </si>
  <si>
    <t xml:space="preserve">STE 222</t>
  </si>
  <si>
    <t xml:space="preserve">C51645</t>
  </si>
  <si>
    <t xml:space="preserve">651265</t>
  </si>
  <si>
    <t xml:space="preserve">492523</t>
  </si>
  <si>
    <t xml:space="preserve">212483</t>
  </si>
  <si>
    <t xml:space="preserve">2218 Wireless INC</t>
  </si>
  <si>
    <t xml:space="preserve">Qian Hu</t>
  </si>
  <si>
    <t xml:space="preserve">(929) 666-1118</t>
  </si>
  <si>
    <t xml:space="preserve">2218wireless@gmail.com</t>
  </si>
  <si>
    <t xml:space="preserve">2218 86th st</t>
  </si>
  <si>
    <t xml:space="preserve">C51329</t>
  </si>
  <si>
    <t xml:space="preserve">631759</t>
  </si>
  <si>
    <t xml:space="preserve">478252</t>
  </si>
  <si>
    <t xml:space="preserve">207408</t>
  </si>
  <si>
    <t xml:space="preserve">D F Wireless - DM Inc</t>
  </si>
  <si>
    <t xml:space="preserve">Yazmin Carmona</t>
  </si>
  <si>
    <t xml:space="preserve">(847) 510-8600</t>
  </si>
  <si>
    <t xml:space="preserve">stevenjo1985@gmail.com</t>
  </si>
  <si>
    <t xml:space="preserve">1837 W Algonquin Rd</t>
  </si>
  <si>
    <t xml:space="preserve">Mount Prospect</t>
  </si>
  <si>
    <t xml:space="preserve">60056</t>
  </si>
  <si>
    <t xml:space="preserve">C49865</t>
  </si>
  <si>
    <t xml:space="preserve">632030</t>
  </si>
  <si>
    <t xml:space="preserve">478574</t>
  </si>
  <si>
    <t xml:space="preserve">207112</t>
  </si>
  <si>
    <t xml:space="preserve">Mason Family Investments LLC</t>
  </si>
  <si>
    <t xml:space="preserve">Dakota Mason</t>
  </si>
  <si>
    <t xml:space="preserve">(319) 541-1949</t>
  </si>
  <si>
    <t xml:space="preserve">Dmason@allaboutphones.org</t>
  </si>
  <si>
    <t xml:space="preserve">201 S Clinton St</t>
  </si>
  <si>
    <t xml:space="preserve">Iowa City</t>
  </si>
  <si>
    <t xml:space="preserve">IA</t>
  </si>
  <si>
    <t xml:space="preserve">52240</t>
  </si>
  <si>
    <t xml:space="preserve">C50669</t>
  </si>
  <si>
    <t xml:space="preserve">661154</t>
  </si>
  <si>
    <t xml:space="preserve">502174</t>
  </si>
  <si>
    <t xml:space="preserve">200478</t>
  </si>
  <si>
    <t xml:space="preserve">Adrian Ibarra Basurto</t>
  </si>
  <si>
    <t xml:space="preserve">Adrian Basurto</t>
  </si>
  <si>
    <t xml:space="preserve">(323) 265-9005</t>
  </si>
  <si>
    <t xml:space="preserve">basurtoadrian@yahoo.com</t>
  </si>
  <si>
    <t xml:space="preserve">1180 S Lorena St</t>
  </si>
  <si>
    <t xml:space="preserve">90023</t>
  </si>
  <si>
    <t xml:space="preserve">C53720</t>
  </si>
  <si>
    <t xml:space="preserve">660519</t>
  </si>
  <si>
    <t xml:space="preserve">501527</t>
  </si>
  <si>
    <t xml:space="preserve">214285</t>
  </si>
  <si>
    <t xml:space="preserve">Tecum Wireless Card</t>
  </si>
  <si>
    <t xml:space="preserve">Obispo Tecum</t>
  </si>
  <si>
    <t xml:space="preserve">(323) 820-7754</t>
  </si>
  <si>
    <t xml:space="preserve">tecum12@gmail.com</t>
  </si>
  <si>
    <t xml:space="preserve">2703 W 8th St</t>
  </si>
  <si>
    <t xml:space="preserve">90005</t>
  </si>
  <si>
    <t xml:space="preserve">C51431</t>
  </si>
  <si>
    <t xml:space="preserve">660031</t>
  </si>
  <si>
    <t xml:space="preserve">501035</t>
  </si>
  <si>
    <t xml:space="preserve">214223</t>
  </si>
  <si>
    <t xml:space="preserve">Pink Trading , LLC</t>
  </si>
  <si>
    <t xml:space="preserve">Sani-E-Zehra Muhammad</t>
  </si>
  <si>
    <t xml:space="preserve">(346) 859-2442</t>
  </si>
  <si>
    <t xml:space="preserve">pinktradingllc@gmail.com</t>
  </si>
  <si>
    <t xml:space="preserve">302 N Main St</t>
  </si>
  <si>
    <t xml:space="preserve">Ste 1</t>
  </si>
  <si>
    <t xml:space="preserve">Highlands</t>
  </si>
  <si>
    <t xml:space="preserve">77562</t>
  </si>
  <si>
    <t xml:space="preserve">C53636</t>
  </si>
  <si>
    <t xml:space="preserve">658943</t>
  </si>
  <si>
    <t xml:space="preserve">499935</t>
  </si>
  <si>
    <t xml:space="preserve">213977</t>
  </si>
  <si>
    <t xml:space="preserve">Mercury Communication LLC</t>
  </si>
  <si>
    <t xml:space="preserve">Khaled Ahmed Mohammed Nas Edhah</t>
  </si>
  <si>
    <t xml:space="preserve">(646) 620-0202</t>
  </si>
  <si>
    <t xml:space="preserve">719burkeave@gmail.com</t>
  </si>
  <si>
    <t xml:space="preserve">719A Burke Ave</t>
  </si>
  <si>
    <t xml:space="preserve">10467</t>
  </si>
  <si>
    <t xml:space="preserve">C51751</t>
  </si>
  <si>
    <t xml:space="preserve">658712</t>
  </si>
  <si>
    <t xml:space="preserve">499704</t>
  </si>
  <si>
    <t xml:space="preserve">213918</t>
  </si>
  <si>
    <t xml:space="preserve">Phone Repair &amp; Accessories LLC</t>
  </si>
  <si>
    <t xml:space="preserve">Nazmul Hossain</t>
  </si>
  <si>
    <t xml:space="preserve">(513) 551-3509</t>
  </si>
  <si>
    <t xml:space="preserve">nazmulsa23@gmail.com</t>
  </si>
  <si>
    <t xml:space="preserve">37-69 74th St</t>
  </si>
  <si>
    <t xml:space="preserve">Jackson Heights</t>
  </si>
  <si>
    <t xml:space="preserve">11372</t>
  </si>
  <si>
    <t xml:space="preserve">C51735</t>
  </si>
  <si>
    <t xml:space="preserve">654788</t>
  </si>
  <si>
    <t xml:space="preserve">495939</t>
  </si>
  <si>
    <t xml:space="preserve">213069</t>
  </si>
  <si>
    <t xml:space="preserve">XTREME MOBILE INC.</t>
  </si>
  <si>
    <t xml:space="preserve">Sam Zumot</t>
  </si>
  <si>
    <t xml:space="preserve">(773) 581-8113</t>
  </si>
  <si>
    <t xml:space="preserve">XtremeMobile63@gmail.com</t>
  </si>
  <si>
    <t xml:space="preserve">4702 W 63RD ST</t>
  </si>
  <si>
    <t xml:space="preserve">CHICAGO</t>
  </si>
  <si>
    <t xml:space="preserve">60629</t>
  </si>
  <si>
    <t xml:space="preserve">C51465</t>
  </si>
  <si>
    <t xml:space="preserve">654754</t>
  </si>
  <si>
    <t xml:space="preserve">495906</t>
  </si>
  <si>
    <t xml:space="preserve">213057</t>
  </si>
  <si>
    <t xml:space="preserve">FIXACELL LLC</t>
  </si>
  <si>
    <t xml:space="preserve">Muhammad Akhoond</t>
  </si>
  <si>
    <t xml:space="preserve">(708) 728-5739</t>
  </si>
  <si>
    <t xml:space="preserve">fixacellrepair@gmail.com</t>
  </si>
  <si>
    <t xml:space="preserve">1720 Chicago Rd</t>
  </si>
  <si>
    <t xml:space="preserve">D</t>
  </si>
  <si>
    <t xml:space="preserve">Chicago Heights</t>
  </si>
  <si>
    <t xml:space="preserve">60411</t>
  </si>
  <si>
    <t xml:space="preserve">C51472</t>
  </si>
  <si>
    <t xml:space="preserve">651978</t>
  </si>
  <si>
    <t xml:space="preserve">493168</t>
  </si>
  <si>
    <t xml:space="preserve">212717</t>
  </si>
  <si>
    <t xml:space="preserve">USK Wireless Inc</t>
  </si>
  <si>
    <t xml:space="preserve">Heung Sup Park</t>
  </si>
  <si>
    <t xml:space="preserve">(770) 524-8322</t>
  </si>
  <si>
    <t xml:space="preserve">usk.wireless@gmail.com</t>
  </si>
  <si>
    <t xml:space="preserve">1919 Metropolitan Pkwy SW</t>
  </si>
  <si>
    <t xml:space="preserve">C-1</t>
  </si>
  <si>
    <t xml:space="preserve">Atlanta</t>
  </si>
  <si>
    <t xml:space="preserve">30315</t>
  </si>
  <si>
    <t xml:space="preserve">C51364</t>
  </si>
  <si>
    <t xml:space="preserve">647309</t>
  </si>
  <si>
    <t xml:space="preserve">488635</t>
  </si>
  <si>
    <t xml:space="preserve">211759</t>
  </si>
  <si>
    <t xml:space="preserve">Never 2 Much LLC</t>
  </si>
  <si>
    <t xml:space="preserve">Shaun Hamilton</t>
  </si>
  <si>
    <t xml:space="preserve">(323) 293-9698</t>
  </si>
  <si>
    <t xml:space="preserve">never2muchwireless@gmail.com</t>
  </si>
  <si>
    <t xml:space="preserve">4700 Crenshaw Blvd</t>
  </si>
  <si>
    <t xml:space="preserve">90043</t>
  </si>
  <si>
    <t xml:space="preserve">C49994</t>
  </si>
  <si>
    <t xml:space="preserve">636853</t>
  </si>
  <si>
    <t xml:space="preserve">483303</t>
  </si>
  <si>
    <t xml:space="preserve">209850</t>
  </si>
  <si>
    <t xml:space="preserve">TECHNOVA LLC</t>
  </si>
  <si>
    <t xml:space="preserve">Shengwen Wang</t>
  </si>
  <si>
    <t xml:space="preserve">(626) 300-6630</t>
  </si>
  <si>
    <t xml:space="preserve">alhambra168fixit@gmail.com</t>
  </si>
  <si>
    <t xml:space="preserve">1437 E Valley Blvd</t>
  </si>
  <si>
    <t xml:space="preserve">Alhambra</t>
  </si>
  <si>
    <t xml:space="preserve">91801</t>
  </si>
  <si>
    <t xml:space="preserve">C50863</t>
  </si>
  <si>
    <t xml:space="preserve">632742</t>
  </si>
  <si>
    <t xml:space="preserve">479259</t>
  </si>
  <si>
    <t xml:space="preserve">208262</t>
  </si>
  <si>
    <t xml:space="preserve">Lam Nuoc Khoang Chat &amp; Prepaid Wireless</t>
  </si>
  <si>
    <t xml:space="preserve">Son Thanh Nguyen</t>
  </si>
  <si>
    <t xml:space="preserve">(714) 539-5709</t>
  </si>
  <si>
    <t xml:space="preserve">lamvideo@hotmail.com</t>
  </si>
  <si>
    <t xml:space="preserve">10244 Westminster Ave</t>
  </si>
  <si>
    <t xml:space="preserve">Garden Grove</t>
  </si>
  <si>
    <t xml:space="preserve">92843</t>
  </si>
  <si>
    <t xml:space="preserve">C50687</t>
  </si>
  <si>
    <t xml:space="preserve">627161</t>
  </si>
  <si>
    <t xml:space="preserve">475545</t>
  </si>
  <si>
    <t xml:space="preserve">204698</t>
  </si>
  <si>
    <t xml:space="preserve">NAUSIF MAKNOJIA</t>
  </si>
  <si>
    <t xml:space="preserve">Nausif Maknojia</t>
  </si>
  <si>
    <t xml:space="preserve">(346) 227-2192</t>
  </si>
  <si>
    <t xml:space="preserve">NNMBUSINESS@GMAIL.COM</t>
  </si>
  <si>
    <t xml:space="preserve">9949 Harwin Dr.</t>
  </si>
  <si>
    <t xml:space="preserve">Suite C</t>
  </si>
  <si>
    <t xml:space="preserve">C50481</t>
  </si>
  <si>
    <t xml:space="preserve">655726</t>
  </si>
  <si>
    <t xml:space="preserve">496854</t>
  </si>
  <si>
    <t xml:space="preserve">213370</t>
  </si>
  <si>
    <t xml:space="preserve">Wireless Solutions</t>
  </si>
  <si>
    <t xml:space="preserve">Jennifer Samanta Andrade Aguirre</t>
  </si>
  <si>
    <t xml:space="preserve">(702) 582-2007</t>
  </si>
  <si>
    <t xml:space="preserve">wireless.solutionslv@gmail.com</t>
  </si>
  <si>
    <t xml:space="preserve">3100 E Lake Mead Blvd</t>
  </si>
  <si>
    <t xml:space="preserve">17</t>
  </si>
  <si>
    <t xml:space="preserve">North Las Vegas</t>
  </si>
  <si>
    <t xml:space="preserve">89030</t>
  </si>
  <si>
    <t xml:space="preserve">C51547</t>
  </si>
  <si>
    <t xml:space="preserve">660686</t>
  </si>
  <si>
    <t xml:space="preserve">501699</t>
  </si>
  <si>
    <t xml:space="preserve">214314</t>
  </si>
  <si>
    <t xml:space="preserve">Mr Fix It Mobile</t>
  </si>
  <si>
    <t xml:space="preserve">Til Gurung</t>
  </si>
  <si>
    <t xml:space="preserve">(410) 800-7514</t>
  </si>
  <si>
    <t xml:space="preserve">mrfixitmobile2@gmail.com</t>
  </si>
  <si>
    <t xml:space="preserve">4132 E Joppa Rd</t>
  </si>
  <si>
    <t xml:space="preserve">Nottingham</t>
  </si>
  <si>
    <t xml:space="preserve">21236</t>
  </si>
  <si>
    <t xml:space="preserve">C53692</t>
  </si>
  <si>
    <t xml:space="preserve">659588</t>
  </si>
  <si>
    <t xml:space="preserve">500594</t>
  </si>
  <si>
    <t xml:space="preserve">214120</t>
  </si>
  <si>
    <t xml:space="preserve">Tech Savior LLC</t>
  </si>
  <si>
    <t xml:space="preserve">Muhammad Abbas</t>
  </si>
  <si>
    <t xml:space="preserve">(945) 342-2339</t>
  </si>
  <si>
    <t xml:space="preserve">corporate@techsavior.biz</t>
  </si>
  <si>
    <t xml:space="preserve">4220 E Lancaster Ave</t>
  </si>
  <si>
    <t xml:space="preserve">76103</t>
  </si>
  <si>
    <t xml:space="preserve">C51803</t>
  </si>
  <si>
    <t xml:space="preserve">658487</t>
  </si>
  <si>
    <t xml:space="preserve">499500</t>
  </si>
  <si>
    <t xml:space="preserve">213870</t>
  </si>
  <si>
    <t xml:space="preserve">Mobile Go Repair Edinburg LLC</t>
  </si>
  <si>
    <t xml:space="preserve">Rogelio De Leo</t>
  </si>
  <si>
    <t xml:space="preserve">(956) 899-6907</t>
  </si>
  <si>
    <t xml:space="preserve">mobilegorepair3@gmail.com</t>
  </si>
  <si>
    <t xml:space="preserve">3621 Closner Blvd</t>
  </si>
  <si>
    <t xml:space="preserve">Edinburg</t>
  </si>
  <si>
    <t xml:space="preserve">78541</t>
  </si>
  <si>
    <t xml:space="preserve">C51718</t>
  </si>
  <si>
    <t xml:space="preserve">638450</t>
  </si>
  <si>
    <t xml:space="preserve">484311</t>
  </si>
  <si>
    <t xml:space="preserve">211154</t>
  </si>
  <si>
    <t xml:space="preserve">SAA Communications LLC</t>
  </si>
  <si>
    <t xml:space="preserve">Asif Merchant</t>
  </si>
  <si>
    <t xml:space="preserve">(972) 330-3010</t>
  </si>
  <si>
    <t xml:space="preserve">asifshelina@yahoo.com</t>
  </si>
  <si>
    <t xml:space="preserve">10788 Harry Hines Blvd</t>
  </si>
  <si>
    <t xml:space="preserve">75220</t>
  </si>
  <si>
    <t xml:space="preserve">C45072</t>
  </si>
  <si>
    <t xml:space="preserve">635831</t>
  </si>
  <si>
    <t xml:space="preserve">482293</t>
  </si>
  <si>
    <t xml:space="preserve">209627</t>
  </si>
  <si>
    <t xml:space="preserve">Starling Phone Repair LLC</t>
  </si>
  <si>
    <t xml:space="preserve">Mohammad Rahman</t>
  </si>
  <si>
    <t xml:space="preserve">(347) 657-1835</t>
  </si>
  <si>
    <t xml:space="preserve">mohammadhasanur@gmail.com</t>
  </si>
  <si>
    <t xml:space="preserve">2156 Starling Ave</t>
  </si>
  <si>
    <t xml:space="preserve">C50835</t>
  </si>
  <si>
    <t xml:space="preserve">631829</t>
  </si>
  <si>
    <t xml:space="preserve">478318</t>
  </si>
  <si>
    <t xml:space="preserve">208603</t>
  </si>
  <si>
    <t xml:space="preserve">Munoz Wireless</t>
  </si>
  <si>
    <t xml:space="preserve">Johana Gonzalez</t>
  </si>
  <si>
    <t xml:space="preserve">(805) 524-1215</t>
  </si>
  <si>
    <t xml:space="preserve">munozwireless751@gmail.com</t>
  </si>
  <si>
    <t xml:space="preserve">751 Ventura Street</t>
  </si>
  <si>
    <t xml:space="preserve">Ste G</t>
  </si>
  <si>
    <t xml:space="preserve">Fillmore</t>
  </si>
  <si>
    <t xml:space="preserve">93015</t>
  </si>
  <si>
    <t xml:space="preserve">C50588</t>
  </si>
  <si>
    <t xml:space="preserve">635909</t>
  </si>
  <si>
    <t xml:space="preserve">482368</t>
  </si>
  <si>
    <t xml:space="preserve">208078</t>
  </si>
  <si>
    <t xml:space="preserve">Minshe Corp DBA Wireless Tech</t>
  </si>
  <si>
    <t xml:space="preserve">Sher B Gharti-Magar</t>
  </si>
  <si>
    <t xml:space="preserve">(718) 526-0251 Paola</t>
  </si>
  <si>
    <t xml:space="preserve">wtechny@gmail.com</t>
  </si>
  <si>
    <t xml:space="preserve">16011 Hillside Ave</t>
  </si>
  <si>
    <t xml:space="preserve">11432</t>
  </si>
  <si>
    <t xml:space="preserve">C50681</t>
  </si>
  <si>
    <t xml:space="preserve">605869</t>
  </si>
  <si>
    <t xml:space="preserve">455629</t>
  </si>
  <si>
    <t xml:space="preserve">201326</t>
  </si>
  <si>
    <t xml:space="preserve">ECJ Cellulars</t>
  </si>
  <si>
    <t xml:space="preserve">Silvia Alonso</t>
  </si>
  <si>
    <t xml:space="preserve">(323) 235-3288</t>
  </si>
  <si>
    <t xml:space="preserve">ecjcellulars@sbcglobal.net</t>
  </si>
  <si>
    <t xml:space="preserve">4126 S Broadway</t>
  </si>
  <si>
    <t xml:space="preserve">90037</t>
  </si>
  <si>
    <t xml:space="preserve">C48742</t>
  </si>
  <si>
    <t xml:space="preserve">608673</t>
  </si>
  <si>
    <t xml:space="preserve">458243</t>
  </si>
  <si>
    <t xml:space="preserve">200442</t>
  </si>
  <si>
    <t xml:space="preserve">SAI COMMUNICATIONS INC</t>
  </si>
  <si>
    <t xml:space="preserve">Kanchan Aroraa</t>
  </si>
  <si>
    <t xml:space="preserve">(301) 933-3319</t>
  </si>
  <si>
    <t xml:space="preserve">Saicommunicationsk@gmail.com</t>
  </si>
  <si>
    <t xml:space="preserve">11160 Veirs Mill Rd</t>
  </si>
  <si>
    <t xml:space="preserve">Silver Spring</t>
  </si>
  <si>
    <t xml:space="preserve">20902</t>
  </si>
  <si>
    <t xml:space="preserve">C48835</t>
  </si>
  <si>
    <t xml:space="preserve">603388</t>
  </si>
  <si>
    <t xml:space="preserve">453223</t>
  </si>
  <si>
    <t xml:space="preserve">200427</t>
  </si>
  <si>
    <t xml:space="preserve">Booboo Wireless</t>
  </si>
  <si>
    <t xml:space="preserve">Darell Booker</t>
  </si>
  <si>
    <t xml:space="preserve">(757) 594-9420 Darell</t>
  </si>
  <si>
    <t xml:space="preserve">booboowireless@yahoo.com</t>
  </si>
  <si>
    <t xml:space="preserve">11002 Jefferson Ave</t>
  </si>
  <si>
    <t xml:space="preserve">#B</t>
  </si>
  <si>
    <t xml:space="preserve">Newport News</t>
  </si>
  <si>
    <t xml:space="preserve">23601</t>
  </si>
  <si>
    <t xml:space="preserve">C48239</t>
  </si>
  <si>
    <t xml:space="preserve">659327</t>
  </si>
  <si>
    <t xml:space="preserve">500323</t>
  </si>
  <si>
    <t xml:space="preserve">214047</t>
  </si>
  <si>
    <t xml:space="preserve">Wireless Experts 118 LLC</t>
  </si>
  <si>
    <t xml:space="preserve">Pawan Bhatia</t>
  </si>
  <si>
    <t xml:space="preserve">(347) 743-4444</t>
  </si>
  <si>
    <t xml:space="preserve">wirelessworld130@gmail.com</t>
  </si>
  <si>
    <t xml:space="preserve">130-16 Liberty Ave</t>
  </si>
  <si>
    <t xml:space="preserve">South Richmond Hill</t>
  </si>
  <si>
    <t xml:space="preserve">11419</t>
  </si>
  <si>
    <t xml:space="preserve">C51766</t>
  </si>
  <si>
    <t xml:space="preserve">651558</t>
  </si>
  <si>
    <t xml:space="preserve">492813</t>
  </si>
  <si>
    <t xml:space="preserve">212680</t>
  </si>
  <si>
    <t xml:space="preserve">Walkman Enterprises, Inc</t>
  </si>
  <si>
    <t xml:space="preserve">Rafir Bhimani</t>
  </si>
  <si>
    <t xml:space="preserve">(972) 241-6100</t>
  </si>
  <si>
    <t xml:space="preserve">Liquidationdeal@yahoo.com</t>
  </si>
  <si>
    <t xml:space="preserve">6619 FOREST HILL DR</t>
  </si>
  <si>
    <t xml:space="preserve">25</t>
  </si>
  <si>
    <t xml:space="preserve">FOREST HILL</t>
  </si>
  <si>
    <t xml:space="preserve">76140</t>
  </si>
  <si>
    <t xml:space="preserve">C51378</t>
  </si>
  <si>
    <t xml:space="preserve">659577</t>
  </si>
  <si>
    <t xml:space="preserve">500583</t>
  </si>
  <si>
    <t xml:space="preserve">214142</t>
  </si>
  <si>
    <t xml:space="preserve">KK Electronic Sales &amp; Repair</t>
  </si>
  <si>
    <t xml:space="preserve">Muzamil Lakhani</t>
  </si>
  <si>
    <t xml:space="preserve">(832) 874-4260</t>
  </si>
  <si>
    <t xml:space="preserve">lakhanidynasty@gmail.com</t>
  </si>
  <si>
    <t xml:space="preserve">16832 State Hwy 3</t>
  </si>
  <si>
    <t xml:space="preserve">Webster</t>
  </si>
  <si>
    <t xml:space="preserve">77598</t>
  </si>
  <si>
    <t xml:space="preserve">C51802</t>
  </si>
  <si>
    <t xml:space="preserve">658626</t>
  </si>
  <si>
    <t xml:space="preserve">499634</t>
  </si>
  <si>
    <t xml:space="preserve">213904</t>
  </si>
  <si>
    <t xml:space="preserve">Northeast Wireless Group Inc</t>
  </si>
  <si>
    <t xml:space="preserve">Dmitri Lemberski</t>
  </si>
  <si>
    <t xml:space="preserve">(215) 676-6300</t>
  </si>
  <si>
    <t xml:space="preserve">newireless12@gmail.com</t>
  </si>
  <si>
    <t xml:space="preserve">842 Red Lion Rd</t>
  </si>
  <si>
    <t xml:space="preserve">19115</t>
  </si>
  <si>
    <t xml:space="preserve">C51733</t>
  </si>
  <si>
    <t xml:space="preserve">657878</t>
  </si>
  <si>
    <t xml:space="preserve">498882</t>
  </si>
  <si>
    <t xml:space="preserve">213767</t>
  </si>
  <si>
    <t xml:space="preserve">Mr Computer Tech LLC</t>
  </si>
  <si>
    <t xml:space="preserve">Wailin Batista</t>
  </si>
  <si>
    <t xml:space="preserve">(215) 758-0213</t>
  </si>
  <si>
    <t xml:space="preserve">mrcomputertech@hotmail.com</t>
  </si>
  <si>
    <t xml:space="preserve">4169 N Reese st</t>
  </si>
  <si>
    <t xml:space="preserve">19140</t>
  </si>
  <si>
    <t xml:space="preserve">C51643</t>
  </si>
  <si>
    <t xml:space="preserve">634645</t>
  </si>
  <si>
    <t xml:space="preserve">481132</t>
  </si>
  <si>
    <t xml:space="preserve">209192</t>
  </si>
  <si>
    <t xml:space="preserve">Omars Beauty Plus Discount Inc.</t>
  </si>
  <si>
    <t xml:space="preserve">Fakhry Daoud</t>
  </si>
  <si>
    <t xml:space="preserve">(216) 851-8911</t>
  </si>
  <si>
    <t xml:space="preserve">fairplan26@aol.com</t>
  </si>
  <si>
    <t xml:space="preserve">14939 Saint Clair Ave</t>
  </si>
  <si>
    <t xml:space="preserve">Cleveland</t>
  </si>
  <si>
    <t xml:space="preserve">44110</t>
  </si>
  <si>
    <t xml:space="preserve">C50785</t>
  </si>
  <si>
    <t xml:space="preserve">660991</t>
  </si>
  <si>
    <t xml:space="preserve">502005</t>
  </si>
  <si>
    <t xml:space="preserve">214404</t>
  </si>
  <si>
    <t xml:space="preserve">Phone Zone LLC</t>
  </si>
  <si>
    <t xml:space="preserve">Ayman Metwaly</t>
  </si>
  <si>
    <t xml:space="preserve">aymanMetwaly288@gmail.com</t>
  </si>
  <si>
    <t xml:space="preserve">2517 W Reservoir Blvd</t>
  </si>
  <si>
    <t xml:space="preserve">Peoria</t>
  </si>
  <si>
    <t xml:space="preserve">61615</t>
  </si>
  <si>
    <t xml:space="preserve">C53713</t>
  </si>
  <si>
    <t xml:space="preserve">660630</t>
  </si>
  <si>
    <t xml:space="preserve">501640</t>
  </si>
  <si>
    <t xml:space="preserve">214298</t>
  </si>
  <si>
    <t xml:space="preserve">BRPRO LLC</t>
  </si>
  <si>
    <t xml:space="preserve">Christian Diaz</t>
  </si>
  <si>
    <t xml:space="preserve">(225) 636-2010</t>
  </si>
  <si>
    <t xml:space="preserve">getitrepairnow@gmail.com</t>
  </si>
  <si>
    <t xml:space="preserve">10825 Florida Blvd</t>
  </si>
  <si>
    <t xml:space="preserve">Baton Rouge</t>
  </si>
  <si>
    <t xml:space="preserve">70815</t>
  </si>
  <si>
    <t xml:space="preserve">C53681</t>
  </si>
  <si>
    <t xml:space="preserve">659496</t>
  </si>
  <si>
    <t xml:space="preserve">500501</t>
  </si>
  <si>
    <t xml:space="preserve">214044</t>
  </si>
  <si>
    <t xml:space="preserve">SARAH WHOLESALE</t>
  </si>
  <si>
    <t xml:space="preserve">JAVED PATEL</t>
  </si>
  <si>
    <t xml:space="preserve">(713) 781-4786</t>
  </si>
  <si>
    <t xml:space="preserve">worldwholesale1@aol.com</t>
  </si>
  <si>
    <t xml:space="preserve">5718 Fondern Rd</t>
  </si>
  <si>
    <t xml:space="preserve">C51786</t>
  </si>
  <si>
    <t xml:space="preserve">657824</t>
  </si>
  <si>
    <t xml:space="preserve">498829</t>
  </si>
  <si>
    <t xml:space="preserve">213656</t>
  </si>
  <si>
    <t xml:space="preserve">A2Z All LLC</t>
  </si>
  <si>
    <t xml:space="preserve">Muhammad Zaman</t>
  </si>
  <si>
    <t xml:space="preserve">(336) 471-6796</t>
  </si>
  <si>
    <t xml:space="preserve">mzeepak78@gmail.com</t>
  </si>
  <si>
    <t xml:space="preserve">1302 Five Points Place</t>
  </si>
  <si>
    <t xml:space="preserve">High Point</t>
  </si>
  <si>
    <t xml:space="preserve">NC</t>
  </si>
  <si>
    <t xml:space="preserve">27260</t>
  </si>
  <si>
    <t xml:space="preserve">C51635</t>
  </si>
  <si>
    <t xml:space="preserve">657226</t>
  </si>
  <si>
    <t xml:space="preserve">498258</t>
  </si>
  <si>
    <t xml:space="preserve">213497</t>
  </si>
  <si>
    <t xml:space="preserve">Akron Wireless Exchange</t>
  </si>
  <si>
    <t xml:space="preserve">Abdalaziz Awad</t>
  </si>
  <si>
    <t xml:space="preserve">(330) 535-6791</t>
  </si>
  <si>
    <t xml:space="preserve">wirelessexpress@myyahoo.com</t>
  </si>
  <si>
    <t xml:space="preserve">302 E Exchange St</t>
  </si>
  <si>
    <t xml:space="preserve">44304</t>
  </si>
  <si>
    <t xml:space="preserve">C51574</t>
  </si>
  <si>
    <t xml:space="preserve">655457</t>
  </si>
  <si>
    <t xml:space="preserve">496597</t>
  </si>
  <si>
    <t xml:space="preserve">213279</t>
  </si>
  <si>
    <t xml:space="preserve">ZEEZINK LLC</t>
  </si>
  <si>
    <t xml:space="preserve">Shahzeb Tejani</t>
  </si>
  <si>
    <t xml:space="preserve">(281) 704-2916</t>
  </si>
  <si>
    <t xml:space="preserve">Cellularcityoftexas@gmail.com</t>
  </si>
  <si>
    <t xml:space="preserve">178 Uvalde Rd</t>
  </si>
  <si>
    <t xml:space="preserve">77015</t>
  </si>
  <si>
    <t xml:space="preserve">C51593</t>
  </si>
  <si>
    <t xml:space="preserve">652661</t>
  </si>
  <si>
    <t xml:space="preserve">493814</t>
  </si>
  <si>
    <t xml:space="preserve">212864</t>
  </si>
  <si>
    <t xml:space="preserve">SASA Deals LLC</t>
  </si>
  <si>
    <t xml:space="preserve">(214) 986-3683</t>
  </si>
  <si>
    <t xml:space="preserve">admin@dailydealscarrollton.com</t>
  </si>
  <si>
    <t xml:space="preserve">1927 E Belt Line Rd</t>
  </si>
  <si>
    <t xml:space="preserve">Ste 170</t>
  </si>
  <si>
    <t xml:space="preserve">Carrollton</t>
  </si>
  <si>
    <t xml:space="preserve">75006</t>
  </si>
  <si>
    <t xml:space="preserve">C51404</t>
  </si>
  <si>
    <t xml:space="preserve">647435</t>
  </si>
  <si>
    <t xml:space="preserve">488755</t>
  </si>
  <si>
    <t xml:space="preserve">211561</t>
  </si>
  <si>
    <t xml:space="preserve">D &amp; D Enterprises Inc.</t>
  </si>
  <si>
    <t xml:space="preserve">Dervin Cunningham</t>
  </si>
  <si>
    <t xml:space="preserve">(229) 888-6940</t>
  </si>
  <si>
    <t xml:space="preserve">endwireless23@yahoo.com</t>
  </si>
  <si>
    <t xml:space="preserve">243 E Oglethorpe Blvd</t>
  </si>
  <si>
    <t xml:space="preserve">Albany</t>
  </si>
  <si>
    <t xml:space="preserve">31705</t>
  </si>
  <si>
    <t xml:space="preserve">C51100</t>
  </si>
  <si>
    <t xml:space="preserve">644962</t>
  </si>
  <si>
    <t xml:space="preserve">486363</t>
  </si>
  <si>
    <t xml:space="preserve">205966</t>
  </si>
  <si>
    <t xml:space="preserve">Omega Cellular LLC</t>
  </si>
  <si>
    <t xml:space="preserve">Sarath Alahakoon</t>
  </si>
  <si>
    <t xml:space="preserve">(805) 640-1888</t>
  </si>
  <si>
    <t xml:space="preserve">omegacellular@gmail.com</t>
  </si>
  <si>
    <t xml:space="preserve">236 W Ojai Ave</t>
  </si>
  <si>
    <t xml:space="preserve">Ojai</t>
  </si>
  <si>
    <t xml:space="preserve">93023</t>
  </si>
  <si>
    <t xml:space="preserve">C50547</t>
  </si>
  <si>
    <t xml:space="preserve">628243</t>
  </si>
  <si>
    <t xml:space="preserve">476561</t>
  </si>
  <si>
    <t xml:space="preserve">205915</t>
  </si>
  <si>
    <t xml:space="preserve">Dville Mobile INC</t>
  </si>
  <si>
    <t xml:space="preserve">Rabie Hreish</t>
  </si>
  <si>
    <t xml:space="preserve">(225) 474-4011</t>
  </si>
  <si>
    <t xml:space="preserve">dvmoly@gmail.com</t>
  </si>
  <si>
    <t xml:space="preserve">400 Marchand Dr</t>
  </si>
  <si>
    <t xml:space="preserve">Donaldsonville</t>
  </si>
  <si>
    <t xml:space="preserve">70346</t>
  </si>
  <si>
    <t xml:space="preserve">C50559</t>
  </si>
  <si>
    <t xml:space="preserve">628017</t>
  </si>
  <si>
    <t xml:space="preserve">476335</t>
  </si>
  <si>
    <t xml:space="preserve">205757</t>
  </si>
  <si>
    <t xml:space="preserve">Compucell LLC</t>
  </si>
  <si>
    <t xml:space="preserve">Edgar Salas</t>
  </si>
  <si>
    <t xml:space="preserve">(956) 240-5539</t>
  </si>
  <si>
    <t xml:space="preserve">compucellrgv@gmail.com</t>
  </si>
  <si>
    <t xml:space="preserve">114 E Griffin Pkwy</t>
  </si>
  <si>
    <t xml:space="preserve">Mission</t>
  </si>
  <si>
    <t xml:space="preserve">78572</t>
  </si>
  <si>
    <t xml:space="preserve">C50545</t>
  </si>
  <si>
    <t xml:space="preserve">626035</t>
  </si>
  <si>
    <t xml:space="preserve">474952</t>
  </si>
  <si>
    <t xml:space="preserve">204586</t>
  </si>
  <si>
    <t xml:space="preserve">Lety Garcia</t>
  </si>
  <si>
    <t xml:space="preserve">Lety Garcia- Saquich</t>
  </si>
  <si>
    <t xml:space="preserve">(308) 382-5303</t>
  </si>
  <si>
    <t xml:space="preserve">remigio1078@hotmail.com</t>
  </si>
  <si>
    <t xml:space="preserve">405 N Pine St</t>
  </si>
  <si>
    <t xml:space="preserve">Grand Island</t>
  </si>
  <si>
    <t xml:space="preserve">NE</t>
  </si>
  <si>
    <t xml:space="preserve">68801</t>
  </si>
  <si>
    <t xml:space="preserve">C50459</t>
  </si>
  <si>
    <t xml:space="preserve">604891</t>
  </si>
  <si>
    <t xml:space="preserve">454706</t>
  </si>
  <si>
    <t xml:space="preserve">201376</t>
  </si>
  <si>
    <t xml:space="preserve">Global Mobile</t>
  </si>
  <si>
    <t xml:space="preserve">Juan Candido Nicolas</t>
  </si>
  <si>
    <t xml:space="preserve">(323) 707-2003</t>
  </si>
  <si>
    <t xml:space="preserve">globalmobileunlimited@gmail.com</t>
  </si>
  <si>
    <t xml:space="preserve">4412 S Main St</t>
  </si>
  <si>
    <t xml:space="preserve">C48681</t>
  </si>
  <si>
    <t xml:space="preserve">608070</t>
  </si>
  <si>
    <t xml:space="preserve">457643</t>
  </si>
  <si>
    <t xml:space="preserve">200634</t>
  </si>
  <si>
    <t xml:space="preserve">El Gallo Universal</t>
  </si>
  <si>
    <t xml:space="preserve">Jeffrey Castro</t>
  </si>
  <si>
    <t xml:space="preserve">(619) 266-7200</t>
  </si>
  <si>
    <t xml:space="preserve">elgallouniversall@gmail.com</t>
  </si>
  <si>
    <t xml:space="preserve">1460 S 43rd St</t>
  </si>
  <si>
    <t xml:space="preserve">Ste F</t>
  </si>
  <si>
    <t xml:space="preserve">San Diego</t>
  </si>
  <si>
    <t xml:space="preserve">92113</t>
  </si>
  <si>
    <t xml:space="preserve">C48822</t>
  </si>
  <si>
    <t xml:space="preserve">151634</t>
  </si>
  <si>
    <t xml:space="preserve">162872</t>
  </si>
  <si>
    <t xml:space="preserve">200092</t>
  </si>
  <si>
    <t xml:space="preserve">Abc Telecomm</t>
  </si>
  <si>
    <t xml:space="preserve">Tony Nquyen</t>
  </si>
  <si>
    <t xml:space="preserve">(860) 523-4332</t>
  </si>
  <si>
    <t xml:space="preserve">tonynguyen4you@aol.com</t>
  </si>
  <si>
    <t xml:space="preserve">1816 Park St</t>
  </si>
  <si>
    <t xml:space="preserve">Hartford</t>
  </si>
  <si>
    <t xml:space="preserve">6106</t>
  </si>
  <si>
    <t xml:space="preserve">C18282</t>
  </si>
  <si>
    <t xml:space="preserve">610652</t>
  </si>
  <si>
    <t xml:space="preserve">460154</t>
  </si>
  <si>
    <t xml:space="preserve">200791</t>
  </si>
  <si>
    <t xml:space="preserve">Diego's Wireless INC</t>
  </si>
  <si>
    <t xml:space="preserve">(661) 252-2462</t>
  </si>
  <si>
    <t xml:space="preserve">19008 Soledad Canyon Rd</t>
  </si>
  <si>
    <t xml:space="preserve">Santa Clarita</t>
  </si>
  <si>
    <t xml:space="preserve">91351</t>
  </si>
  <si>
    <t xml:space="preserve">657242</t>
  </si>
  <si>
    <t xml:space="preserve">498275</t>
  </si>
  <si>
    <t xml:space="preserve">213477</t>
  </si>
  <si>
    <t xml:space="preserve">U-Save Market</t>
  </si>
  <si>
    <t xml:space="preserve">NABIEL ALNAJAR</t>
  </si>
  <si>
    <t xml:space="preserve">(760) 342-2229</t>
  </si>
  <si>
    <t xml:space="preserve">Alnajar1212@yahoo.com</t>
  </si>
  <si>
    <t xml:space="preserve">46527 Calhoun St</t>
  </si>
  <si>
    <t xml:space="preserve">Indio</t>
  </si>
  <si>
    <t xml:space="preserve">92201</t>
  </si>
  <si>
    <t xml:space="preserve">C51575</t>
  </si>
  <si>
    <t xml:space="preserve">652865</t>
  </si>
  <si>
    <t xml:space="preserve">494014</t>
  </si>
  <si>
    <t xml:space="preserve">212910</t>
  </si>
  <si>
    <t xml:space="preserve">Hook Up On 82nd, Inc</t>
  </si>
  <si>
    <t xml:space="preserve">Fathi Al-fawaqa</t>
  </si>
  <si>
    <t xml:space="preserve">(773) 487-0200</t>
  </si>
  <si>
    <t xml:space="preserve">hookup82inc@gmail.com</t>
  </si>
  <si>
    <t xml:space="preserve">8250 S Cottage Grove Ave</t>
  </si>
  <si>
    <t xml:space="preserve">60619</t>
  </si>
  <si>
    <t xml:space="preserve">C51425</t>
  </si>
  <si>
    <t xml:space="preserve">651483</t>
  </si>
  <si>
    <t xml:space="preserve">492742</t>
  </si>
  <si>
    <t xml:space="preserve">212576</t>
  </si>
  <si>
    <t xml:space="preserve">Cellular to You Inc</t>
  </si>
  <si>
    <t xml:space="preserve">Muhammad Abdelsalam Abdelhalim</t>
  </si>
  <si>
    <t xml:space="preserve">(760) 398-8560</t>
  </si>
  <si>
    <t xml:space="preserve">ahalim76@aol.com</t>
  </si>
  <si>
    <t xml:space="preserve">49291 Grapefruit Blvd</t>
  </si>
  <si>
    <t xml:space="preserve">Ste 2</t>
  </si>
  <si>
    <t xml:space="preserve">Coachella</t>
  </si>
  <si>
    <t xml:space="preserve">92236</t>
  </si>
  <si>
    <t xml:space="preserve">C49907</t>
  </si>
  <si>
    <t xml:space="preserve">634252</t>
  </si>
  <si>
    <t xml:space="preserve">480744</t>
  </si>
  <si>
    <t xml:space="preserve">209054</t>
  </si>
  <si>
    <t xml:space="preserve">CellMart Group LLC</t>
  </si>
  <si>
    <t xml:space="preserve">Khalid Noor</t>
  </si>
  <si>
    <t xml:space="preserve">(310) 638-1741</t>
  </si>
  <si>
    <t xml:space="preserve">cellmart13@yahoo.com</t>
  </si>
  <si>
    <t xml:space="preserve">3100 E Imperial Hwy</t>
  </si>
  <si>
    <t xml:space="preserve">A7</t>
  </si>
  <si>
    <t xml:space="preserve">Lynwood</t>
  </si>
  <si>
    <t xml:space="preserve">90262</t>
  </si>
  <si>
    <t xml:space="preserve">C50762</t>
  </si>
  <si>
    <t xml:space="preserve">608341</t>
  </si>
  <si>
    <t xml:space="preserve">457918</t>
  </si>
  <si>
    <t xml:space="preserve">200043</t>
  </si>
  <si>
    <t xml:space="preserve">WIFI CELLULAR ACCESSORIES INC</t>
  </si>
  <si>
    <t xml:space="preserve">Wasay Syed</t>
  </si>
  <si>
    <t xml:space="preserve">(630) 290-1317</t>
  </si>
  <si>
    <t xml:space="preserve">syedq.wifi@gmail.com</t>
  </si>
  <si>
    <t xml:space="preserve">127 E Roosevelt Rd</t>
  </si>
  <si>
    <t xml:space="preserve">Lombard</t>
  </si>
  <si>
    <t xml:space="preserve">60148</t>
  </si>
  <si>
    <t xml:space="preserve">C48832</t>
  </si>
  <si>
    <t xml:space="preserve">659367</t>
  </si>
  <si>
    <t xml:space="preserve">500362</t>
  </si>
  <si>
    <t xml:space="preserve">214033</t>
  </si>
  <si>
    <t xml:space="preserve">PHONE ZONE 716</t>
  </si>
  <si>
    <t xml:space="preserve">Waleed Hussein</t>
  </si>
  <si>
    <t xml:space="preserve">(716) 544-1989</t>
  </si>
  <si>
    <t xml:space="preserve">whussein31@gmail.com</t>
  </si>
  <si>
    <t xml:space="preserve">2577 Bailey Ave</t>
  </si>
  <si>
    <t xml:space="preserve">Unit A</t>
  </si>
  <si>
    <t xml:space="preserve">Buffalo</t>
  </si>
  <si>
    <t xml:space="preserve">14215</t>
  </si>
  <si>
    <t xml:space="preserve">C51768</t>
  </si>
  <si>
    <t xml:space="preserve">658574</t>
  </si>
  <si>
    <t xml:space="preserve">499582</t>
  </si>
  <si>
    <t xml:space="preserve">213890</t>
  </si>
  <si>
    <t xml:space="preserve">Max Cellular and Accessories LLC</t>
  </si>
  <si>
    <t xml:space="preserve">Jesus Flores</t>
  </si>
  <si>
    <t xml:space="preserve">(602) 272-3202</t>
  </si>
  <si>
    <t xml:space="preserve">maxscellular2721@gmail.com</t>
  </si>
  <si>
    <t xml:space="preserve">2721 W Van Buren St</t>
  </si>
  <si>
    <t xml:space="preserve">Ste 101</t>
  </si>
  <si>
    <t xml:space="preserve">Phoenix</t>
  </si>
  <si>
    <t xml:space="preserve">AZ</t>
  </si>
  <si>
    <t xml:space="preserve">85009</t>
  </si>
  <si>
    <t xml:space="preserve">C51725</t>
  </si>
  <si>
    <t xml:space="preserve">658268</t>
  </si>
  <si>
    <t xml:space="preserve">499282</t>
  </si>
  <si>
    <t xml:space="preserve">213813</t>
  </si>
  <si>
    <t xml:space="preserve">Goapple.co</t>
  </si>
  <si>
    <t xml:space="preserve">Fang Chen</t>
  </si>
  <si>
    <t xml:space="preserve">(628) 999-0229</t>
  </si>
  <si>
    <t xml:space="preserve">goapple2015@icloud.com</t>
  </si>
  <si>
    <t xml:space="preserve">913 Grant Ave</t>
  </si>
  <si>
    <t xml:space="preserve">94108</t>
  </si>
  <si>
    <t xml:space="preserve">C51703</t>
  </si>
  <si>
    <t xml:space="preserve">655152</t>
  </si>
  <si>
    <t xml:space="preserve">496302</t>
  </si>
  <si>
    <t xml:space="preserve">213526</t>
  </si>
  <si>
    <t xml:space="preserve">AK Wireless 14 LLC</t>
  </si>
  <si>
    <t xml:space="preserve">Danuja Akilan</t>
  </si>
  <si>
    <t xml:space="preserve">(754) 223-0100</t>
  </si>
  <si>
    <t xml:space="preserve">akwireless14@gmail.com</t>
  </si>
  <si>
    <t xml:space="preserve">953 Montreal Rd</t>
  </si>
  <si>
    <t xml:space="preserve">Clarkston</t>
  </si>
  <si>
    <t xml:space="preserve">30021</t>
  </si>
  <si>
    <t xml:space="preserve">C51533</t>
  </si>
  <si>
    <t xml:space="preserve">655345</t>
  </si>
  <si>
    <t xml:space="preserve">496492</t>
  </si>
  <si>
    <t xml:space="preserve">213231</t>
  </si>
  <si>
    <t xml:space="preserve">Supreme Wireless</t>
  </si>
  <si>
    <t xml:space="preserve">Maivert Siles</t>
  </si>
  <si>
    <t xml:space="preserve">(571) 207-6191</t>
  </si>
  <si>
    <t xml:space="preserve">maivert.supremewireless@gmail.com</t>
  </si>
  <si>
    <t xml:space="preserve">46950 COMMUNITY PLAZA</t>
  </si>
  <si>
    <t xml:space="preserve">Ste 107</t>
  </si>
  <si>
    <t xml:space="preserve">STERLING</t>
  </si>
  <si>
    <t xml:space="preserve">20164</t>
  </si>
  <si>
    <t xml:space="preserve">C51258</t>
  </si>
  <si>
    <t xml:space="preserve">654740</t>
  </si>
  <si>
    <t xml:space="preserve">495892</t>
  </si>
  <si>
    <t xml:space="preserve">213146</t>
  </si>
  <si>
    <t xml:space="preserve">JJ Enterprises LLC</t>
  </si>
  <si>
    <t xml:space="preserve">Javed Virani</t>
  </si>
  <si>
    <t xml:space="preserve">(864) 809-3778</t>
  </si>
  <si>
    <t xml:space="preserve">jjenterprisesllc12@gmail.com</t>
  </si>
  <si>
    <t xml:space="preserve">1596 Highway 92</t>
  </si>
  <si>
    <t xml:space="preserve">Enoree</t>
  </si>
  <si>
    <t xml:space="preserve">SC</t>
  </si>
  <si>
    <t xml:space="preserve">29335</t>
  </si>
  <si>
    <t xml:space="preserve">C51470</t>
  </si>
  <si>
    <t xml:space="preserve">652628</t>
  </si>
  <si>
    <t xml:space="preserve">493787</t>
  </si>
  <si>
    <t xml:space="preserve">212854</t>
  </si>
  <si>
    <t xml:space="preserve">BEN'S WIRELESS LLC</t>
  </si>
  <si>
    <t xml:space="preserve">Aysha Usman</t>
  </si>
  <si>
    <t xml:space="preserve">(281) 777-2020</t>
  </si>
  <si>
    <t xml:space="preserve">benswirelessandrepair@gmail.com</t>
  </si>
  <si>
    <t xml:space="preserve">535 Dundee Ave</t>
  </si>
  <si>
    <t xml:space="preserve">East Dundee</t>
  </si>
  <si>
    <t xml:space="preserve">60118</t>
  </si>
  <si>
    <t xml:space="preserve">C48789</t>
  </si>
  <si>
    <t xml:space="preserve">652240</t>
  </si>
  <si>
    <t xml:space="preserve">493408</t>
  </si>
  <si>
    <t xml:space="preserve">212780</t>
  </si>
  <si>
    <t xml:space="preserve">Cuevas Enterprise LLC</t>
  </si>
  <si>
    <t xml:space="preserve">Roni Cuevas</t>
  </si>
  <si>
    <t xml:space="preserve">(215) 457-7500</t>
  </si>
  <si>
    <t xml:space="preserve">ritmocuevas@gmail.com</t>
  </si>
  <si>
    <t xml:space="preserve">4553 N 5th St</t>
  </si>
  <si>
    <t xml:space="preserve">C51382</t>
  </si>
  <si>
    <t xml:space="preserve">650788</t>
  </si>
  <si>
    <t xml:space="preserve">492038</t>
  </si>
  <si>
    <t xml:space="preserve">212501</t>
  </si>
  <si>
    <t xml:space="preserve">HIGH TECH WIRELESS</t>
  </si>
  <si>
    <t xml:space="preserve">Juan Melara</t>
  </si>
  <si>
    <t xml:space="preserve">(323) 688-2045</t>
  </si>
  <si>
    <t xml:space="preserve">juanmelara84@gmail.com</t>
  </si>
  <si>
    <t xml:space="preserve">1101 N Western Ave</t>
  </si>
  <si>
    <t xml:space="preserve">B2</t>
  </si>
  <si>
    <t xml:space="preserve">90029</t>
  </si>
  <si>
    <t xml:space="preserve">C50672</t>
  </si>
  <si>
    <t xml:space="preserve">648080</t>
  </si>
  <si>
    <t xml:space="preserve">489389</t>
  </si>
  <si>
    <t xml:space="preserve">211924</t>
  </si>
  <si>
    <t xml:space="preserve">8SS Inc</t>
  </si>
  <si>
    <t xml:space="preserve">Shaukat Salleh</t>
  </si>
  <si>
    <t xml:space="preserve">(469) 254-9883</t>
  </si>
  <si>
    <t xml:space="preserve">8ssinc@gmail.com</t>
  </si>
  <si>
    <t xml:space="preserve">6875 Shadybrook Ln</t>
  </si>
  <si>
    <t xml:space="preserve">75231</t>
  </si>
  <si>
    <t xml:space="preserve">C51145</t>
  </si>
  <si>
    <t xml:space="preserve">635890</t>
  </si>
  <si>
    <t xml:space="preserve">482351</t>
  </si>
  <si>
    <t xml:space="preserve">209669</t>
  </si>
  <si>
    <t xml:space="preserve">Am Wireless Tech LLC</t>
  </si>
  <si>
    <t xml:space="preserve">Andrew Sung</t>
  </si>
  <si>
    <t xml:space="preserve">(347) 548-4723</t>
  </si>
  <si>
    <t xml:space="preserve">amwirelesstechllc@gmail.com</t>
  </si>
  <si>
    <t xml:space="preserve">215-35 Jamaica Ave</t>
  </si>
  <si>
    <t xml:space="preserve">Queens Village</t>
  </si>
  <si>
    <t xml:space="preserve">11428</t>
  </si>
  <si>
    <t xml:space="preserve">C50839</t>
  </si>
  <si>
    <t xml:space="preserve">625544</t>
  </si>
  <si>
    <t xml:space="preserve">474508</t>
  </si>
  <si>
    <t xml:space="preserve">209610</t>
  </si>
  <si>
    <t xml:space="preserve">Nationwide Wireless LLC</t>
  </si>
  <si>
    <t xml:space="preserve">Josh Montgomery</t>
  </si>
  <si>
    <t xml:space="preserve">(304) 326-2355</t>
  </si>
  <si>
    <t xml:space="preserve">nationwidew@gmail.com</t>
  </si>
  <si>
    <t xml:space="preserve">95 Rosebud Ave</t>
  </si>
  <si>
    <t xml:space="preserve">108</t>
  </si>
  <si>
    <t xml:space="preserve">Clarksburg</t>
  </si>
  <si>
    <t xml:space="preserve">WV</t>
  </si>
  <si>
    <t xml:space="preserve">26301</t>
  </si>
  <si>
    <t xml:space="preserve">C50423</t>
  </si>
  <si>
    <t xml:space="preserve">646725</t>
  </si>
  <si>
    <t xml:space="preserve">488062</t>
  </si>
  <si>
    <t xml:space="preserve">209345</t>
  </si>
  <si>
    <t xml:space="preserve">Glenda Rodriguez</t>
  </si>
  <si>
    <t xml:space="preserve">(323) 470-2755</t>
  </si>
  <si>
    <t xml:space="preserve">scwireless2023@gmail.com</t>
  </si>
  <si>
    <t xml:space="preserve">455 W Florence Ave</t>
  </si>
  <si>
    <t xml:space="preserve">C50790</t>
  </si>
  <si>
    <t xml:space="preserve">644100</t>
  </si>
  <si>
    <t xml:space="preserve">485557</t>
  </si>
  <si>
    <t xml:space="preserve">209102</t>
  </si>
  <si>
    <t xml:space="preserve">C&amp;I 79 WIRELESS LLC</t>
  </si>
  <si>
    <t xml:space="preserve">Ge Sun Kim</t>
  </si>
  <si>
    <t xml:space="preserve">(404) 500-4878</t>
  </si>
  <si>
    <t xml:space="preserve">kjin2004@hotmail.com</t>
  </si>
  <si>
    <t xml:space="preserve">2740 Greenbrair Pkwy SW</t>
  </si>
  <si>
    <t xml:space="preserve">B15</t>
  </si>
  <si>
    <t xml:space="preserve">30331</t>
  </si>
  <si>
    <t xml:space="preserve">C50786</t>
  </si>
  <si>
    <t xml:space="preserve">634155</t>
  </si>
  <si>
    <t xml:space="preserve">480646</t>
  </si>
  <si>
    <t xml:space="preserve">208981</t>
  </si>
  <si>
    <t xml:space="preserve">Mr. Mobille</t>
  </si>
  <si>
    <t xml:space="preserve">Marlon Rivas</t>
  </si>
  <si>
    <t xml:space="preserve">(661) 365-4859</t>
  </si>
  <si>
    <t xml:space="preserve">kiddo818@hotmail.com</t>
  </si>
  <si>
    <t xml:space="preserve">2520 E palmdale blvd</t>
  </si>
  <si>
    <t xml:space="preserve">SPC A7</t>
  </si>
  <si>
    <t xml:space="preserve">palmdale</t>
  </si>
  <si>
    <t xml:space="preserve">93550</t>
  </si>
  <si>
    <t xml:space="preserve">C50776</t>
  </si>
  <si>
    <t xml:space="preserve">633962</t>
  </si>
  <si>
    <t xml:space="preserve">480457</t>
  </si>
  <si>
    <t xml:space="preserve">208946</t>
  </si>
  <si>
    <t xml:space="preserve">Viet Mobile LLC</t>
  </si>
  <si>
    <t xml:space="preserve">Trung Thanh Nguyen</t>
  </si>
  <si>
    <t xml:space="preserve">(832) 387-1976</t>
  </si>
  <si>
    <t xml:space="preserve">Vietmobile1976@gmail.com</t>
  </si>
  <si>
    <t xml:space="preserve">11210 Bellaire Blvd</t>
  </si>
  <si>
    <t xml:space="preserve">#139</t>
  </si>
  <si>
    <t xml:space="preserve">77072</t>
  </si>
  <si>
    <t xml:space="preserve">C50756</t>
  </si>
  <si>
    <t xml:space="preserve">631886</t>
  </si>
  <si>
    <t xml:space="preserve">478375</t>
  </si>
  <si>
    <t xml:space="preserve">207499</t>
  </si>
  <si>
    <t xml:space="preserve">AK Mobile Care Corporation</t>
  </si>
  <si>
    <t xml:space="preserve">Kiran Kumar Kaluturi</t>
  </si>
  <si>
    <t xml:space="preserve">(337) 602-6453</t>
  </si>
  <si>
    <t xml:space="preserve">kiran_25@yahoo.com</t>
  </si>
  <si>
    <t xml:space="preserve">1717 Gerstner Memorial Dr</t>
  </si>
  <si>
    <t xml:space="preserve">Lake Charles</t>
  </si>
  <si>
    <t xml:space="preserve">70601</t>
  </si>
  <si>
    <t xml:space="preserve">C50664</t>
  </si>
  <si>
    <t xml:space="preserve">647253</t>
  </si>
  <si>
    <t xml:space="preserve">488579</t>
  </si>
  <si>
    <t xml:space="preserve">206937</t>
  </si>
  <si>
    <t xml:space="preserve">All in One Market</t>
  </si>
  <si>
    <t xml:space="preserve">Maher Muhawesh</t>
  </si>
  <si>
    <t xml:space="preserve">(985) 341-7573</t>
  </si>
  <si>
    <t xml:space="preserve">allinonemarketmc@gmail.com</t>
  </si>
  <si>
    <t xml:space="preserve">831 9th St</t>
  </si>
  <si>
    <t xml:space="preserve">Morgan City</t>
  </si>
  <si>
    <t xml:space="preserve">70380</t>
  </si>
  <si>
    <t xml:space="preserve">C50628</t>
  </si>
  <si>
    <t xml:space="preserve">625788</t>
  </si>
  <si>
    <t xml:space="preserve">474728</t>
  </si>
  <si>
    <t xml:space="preserve">203432</t>
  </si>
  <si>
    <t xml:space="preserve">VELA.COMM INC</t>
  </si>
  <si>
    <t xml:space="preserve">Jose Roberto Velasco</t>
  </si>
  <si>
    <t xml:space="preserve">(323) 758-8092</t>
  </si>
  <si>
    <t xml:space="preserve">Velacomm21@gmail.com</t>
  </si>
  <si>
    <t xml:space="preserve">7101 S Main St</t>
  </si>
  <si>
    <t xml:space="preserve">C50432</t>
  </si>
  <si>
    <t xml:space="preserve">654596</t>
  </si>
  <si>
    <t xml:space="preserve">495750</t>
  </si>
  <si>
    <t xml:space="preserve">201746</t>
  </si>
  <si>
    <t xml:space="preserve">Electroworld</t>
  </si>
  <si>
    <t xml:space="preserve">Nevaldo Bailey</t>
  </si>
  <si>
    <t xml:space="preserve">(301) 772-3600</t>
  </si>
  <si>
    <t xml:space="preserve">electroworldinc@gmail.com</t>
  </si>
  <si>
    <t xml:space="preserve">7758 Landover Rd</t>
  </si>
  <si>
    <t xml:space="preserve">20785</t>
  </si>
  <si>
    <t xml:space="preserve">C51429</t>
  </si>
  <si>
    <t xml:space="preserve">117513</t>
  </si>
  <si>
    <t xml:space="preserve">307880</t>
  </si>
  <si>
    <t xml:space="preserve">200997</t>
  </si>
  <si>
    <t xml:space="preserve">TT Wireless</t>
  </si>
  <si>
    <t xml:space="preserve">Tafazzal Uppal</t>
  </si>
  <si>
    <t xml:space="preserve">(302) 894-1189</t>
  </si>
  <si>
    <t xml:space="preserve">tuppal@comcast.net</t>
  </si>
  <si>
    <t xml:space="preserve">2515 Kirkwood Hwy</t>
  </si>
  <si>
    <t xml:space="preserve">Newark</t>
  </si>
  <si>
    <t xml:space="preserve">19711</t>
  </si>
  <si>
    <t xml:space="preserve">C4724</t>
  </si>
  <si>
    <t xml:space="preserve">604959</t>
  </si>
  <si>
    <t xml:space="preserve">454774</t>
  </si>
  <si>
    <t xml:space="preserve">200099</t>
  </si>
  <si>
    <t xml:space="preserve">Image Communications</t>
  </si>
  <si>
    <t xml:space="preserve">Juan Popoca</t>
  </si>
  <si>
    <t xml:space="preserve">(310) 784-1236</t>
  </si>
  <si>
    <t xml:space="preserve">Imagecom310@yahoo.com</t>
  </si>
  <si>
    <t xml:space="preserve">1956 Pacific Coast Hwy</t>
  </si>
  <si>
    <t xml:space="preserve">Lomita</t>
  </si>
  <si>
    <t xml:space="preserve">90717</t>
  </si>
  <si>
    <t xml:space="preserve">C48641</t>
  </si>
  <si>
    <t xml:space="preserve">659937</t>
  </si>
  <si>
    <t xml:space="preserve">500942</t>
  </si>
  <si>
    <t xml:space="preserve">214186</t>
  </si>
  <si>
    <t xml:space="preserve">AZ Trading Inc</t>
  </si>
  <si>
    <t xml:space="preserve">Abdi Mohamed Adan</t>
  </si>
  <si>
    <t xml:space="preserve">(206) 241-1511</t>
  </si>
  <si>
    <t xml:space="preserve">freshandmarket0@gmail.com</t>
  </si>
  <si>
    <t xml:space="preserve">3425 S 146th St</t>
  </si>
  <si>
    <t xml:space="preserve">Tukwila</t>
  </si>
  <si>
    <t xml:space="preserve">WA</t>
  </si>
  <si>
    <t xml:space="preserve">98168</t>
  </si>
  <si>
    <t xml:space="preserve">C53368</t>
  </si>
  <si>
    <t xml:space="preserve">652311</t>
  </si>
  <si>
    <t xml:space="preserve">493475</t>
  </si>
  <si>
    <t xml:space="preserve">212787</t>
  </si>
  <si>
    <t xml:space="preserve">Eagle Wireless LLc</t>
  </si>
  <si>
    <t xml:space="preserve">Harrison Munoz</t>
  </si>
  <si>
    <t xml:space="preserve">(225) 650-3297</t>
  </si>
  <si>
    <t xml:space="preserve">munozharrison2@gmail.com</t>
  </si>
  <si>
    <t xml:space="preserve">306 W HWY 30</t>
  </si>
  <si>
    <t xml:space="preserve">Ste 306</t>
  </si>
  <si>
    <t xml:space="preserve">Gonzales</t>
  </si>
  <si>
    <t xml:space="preserve">70737</t>
  </si>
  <si>
    <t xml:space="preserve">C51412</t>
  </si>
  <si>
    <t xml:space="preserve">650784</t>
  </si>
  <si>
    <t xml:space="preserve">492034</t>
  </si>
  <si>
    <t xml:space="preserve">212460</t>
  </si>
  <si>
    <t xml:space="preserve">Game &amp; Cell Spot Inc</t>
  </si>
  <si>
    <t xml:space="preserve">Sarwat Raja</t>
  </si>
  <si>
    <t xml:space="preserve">(347) 529-3293</t>
  </si>
  <si>
    <t xml:space="preserve">gamecellspot@gmail.com</t>
  </si>
  <si>
    <t xml:space="preserve">1022A Nostrand Ave</t>
  </si>
  <si>
    <t xml:space="preserve">11225</t>
  </si>
  <si>
    <t xml:space="preserve">C51238</t>
  </si>
  <si>
    <t xml:space="preserve">647836</t>
  </si>
  <si>
    <t xml:space="preserve">489145</t>
  </si>
  <si>
    <t xml:space="preserve">211865</t>
  </si>
  <si>
    <t xml:space="preserve">AHM Cellular INC</t>
  </si>
  <si>
    <t xml:space="preserve">Habib Ahmed</t>
  </si>
  <si>
    <t xml:space="preserve">(347) 713-1537</t>
  </si>
  <si>
    <t xml:space="preserve">ahmcellular3@gmail.com</t>
  </si>
  <si>
    <t xml:space="preserve">2153 Bath Ave</t>
  </si>
  <si>
    <t xml:space="preserve">C51138</t>
  </si>
  <si>
    <t xml:space="preserve">646891</t>
  </si>
  <si>
    <t xml:space="preserve">488219</t>
  </si>
  <si>
    <t xml:space="preserve">211530</t>
  </si>
  <si>
    <t xml:space="preserve">RYN Music</t>
  </si>
  <si>
    <t xml:space="preserve">Jose Juan Cavazos</t>
  </si>
  <si>
    <t xml:space="preserve">(956) 686-3009</t>
  </si>
  <si>
    <t xml:space="preserve">rynmusictx@yahoo.com</t>
  </si>
  <si>
    <t xml:space="preserve">2242 Beaumont Ave</t>
  </si>
  <si>
    <t xml:space="preserve">McAllen</t>
  </si>
  <si>
    <t xml:space="preserve">78501</t>
  </si>
  <si>
    <t xml:space="preserve">C51028</t>
  </si>
  <si>
    <t xml:space="preserve">623797</t>
  </si>
  <si>
    <t xml:space="preserve">473053</t>
  </si>
  <si>
    <t xml:space="preserve">203339</t>
  </si>
  <si>
    <t xml:space="preserve">Millennium Communications Global</t>
  </si>
  <si>
    <t xml:space="preserve">Mohd Jabbar</t>
  </si>
  <si>
    <t xml:space="preserve">(469) 384-1481</t>
  </si>
  <si>
    <t xml:space="preserve">millcomm3800@gmail.com</t>
  </si>
  <si>
    <t xml:space="preserve">6700 Main St</t>
  </si>
  <si>
    <t xml:space="preserve">106</t>
  </si>
  <si>
    <t xml:space="preserve">The Colony</t>
  </si>
  <si>
    <t xml:space="preserve">75056</t>
  </si>
  <si>
    <t xml:space="preserve">C50389</t>
  </si>
  <si>
    <t xml:space="preserve">643508</t>
  </si>
  <si>
    <t xml:space="preserve">485043</t>
  </si>
  <si>
    <t xml:space="preserve">200797</t>
  </si>
  <si>
    <t xml:space="preserve">page Yoly?s Communications</t>
  </si>
  <si>
    <t xml:space="preserve">Jesus Ochoa</t>
  </si>
  <si>
    <t xml:space="preserve">(323) 589-9025</t>
  </si>
  <si>
    <t xml:space="preserve">pageyolys3@gmail.com</t>
  </si>
  <si>
    <t xml:space="preserve">1911 E Gage Ave</t>
  </si>
  <si>
    <t xml:space="preserve">90001</t>
  </si>
  <si>
    <t xml:space="preserve">C48668</t>
  </si>
  <si>
    <t xml:space="preserve">660311</t>
  </si>
  <si>
    <t xml:space="preserve">501319</t>
  </si>
  <si>
    <t xml:space="preserve">214280</t>
  </si>
  <si>
    <t xml:space="preserve">Wireless World</t>
  </si>
  <si>
    <t xml:space="preserve">Tommy Dones</t>
  </si>
  <si>
    <t xml:space="preserve">vipconnection11@yahoo.com</t>
  </si>
  <si>
    <t xml:space="preserve">3113 Kensington Ave</t>
  </si>
  <si>
    <t xml:space="preserve">19134</t>
  </si>
  <si>
    <t xml:space="preserve">C53670</t>
  </si>
  <si>
    <t xml:space="preserve">659523</t>
  </si>
  <si>
    <t xml:space="preserve">500529</t>
  </si>
  <si>
    <t xml:space="preserve">214160</t>
  </si>
  <si>
    <t xml:space="preserve">Ctrl Alt Del LLC</t>
  </si>
  <si>
    <t xml:space="preserve">Mohummad Shahid</t>
  </si>
  <si>
    <t xml:space="preserve">(215) 279-7222</t>
  </si>
  <si>
    <t xml:space="preserve">tryctrlaltdel@gmail.com</t>
  </si>
  <si>
    <t xml:space="preserve">319 E Allegheny Ave</t>
  </si>
  <si>
    <t xml:space="preserve">C51789</t>
  </si>
  <si>
    <t xml:space="preserve">659320</t>
  </si>
  <si>
    <t xml:space="preserve">500317</t>
  </si>
  <si>
    <t xml:space="preserve">214050</t>
  </si>
  <si>
    <t xml:space="preserve">Well telecom llc</t>
  </si>
  <si>
    <t xml:space="preserve">Ming Tian</t>
  </si>
  <si>
    <t xml:space="preserve">(626) 267-1739</t>
  </si>
  <si>
    <t xml:space="preserve">chaserteaminc@gmail.com</t>
  </si>
  <si>
    <t xml:space="preserve">1457 Nogales St</t>
  </si>
  <si>
    <t xml:space="preserve">Ste 3-11</t>
  </si>
  <si>
    <t xml:space="preserve">Rowland heights</t>
  </si>
  <si>
    <t xml:space="preserve">91748</t>
  </si>
  <si>
    <t xml:space="preserve">C51764</t>
  </si>
  <si>
    <t xml:space="preserve">658910</t>
  </si>
  <si>
    <t xml:space="preserve">499902</t>
  </si>
  <si>
    <t xml:space="preserve">213974</t>
  </si>
  <si>
    <t xml:space="preserve">Fixfy LLC</t>
  </si>
  <si>
    <t xml:space="preserve">Robin Rafael Carrasco Guzman</t>
  </si>
  <si>
    <t xml:space="preserve">(610) 245-9759</t>
  </si>
  <si>
    <t xml:space="preserve">fixfymobile@gmail.com</t>
  </si>
  <si>
    <t xml:space="preserve">2831 Edgmont Ave</t>
  </si>
  <si>
    <t xml:space="preserve">Brookhaven</t>
  </si>
  <si>
    <t xml:space="preserve">19015</t>
  </si>
  <si>
    <t xml:space="preserve">C51750</t>
  </si>
  <si>
    <t xml:space="preserve">658243</t>
  </si>
  <si>
    <t xml:space="preserve">499251</t>
  </si>
  <si>
    <t xml:space="preserve">213791</t>
  </si>
  <si>
    <t xml:space="preserve">Cell Phone and Computer Repair</t>
  </si>
  <si>
    <t xml:space="preserve">Kevin Rogers</t>
  </si>
  <si>
    <t xml:space="preserve">(540) 636-4111</t>
  </si>
  <si>
    <t xml:space="preserve">office@infotechvs.com</t>
  </si>
  <si>
    <t xml:space="preserve">121 W 14th St</t>
  </si>
  <si>
    <t xml:space="preserve">Front Royal</t>
  </si>
  <si>
    <t xml:space="preserve">22630</t>
  </si>
  <si>
    <t xml:space="preserve">C51699</t>
  </si>
  <si>
    <t xml:space="preserve">657948</t>
  </si>
  <si>
    <t xml:space="preserve">498953</t>
  </si>
  <si>
    <t xml:space="preserve">213719</t>
  </si>
  <si>
    <t xml:space="preserve">I Update LLC</t>
  </si>
  <si>
    <t xml:space="preserve">Hengmin Xiao</t>
  </si>
  <si>
    <t xml:space="preserve">(215) 925-2618</t>
  </si>
  <si>
    <t xml:space="preserve">sandy.toptelecom@gmail.com</t>
  </si>
  <si>
    <t xml:space="preserve">929 Arch St</t>
  </si>
  <si>
    <t xml:space="preserve">19107</t>
  </si>
  <si>
    <t xml:space="preserve">C50838</t>
  </si>
  <si>
    <t xml:space="preserve">657904</t>
  </si>
  <si>
    <t xml:space="preserve">498908</t>
  </si>
  <si>
    <t xml:space="preserve">213712</t>
  </si>
  <si>
    <t xml:space="preserve">Microtecc LLC</t>
  </si>
  <si>
    <t xml:space="preserve">Sire Coulibaly</t>
  </si>
  <si>
    <t xml:space="preserve">(215) 825-7600</t>
  </si>
  <si>
    <t xml:space="preserve">microteccllc@gmail.com</t>
  </si>
  <si>
    <t xml:space="preserve">6315 Rising Sun Ave</t>
  </si>
  <si>
    <t xml:space="preserve">19111</t>
  </si>
  <si>
    <t xml:space="preserve">C51648</t>
  </si>
  <si>
    <t xml:space="preserve">655753</t>
  </si>
  <si>
    <t xml:space="preserve">496881</t>
  </si>
  <si>
    <t xml:space="preserve">213384</t>
  </si>
  <si>
    <t xml:space="preserve">GTS Wireless Services LLC</t>
  </si>
  <si>
    <t xml:space="preserve">Yunping Lin</t>
  </si>
  <si>
    <t xml:space="preserve">(702) 848-8208</t>
  </si>
  <si>
    <t xml:space="preserve">gtsphone4570@gmail.com</t>
  </si>
  <si>
    <t xml:space="preserve">4570 Spring Mountain Rd</t>
  </si>
  <si>
    <t xml:space="preserve">C51549</t>
  </si>
  <si>
    <t xml:space="preserve">655638</t>
  </si>
  <si>
    <t xml:space="preserve">496768</t>
  </si>
  <si>
    <t xml:space="preserve">213334</t>
  </si>
  <si>
    <t xml:space="preserve">3G Wireless</t>
  </si>
  <si>
    <t xml:space="preserve">Tien Quach</t>
  </si>
  <si>
    <t xml:space="preserve">(248) 588-1354</t>
  </si>
  <si>
    <t xml:space="preserve">drti2@hotmail.com</t>
  </si>
  <si>
    <t xml:space="preserve">30949 Dequindre Rd</t>
  </si>
  <si>
    <t xml:space="preserve">Madison Heights</t>
  </si>
  <si>
    <t xml:space="preserve">48071</t>
  </si>
  <si>
    <t xml:space="preserve">C51525</t>
  </si>
  <si>
    <t xml:space="preserve">655137</t>
  </si>
  <si>
    <t xml:space="preserve">496287</t>
  </si>
  <si>
    <t xml:space="preserve">213144</t>
  </si>
  <si>
    <t xml:space="preserve">ASMA VENTURES LLC</t>
  </si>
  <si>
    <t xml:space="preserve">AFTAB AMIR ALI</t>
  </si>
  <si>
    <t xml:space="preserve">(832) 282-2431</t>
  </si>
  <si>
    <t xml:space="preserve">phonezone2805@gmail.com</t>
  </si>
  <si>
    <t xml:space="preserve">2805 DEREK DR</t>
  </si>
  <si>
    <t xml:space="preserve">LAKE CHARLES</t>
  </si>
  <si>
    <t xml:space="preserve">70607</t>
  </si>
  <si>
    <t xml:space="preserve">C51321</t>
  </si>
  <si>
    <t xml:space="preserve">653056</t>
  </si>
  <si>
    <t xml:space="preserve">494208</t>
  </si>
  <si>
    <t xml:space="preserve">212958</t>
  </si>
  <si>
    <t xml:space="preserve">Latino 123</t>
  </si>
  <si>
    <t xml:space="preserve">Juan Ruano</t>
  </si>
  <si>
    <t xml:space="preserve">(323) 499-9995</t>
  </si>
  <si>
    <t xml:space="preserve">611pjs@gmail.com</t>
  </si>
  <si>
    <t xml:space="preserve">1133 S Vermont Ave</t>
  </si>
  <si>
    <t xml:space="preserve">90006</t>
  </si>
  <si>
    <t xml:space="preserve">C51426</t>
  </si>
  <si>
    <t xml:space="preserve">652535</t>
  </si>
  <si>
    <t xml:space="preserve">493693</t>
  </si>
  <si>
    <t xml:space="preserve">212831</t>
  </si>
  <si>
    <t xml:space="preserve">Ivad Wireless LLC</t>
  </si>
  <si>
    <t xml:space="preserve">David Lucarelli</t>
  </si>
  <si>
    <t xml:space="preserve">(843) 437-7514</t>
  </si>
  <si>
    <t xml:space="preserve">davi@ivadwireless.com</t>
  </si>
  <si>
    <t xml:space="preserve">1204 N Main St</t>
  </si>
  <si>
    <t xml:space="preserve">Summerville</t>
  </si>
  <si>
    <t xml:space="preserve">29483</t>
  </si>
  <si>
    <t xml:space="preserve">C51390</t>
  </si>
  <si>
    <t xml:space="preserve">631628</t>
  </si>
  <si>
    <t xml:space="preserve">478120</t>
  </si>
  <si>
    <t xml:space="preserve">212706</t>
  </si>
  <si>
    <t xml:space="preserve">A &amp; M Phone Accessories Inc.</t>
  </si>
  <si>
    <t xml:space="preserve">Khai Lok Loh</t>
  </si>
  <si>
    <t xml:space="preserve">(929) 922-7772</t>
  </si>
  <si>
    <t xml:space="preserve">anmphoneaccessories@gmail.com</t>
  </si>
  <si>
    <t xml:space="preserve">730 Port Richmond Ave</t>
  </si>
  <si>
    <t xml:space="preserve">C</t>
  </si>
  <si>
    <t xml:space="preserve">Staten Island</t>
  </si>
  <si>
    <t xml:space="preserve">10302</t>
  </si>
  <si>
    <t xml:space="preserve">C50631</t>
  </si>
  <si>
    <t xml:space="preserve">649991</t>
  </si>
  <si>
    <t xml:space="preserve">491253</t>
  </si>
  <si>
    <t xml:space="preserve">212160</t>
  </si>
  <si>
    <t xml:space="preserve">Monchit Eing</t>
  </si>
  <si>
    <t xml:space="preserve">(330) 208-6548</t>
  </si>
  <si>
    <t xml:space="preserve">mehnmoneing@gmail.com</t>
  </si>
  <si>
    <t xml:space="preserve">787 BROWN ST</t>
  </si>
  <si>
    <t xml:space="preserve">AKRON</t>
  </si>
  <si>
    <t xml:space="preserve">44311</t>
  </si>
  <si>
    <t xml:space="preserve">C51203</t>
  </si>
  <si>
    <t xml:space="preserve">646751</t>
  </si>
  <si>
    <t xml:space="preserve">488086</t>
  </si>
  <si>
    <t xml:space="preserve">211557</t>
  </si>
  <si>
    <t xml:space="preserve">Bilal Wireless</t>
  </si>
  <si>
    <t xml:space="preserve">Balal Ahmed</t>
  </si>
  <si>
    <t xml:space="preserve">(718) 688-4370</t>
  </si>
  <si>
    <t xml:space="preserve">bilal7399@gmail.com</t>
  </si>
  <si>
    <t xml:space="preserve">1076 Sycamore St</t>
  </si>
  <si>
    <t xml:space="preserve">14212</t>
  </si>
  <si>
    <t xml:space="preserve">C51018</t>
  </si>
  <si>
    <t xml:space="preserve">645077</t>
  </si>
  <si>
    <t xml:space="preserve">486474</t>
  </si>
  <si>
    <t xml:space="preserve">211125</t>
  </si>
  <si>
    <t xml:space="preserve">Dos Hermanos Enterprize 2 LLC - Wireless CIty</t>
  </si>
  <si>
    <t xml:space="preserve">Majdleen Iysheh</t>
  </si>
  <si>
    <t xml:space="preserve">(901) 623-7967</t>
  </si>
  <si>
    <t xml:space="preserve">wirelesscity3896@gmail.com</t>
  </si>
  <si>
    <t xml:space="preserve">3896 Park Ave</t>
  </si>
  <si>
    <t xml:space="preserve">Memphis</t>
  </si>
  <si>
    <t xml:space="preserve">TN</t>
  </si>
  <si>
    <t xml:space="preserve">38111</t>
  </si>
  <si>
    <t xml:space="preserve">C50957</t>
  </si>
  <si>
    <t xml:space="preserve">644246</t>
  </si>
  <si>
    <t xml:space="preserve">485696</t>
  </si>
  <si>
    <t xml:space="preserve">210964</t>
  </si>
  <si>
    <t xml:space="preserve">Discount Electronic Repairs Inc</t>
  </si>
  <si>
    <t xml:space="preserve">Khalid Raufi</t>
  </si>
  <si>
    <t xml:space="preserve">(757) 782-4012</t>
  </si>
  <si>
    <t xml:space="preserve">derepair757@gmail.com</t>
  </si>
  <si>
    <t xml:space="preserve">12440 Warwick Blvd</t>
  </si>
  <si>
    <t xml:space="preserve">23606</t>
  </si>
  <si>
    <t xml:space="preserve">C50931</t>
  </si>
  <si>
    <t xml:space="preserve">632606</t>
  </si>
  <si>
    <t xml:space="preserve">479121</t>
  </si>
  <si>
    <t xml:space="preserve">208056</t>
  </si>
  <si>
    <t xml:space="preserve">East Baltimore Jewelers LLC</t>
  </si>
  <si>
    <t xml:space="preserve">Y Shraga Felder</t>
  </si>
  <si>
    <t xml:space="preserve">(515) 999-5675</t>
  </si>
  <si>
    <t xml:space="preserve">eastbaltimorejewelers@gmail.com</t>
  </si>
  <si>
    <t xml:space="preserve">217 E Baltimore St</t>
  </si>
  <si>
    <t xml:space="preserve">21202</t>
  </si>
  <si>
    <t xml:space="preserve">C50686</t>
  </si>
  <si>
    <t xml:space="preserve">646387</t>
  </si>
  <si>
    <t xml:space="preserve">487747</t>
  </si>
  <si>
    <t xml:space="preserve">207489</t>
  </si>
  <si>
    <t xml:space="preserve">Ameri Cell &amp; Computers LLC</t>
  </si>
  <si>
    <t xml:space="preserve">Victor Melgar</t>
  </si>
  <si>
    <t xml:space="preserve">(571) 762-2131</t>
  </si>
  <si>
    <t xml:space="preserve">americellcomputers@gmail.com</t>
  </si>
  <si>
    <t xml:space="preserve">8472 Centreville Rd</t>
  </si>
  <si>
    <t xml:space="preserve">Manassas Park</t>
  </si>
  <si>
    <t xml:space="preserve">20111</t>
  </si>
  <si>
    <t xml:space="preserve">C50670</t>
  </si>
  <si>
    <t xml:space="preserve">624935</t>
  </si>
  <si>
    <t xml:space="preserve">473945</t>
  </si>
  <si>
    <t xml:space="preserve">203693</t>
  </si>
  <si>
    <t xml:space="preserve">Hasmat Azmery DBA So Cal Interpreting Services</t>
  </si>
  <si>
    <t xml:space="preserve">Hashmat Azmery</t>
  </si>
  <si>
    <t xml:space="preserve">(818) 999-9400</t>
  </si>
  <si>
    <t xml:space="preserve">WIRELESSCONNECTIONS123@GMAIL.COM</t>
  </si>
  <si>
    <t xml:space="preserve">21511 Sherman Way</t>
  </si>
  <si>
    <t xml:space="preserve">C50405</t>
  </si>
  <si>
    <t xml:space="preserve">162636</t>
  </si>
  <si>
    <t xml:space="preserve">173313</t>
  </si>
  <si>
    <t xml:space="preserve">201914</t>
  </si>
  <si>
    <t xml:space="preserve">Water &amp; Pager</t>
  </si>
  <si>
    <t xml:space="preserve">Dung Vu Tran</t>
  </si>
  <si>
    <t xml:space="preserve">(562) 439-0071 Junior</t>
  </si>
  <si>
    <t xml:space="preserve">wirelessstation2000@yahoo.com</t>
  </si>
  <si>
    <t xml:space="preserve">990 Cherry Ave</t>
  </si>
  <si>
    <t xml:space="preserve">Long Beach</t>
  </si>
  <si>
    <t xml:space="preserve">90813</t>
  </si>
  <si>
    <t xml:space="preserve">C13644</t>
  </si>
  <si>
    <t xml:space="preserve">153065</t>
  </si>
  <si>
    <t xml:space="preserve">164375</t>
  </si>
  <si>
    <t xml:space="preserve">201761</t>
  </si>
  <si>
    <t xml:space="preserve">Alonzo's Com Inc</t>
  </si>
  <si>
    <t xml:space="preserve">Jose Alonzo</t>
  </si>
  <si>
    <t xml:space="preserve">(847) 429-9000</t>
  </si>
  <si>
    <t xml:space="preserve">Alonzos801@gmail.com</t>
  </si>
  <si>
    <t xml:space="preserve">801 Dundee Ave</t>
  </si>
  <si>
    <t xml:space="preserve">Elgin</t>
  </si>
  <si>
    <t xml:space="preserve">60120</t>
  </si>
  <si>
    <t xml:space="preserve">C5734</t>
  </si>
  <si>
    <t xml:space="preserve">551932</t>
  </si>
  <si>
    <t xml:space="preserve">405008</t>
  </si>
  <si>
    <t xml:space="preserve">201089</t>
  </si>
  <si>
    <t xml:space="preserve">The Office Connection</t>
  </si>
  <si>
    <t xml:space="preserve">Millicent Steele</t>
  </si>
  <si>
    <t xml:space="preserve">(919) 688-8238</t>
  </si>
  <si>
    <t xml:space="preserve">ofcon@aol.com</t>
  </si>
  <si>
    <t xml:space="preserve">2919 Fayetteville St</t>
  </si>
  <si>
    <t xml:space="preserve">Durham</t>
  </si>
  <si>
    <t xml:space="preserve">27707</t>
  </si>
  <si>
    <t xml:space="preserve">C45670</t>
  </si>
  <si>
    <t xml:space="preserve">608615</t>
  </si>
  <si>
    <t xml:space="preserve">458189</t>
  </si>
  <si>
    <t xml:space="preserve">200150</t>
  </si>
  <si>
    <t xml:space="preserve">Los Amigos Wireless</t>
  </si>
  <si>
    <t xml:space="preserve">Daniela Laurean</t>
  </si>
  <si>
    <t xml:space="preserve">(619) 310-8070</t>
  </si>
  <si>
    <t xml:space="preserve">losamigos.wireless@yahoo.com</t>
  </si>
  <si>
    <t xml:space="preserve">3156 Market St</t>
  </si>
  <si>
    <t xml:space="preserve">92102</t>
  </si>
  <si>
    <t xml:space="preserve">C48841</t>
  </si>
  <si>
    <t xml:space="preserve">658110</t>
  </si>
  <si>
    <t xml:space="preserve">499113</t>
  </si>
  <si>
    <t xml:space="preserve">213766</t>
  </si>
  <si>
    <t xml:space="preserve">Infinite Wireless Solutions LLC</t>
  </si>
  <si>
    <t xml:space="preserve">Connie Gomez</t>
  </si>
  <si>
    <t xml:space="preserve">(309) 644-0768</t>
  </si>
  <si>
    <t xml:space="preserve">infinitewireless.solutionsllc@gmail.com</t>
  </si>
  <si>
    <t xml:space="preserve">11246 Triangle Ln</t>
  </si>
  <si>
    <t xml:space="preserve">C51689</t>
  </si>
  <si>
    <t xml:space="preserve">613067</t>
  </si>
  <si>
    <t xml:space="preserve">462599</t>
  </si>
  <si>
    <t xml:space="preserve">200983</t>
  </si>
  <si>
    <t xml:space="preserve">Digicom</t>
  </si>
  <si>
    <t xml:space="preserve">Yuping Kwok</t>
  </si>
  <si>
    <t xml:space="preserve">(626) 300-8660</t>
  </si>
  <si>
    <t xml:space="preserve">digicom250@yahoo.com</t>
  </si>
  <si>
    <t xml:space="preserve">250 E Main St</t>
  </si>
  <si>
    <t xml:space="preserve">C24960</t>
  </si>
  <si>
    <t xml:space="preserve">660931</t>
  </si>
  <si>
    <t xml:space="preserve">501945</t>
  </si>
  <si>
    <t xml:space="preserve">214399</t>
  </si>
  <si>
    <t xml:space="preserve">Phone Repair Pro</t>
  </si>
  <si>
    <t xml:space="preserve">Hamza Shahzad</t>
  </si>
  <si>
    <t xml:space="preserve">(713) 941-2202</t>
  </si>
  <si>
    <t xml:space="preserve">phonescomputers83@gmail.com</t>
  </si>
  <si>
    <t xml:space="preserve">8541 W Bellfort Ave</t>
  </si>
  <si>
    <t xml:space="preserve">77071</t>
  </si>
  <si>
    <t xml:space="preserve">C53708</t>
  </si>
  <si>
    <t xml:space="preserve">660804</t>
  </si>
  <si>
    <t xml:space="preserve">501819</t>
  </si>
  <si>
    <t xml:space="preserve">214375</t>
  </si>
  <si>
    <t xml:space="preserve">Phones Fix LLC</t>
  </si>
  <si>
    <t xml:space="preserve">Nadeem Syed Zia</t>
  </si>
  <si>
    <t xml:space="preserve">phonesfix317@gmail.com</t>
  </si>
  <si>
    <t xml:space="preserve">7015 US 31</t>
  </si>
  <si>
    <t xml:space="preserve">STE E</t>
  </si>
  <si>
    <t xml:space="preserve">C53703</t>
  </si>
  <si>
    <t xml:space="preserve">660753</t>
  </si>
  <si>
    <t xml:space="preserve">501765</t>
  </si>
  <si>
    <t xml:space="preserve">214336</t>
  </si>
  <si>
    <t xml:space="preserve">Total Phone Center</t>
  </si>
  <si>
    <t xml:space="preserve">Erik Martinez</t>
  </si>
  <si>
    <t xml:space="preserve">(956) 231-9664</t>
  </si>
  <si>
    <t xml:space="preserve">lrmg@live.com</t>
  </si>
  <si>
    <t xml:space="preserve">2916 Santa Ursula</t>
  </si>
  <si>
    <t xml:space="preserve">Laredo</t>
  </si>
  <si>
    <t xml:space="preserve">78040</t>
  </si>
  <si>
    <t xml:space="preserve">C53699</t>
  </si>
  <si>
    <t xml:space="preserve">660619</t>
  </si>
  <si>
    <t xml:space="preserve">501628</t>
  </si>
  <si>
    <t xml:space="preserve">214300</t>
  </si>
  <si>
    <t xml:space="preserve">KM Electronics Corp</t>
  </si>
  <si>
    <t xml:space="preserve">Keith Barker</t>
  </si>
  <si>
    <t xml:space="preserve">(317) 795-0005</t>
  </si>
  <si>
    <t xml:space="preserve">sales@kmeindy.com</t>
  </si>
  <si>
    <t xml:space="preserve">8238 Madison Ave</t>
  </si>
  <si>
    <t xml:space="preserve">C53685</t>
  </si>
  <si>
    <t xml:space="preserve">660330</t>
  </si>
  <si>
    <t xml:space="preserve">501338</t>
  </si>
  <si>
    <t xml:space="preserve">214263</t>
  </si>
  <si>
    <t xml:space="preserve">Cellular Xchange</t>
  </si>
  <si>
    <t xml:space="preserve">Pedro Menchacha</t>
  </si>
  <si>
    <t xml:space="preserve">(806) 803-2465</t>
  </si>
  <si>
    <t xml:space="preserve">pedgy24@GMAIL.COM</t>
  </si>
  <si>
    <t xml:space="preserve">1506 E Amarillo Blvd</t>
  </si>
  <si>
    <t xml:space="preserve">Suite 150</t>
  </si>
  <si>
    <t xml:space="preserve">Amarillo</t>
  </si>
  <si>
    <t xml:space="preserve">79107</t>
  </si>
  <si>
    <t xml:space="preserve">C53664</t>
  </si>
  <si>
    <t xml:space="preserve">660020</t>
  </si>
  <si>
    <t xml:space="preserve">501024</t>
  </si>
  <si>
    <t xml:space="preserve">214216</t>
  </si>
  <si>
    <t xml:space="preserve">4G Cell</t>
  </si>
  <si>
    <t xml:space="preserve">Muhammad Waseem Qureshi</t>
  </si>
  <si>
    <t xml:space="preserve">(832) 361-3031</t>
  </si>
  <si>
    <t xml:space="preserve">samirwireless@gmail.com</t>
  </si>
  <si>
    <t xml:space="preserve">4420 Avenue H</t>
  </si>
  <si>
    <t xml:space="preserve">C53634</t>
  </si>
  <si>
    <t xml:space="preserve">660017</t>
  </si>
  <si>
    <t xml:space="preserve">501021</t>
  </si>
  <si>
    <t xml:space="preserve">214211</t>
  </si>
  <si>
    <t xml:space="preserve">Cell 2 Go #2</t>
  </si>
  <si>
    <t xml:space="preserve">Norma Rodea</t>
  </si>
  <si>
    <t xml:space="preserve">(832) 267-2501</t>
  </si>
  <si>
    <t xml:space="preserve">cell2go17@gmail.com</t>
  </si>
  <si>
    <t xml:space="preserve">13180 FM Rd 529</t>
  </si>
  <si>
    <t xml:space="preserve">Ste E</t>
  </si>
  <si>
    <t xml:space="preserve">77041</t>
  </si>
  <si>
    <t xml:space="preserve">C53633</t>
  </si>
  <si>
    <t xml:space="preserve">658434</t>
  </si>
  <si>
    <t xml:space="preserve">499447</t>
  </si>
  <si>
    <t xml:space="preserve">213859</t>
  </si>
  <si>
    <t xml:space="preserve">Cell Geeks and Repairs LLC</t>
  </si>
  <si>
    <t xml:space="preserve">Hosen Saddam</t>
  </si>
  <si>
    <t xml:space="preserve">(623) 285-9078</t>
  </si>
  <si>
    <t xml:space="preserve">cellgeeks35ave@gmail.com</t>
  </si>
  <si>
    <t xml:space="preserve">10410 N 35th Ave</t>
  </si>
  <si>
    <t xml:space="preserve">Ste 104</t>
  </si>
  <si>
    <t xml:space="preserve">85051</t>
  </si>
  <si>
    <t xml:space="preserve">C51714</t>
  </si>
  <si>
    <t xml:space="preserve">657863</t>
  </si>
  <si>
    <t xml:space="preserve">498867</t>
  </si>
  <si>
    <t xml:space="preserve">213682</t>
  </si>
  <si>
    <t xml:space="preserve">D Town Wireless Inc</t>
  </si>
  <si>
    <t xml:space="preserve">Jamal Alasfar</t>
  </si>
  <si>
    <t xml:space="preserve">(704) 598-5152</t>
  </si>
  <si>
    <t xml:space="preserve">dtown.wireless980@gmail.com</t>
  </si>
  <si>
    <t xml:space="preserve">2808 W Sugar Creek Rd</t>
  </si>
  <si>
    <t xml:space="preserve">Charlotte</t>
  </si>
  <si>
    <t xml:space="preserve">28262</t>
  </si>
  <si>
    <t xml:space="preserve">C51641</t>
  </si>
  <si>
    <t xml:space="preserve">657857</t>
  </si>
  <si>
    <t xml:space="preserve">498861</t>
  </si>
  <si>
    <t xml:space="preserve">213608</t>
  </si>
  <si>
    <t xml:space="preserve">Indycells LLC</t>
  </si>
  <si>
    <t xml:space="preserve">David Idehen</t>
  </si>
  <si>
    <t xml:space="preserve">(317) 755-9295</t>
  </si>
  <si>
    <t xml:space="preserve">davididehen18@gmail.com</t>
  </si>
  <si>
    <t xml:space="preserve">8949 E Washington St</t>
  </si>
  <si>
    <t xml:space="preserve">d14</t>
  </si>
  <si>
    <t xml:space="preserve">46219</t>
  </si>
  <si>
    <t xml:space="preserve">C51639</t>
  </si>
  <si>
    <t xml:space="preserve">657586</t>
  </si>
  <si>
    <t xml:space="preserve">498616</t>
  </si>
  <si>
    <t xml:space="preserve">213602</t>
  </si>
  <si>
    <t xml:space="preserve">MV Indy Phone Repair GMZ LLC</t>
  </si>
  <si>
    <t xml:space="preserve">Oscar Gomez</t>
  </si>
  <si>
    <t xml:space="preserve">(317) 710-0078</t>
  </si>
  <si>
    <t xml:space="preserve">gomezogoscar524@gmail.com</t>
  </si>
  <si>
    <t xml:space="preserve">1225 S High School Rd</t>
  </si>
  <si>
    <t xml:space="preserve">46241</t>
  </si>
  <si>
    <t xml:space="preserve">C51602</t>
  </si>
  <si>
    <t xml:space="preserve">656922</t>
  </si>
  <si>
    <t xml:space="preserve">496522</t>
  </si>
  <si>
    <t xml:space="preserve">213441</t>
  </si>
  <si>
    <t xml:space="preserve">TEN10 CELLULAR &amp; COMPUTER REPAIR INC</t>
  </si>
  <si>
    <t xml:space="preserve">ABDUL POPAL</t>
  </si>
  <si>
    <t xml:space="preserve">(951) 719-1590</t>
  </si>
  <si>
    <t xml:space="preserve">wefiixcellphones786@gmail.com</t>
  </si>
  <si>
    <t xml:space="preserve">41125 Winchester Rd</t>
  </si>
  <si>
    <t xml:space="preserve">Temecula</t>
  </si>
  <si>
    <t xml:space="preserve">92591</t>
  </si>
  <si>
    <t xml:space="preserve">C51554</t>
  </si>
  <si>
    <t xml:space="preserve">655792</t>
  </si>
  <si>
    <t xml:space="preserve">496920</t>
  </si>
  <si>
    <t xml:space="preserve">213393</t>
  </si>
  <si>
    <t xml:space="preserve">Shikot Electronics Inc</t>
  </si>
  <si>
    <t xml:space="preserve">Md Amin</t>
  </si>
  <si>
    <t xml:space="preserve">(917) 455-9516</t>
  </si>
  <si>
    <t xml:space="preserve">shikotelect.inc@gmail.com</t>
  </si>
  <si>
    <t xml:space="preserve">964 Broadway St</t>
  </si>
  <si>
    <t xml:space="preserve">C51552</t>
  </si>
  <si>
    <t xml:space="preserve">655616</t>
  </si>
  <si>
    <t xml:space="preserve">496746</t>
  </si>
  <si>
    <t xml:space="preserve">213329</t>
  </si>
  <si>
    <t xml:space="preserve">DOCTORCELL LATINOS COMPANY</t>
  </si>
  <si>
    <t xml:space="preserve">Merlin Chevez</t>
  </si>
  <si>
    <t xml:space="preserve">(501) 554-5382</t>
  </si>
  <si>
    <t xml:space="preserve">merlinalfredo92@gmail.com</t>
  </si>
  <si>
    <t xml:space="preserve">7300 BASELINE RD</t>
  </si>
  <si>
    <t xml:space="preserve">LITTLE ROCK</t>
  </si>
  <si>
    <t xml:space="preserve">AR</t>
  </si>
  <si>
    <t xml:space="preserve">72209</t>
  </si>
  <si>
    <t xml:space="preserve">C51518</t>
  </si>
  <si>
    <t xml:space="preserve">655528</t>
  </si>
  <si>
    <t xml:space="preserve">496666</t>
  </si>
  <si>
    <t xml:space="preserve">213289</t>
  </si>
  <si>
    <t xml:space="preserve">Tuzo Cellular Wireless 4</t>
  </si>
  <si>
    <t xml:space="preserve">Rosa Garcia</t>
  </si>
  <si>
    <t xml:space="preserve">(503) 828-6188</t>
  </si>
  <si>
    <t xml:space="preserve">rosecarmen7072@gmail.com</t>
  </si>
  <si>
    <t xml:space="preserve">1050 SE Walnut St</t>
  </si>
  <si>
    <t xml:space="preserve">Hillsboro</t>
  </si>
  <si>
    <t xml:space="preserve">OR</t>
  </si>
  <si>
    <t xml:space="preserve">97123</t>
  </si>
  <si>
    <t xml:space="preserve">C51502</t>
  </si>
  <si>
    <t xml:space="preserve">655354</t>
  </si>
  <si>
    <t xml:space="preserve">496501</t>
  </si>
  <si>
    <t xml:space="preserve">213229</t>
  </si>
  <si>
    <t xml:space="preserve">All in One Mobile</t>
  </si>
  <si>
    <t xml:space="preserve">Jaime JR Reyes</t>
  </si>
  <si>
    <t xml:space="preserve">(310) 928-5216</t>
  </si>
  <si>
    <t xml:space="preserve">allinonemobile4224@gmail.com</t>
  </si>
  <si>
    <t xml:space="preserve">4224 Firestone Blvd</t>
  </si>
  <si>
    <t xml:space="preserve">South Gate</t>
  </si>
  <si>
    <t xml:space="preserve">90280</t>
  </si>
  <si>
    <t xml:space="preserve">C51494</t>
  </si>
  <si>
    <t xml:space="preserve">655321</t>
  </si>
  <si>
    <t xml:space="preserve">496469</t>
  </si>
  <si>
    <t xml:space="preserve">213212</t>
  </si>
  <si>
    <t xml:space="preserve">MOBILE MAS MIAMI INC</t>
  </si>
  <si>
    <t xml:space="preserve">John Bayter</t>
  </si>
  <si>
    <t xml:space="preserve">(786) 727-1963</t>
  </si>
  <si>
    <t xml:space="preserve">jhonmariobayter@gmail.com</t>
  </si>
  <si>
    <t xml:space="preserve">5850 NW 183RD ST</t>
  </si>
  <si>
    <t xml:space="preserve">HIALEAH</t>
  </si>
  <si>
    <t xml:space="preserve">FL</t>
  </si>
  <si>
    <t xml:space="preserve">33015</t>
  </si>
  <si>
    <t xml:space="preserve">C51511</t>
  </si>
  <si>
    <t xml:space="preserve">655220</t>
  </si>
  <si>
    <t xml:space="preserve">496368</t>
  </si>
  <si>
    <t xml:space="preserve">213191</t>
  </si>
  <si>
    <t xml:space="preserve">HAUNER LLC</t>
  </si>
  <si>
    <t xml:space="preserve">Timothy Hauner</t>
  </si>
  <si>
    <t xml:space="preserve">(541) 303-1542</t>
  </si>
  <si>
    <t xml:space="preserve">timhauner@gmail.com</t>
  </si>
  <si>
    <t xml:space="preserve">2010 Island Ave</t>
  </si>
  <si>
    <t xml:space="preserve">La Grande</t>
  </si>
  <si>
    <t xml:space="preserve">97850</t>
  </si>
  <si>
    <t xml:space="preserve">C51456</t>
  </si>
  <si>
    <t xml:space="preserve">655136</t>
  </si>
  <si>
    <t xml:space="preserve">496286</t>
  </si>
  <si>
    <t xml:space="preserve">213140</t>
  </si>
  <si>
    <t xml:space="preserve">Fast Phone Repair</t>
  </si>
  <si>
    <t xml:space="preserve">Bashir Ahamed</t>
  </si>
  <si>
    <t xml:space="preserve">(832) 708-0578</t>
  </si>
  <si>
    <t xml:space="preserve">bashirstfr@gmail.com</t>
  </si>
  <si>
    <t xml:space="preserve">3804 S Shaver st</t>
  </si>
  <si>
    <t xml:space="preserve">South Houston</t>
  </si>
  <si>
    <t xml:space="preserve">77587</t>
  </si>
  <si>
    <t xml:space="preserve">C51486</t>
  </si>
  <si>
    <t xml:space="preserve">654765</t>
  </si>
  <si>
    <t xml:space="preserve">495917</t>
  </si>
  <si>
    <t xml:space="preserve">213061</t>
  </si>
  <si>
    <t xml:space="preserve">824 S HIGHWAY 395</t>
  </si>
  <si>
    <t xml:space="preserve">Hermiston</t>
  </si>
  <si>
    <t xml:space="preserve">97838</t>
  </si>
  <si>
    <t xml:space="preserve">651742</t>
  </si>
  <si>
    <t xml:space="preserve">492988</t>
  </si>
  <si>
    <t xml:space="preserve">212662</t>
  </si>
  <si>
    <t xml:space="preserve">ALL-IN MULTISERVICE LLC</t>
  </si>
  <si>
    <t xml:space="preserve">Ronald Brea</t>
  </si>
  <si>
    <t xml:space="preserve">(203) 553-8008</t>
  </si>
  <si>
    <t xml:space="preserve">allinmultiservicellc@gmail.com</t>
  </si>
  <si>
    <t xml:space="preserve">36 Kimberly Ave</t>
  </si>
  <si>
    <t xml:space="preserve">New Haven</t>
  </si>
  <si>
    <t xml:space="preserve">06519</t>
  </si>
  <si>
    <t xml:space="preserve">C51361</t>
  </si>
  <si>
    <t xml:space="preserve">651219</t>
  </si>
  <si>
    <t xml:space="preserve">492474</t>
  </si>
  <si>
    <t xml:space="preserve">212473</t>
  </si>
  <si>
    <t xml:space="preserve">1STOPTOSHOP3 INC</t>
  </si>
  <si>
    <t xml:space="preserve">Dror Edi</t>
  </si>
  <si>
    <t xml:space="preserve">(347) 862-3285</t>
  </si>
  <si>
    <t xml:space="preserve">1stoptoshop3.inc@gmail.com</t>
  </si>
  <si>
    <t xml:space="preserve">2883 3rd Ave</t>
  </si>
  <si>
    <t xml:space="preserve">10455</t>
  </si>
  <si>
    <t xml:space="preserve">C51326</t>
  </si>
  <si>
    <t xml:space="preserve">650787</t>
  </si>
  <si>
    <t xml:space="preserve">492037</t>
  </si>
  <si>
    <t xml:space="preserve">212443</t>
  </si>
  <si>
    <t xml:space="preserve">High-Tech LLC</t>
  </si>
  <si>
    <t xml:space="preserve">Aklilu Kahsay</t>
  </si>
  <si>
    <t xml:space="preserve">(202) 766-2029</t>
  </si>
  <si>
    <t xml:space="preserve">hightech5820@gmail.com</t>
  </si>
  <si>
    <t xml:space="preserve">5820 SEMINARY RD</t>
  </si>
  <si>
    <t xml:space="preserve">STE H</t>
  </si>
  <si>
    <t xml:space="preserve">FALLS CHURCH</t>
  </si>
  <si>
    <t xml:space="preserve">C51241</t>
  </si>
  <si>
    <t xml:space="preserve">651034</t>
  </si>
  <si>
    <t xml:space="preserve">492288</t>
  </si>
  <si>
    <t xml:space="preserve">212430</t>
  </si>
  <si>
    <t xml:space="preserve">Diverse Postal &amp; Print LLC</t>
  </si>
  <si>
    <t xml:space="preserve">Horacio Ocampo</t>
  </si>
  <si>
    <t xml:space="preserve">(951) 332-0677</t>
  </si>
  <si>
    <t xml:space="preserve">dpostprint@gmail.com</t>
  </si>
  <si>
    <t xml:space="preserve">10207 San Sevaine Way</t>
  </si>
  <si>
    <t xml:space="preserve">Jurupa Valley</t>
  </si>
  <si>
    <t xml:space="preserve">91752</t>
  </si>
  <si>
    <t xml:space="preserve">C51320</t>
  </si>
  <si>
    <t xml:space="preserve">650725</t>
  </si>
  <si>
    <t xml:space="preserve">491973</t>
  </si>
  <si>
    <t xml:space="preserve">212374</t>
  </si>
  <si>
    <t xml:space="preserve">Authentic Florist &amp; More LLC</t>
  </si>
  <si>
    <t xml:space="preserve">Edgar Guzman</t>
  </si>
  <si>
    <t xml:space="preserve">(609) 301-8389</t>
  </si>
  <si>
    <t xml:space="preserve">AuthenticFloristLLC@gmail.com</t>
  </si>
  <si>
    <t xml:space="preserve">659 Abbington Dr</t>
  </si>
  <si>
    <t xml:space="preserve">109</t>
  </si>
  <si>
    <t xml:space="preserve">East Windsor</t>
  </si>
  <si>
    <t xml:space="preserve">08520</t>
  </si>
  <si>
    <t xml:space="preserve">C51295</t>
  </si>
  <si>
    <t xml:space="preserve">648603</t>
  </si>
  <si>
    <t xml:space="preserve">489922</t>
  </si>
  <si>
    <t xml:space="preserve">212003</t>
  </si>
  <si>
    <t xml:space="preserve">MC Wireless</t>
  </si>
  <si>
    <t xml:space="preserve">MARIA CRISTOBAL</t>
  </si>
  <si>
    <t xml:space="preserve">(323) 208-6283</t>
  </si>
  <si>
    <t xml:space="preserve">Lwireless2930@gmail.com</t>
  </si>
  <si>
    <t xml:space="preserve">2512 S Central Ave</t>
  </si>
  <si>
    <t xml:space="preserve">C51359</t>
  </si>
  <si>
    <t xml:space="preserve">646975</t>
  </si>
  <si>
    <t xml:space="preserve">488304</t>
  </si>
  <si>
    <t xml:space="preserve">211683</t>
  </si>
  <si>
    <t xml:space="preserve">Madame LLC dba Madame Multiservice</t>
  </si>
  <si>
    <t xml:space="preserve">Ginet Polanco</t>
  </si>
  <si>
    <t xml:space="preserve">(646) 668-7592 Willy</t>
  </si>
  <si>
    <t xml:space="preserve">madamedrivingschool@gmail.com</t>
  </si>
  <si>
    <t xml:space="preserve">3340 Fort Independence</t>
  </si>
  <si>
    <t xml:space="preserve">10463</t>
  </si>
  <si>
    <t xml:space="preserve">C51042</t>
  </si>
  <si>
    <t xml:space="preserve">636254</t>
  </si>
  <si>
    <t xml:space="preserve">482712</t>
  </si>
  <si>
    <t xml:space="preserve">209785</t>
  </si>
  <si>
    <t xml:space="preserve">Sell N Fix Wireless</t>
  </si>
  <si>
    <t xml:space="preserve">Muhammad Fawad</t>
  </si>
  <si>
    <t xml:space="preserve">(214) 564-0000</t>
  </si>
  <si>
    <t xml:space="preserve">fawad2000@hotmail.com</t>
  </si>
  <si>
    <t xml:space="preserve">5441 Alpha Rd</t>
  </si>
  <si>
    <t xml:space="preserve">Ste 110</t>
  </si>
  <si>
    <t xml:space="preserve">75240</t>
  </si>
  <si>
    <t xml:space="preserve">C50860</t>
  </si>
  <si>
    <t xml:space="preserve">635908</t>
  </si>
  <si>
    <t xml:space="preserve">482367</t>
  </si>
  <si>
    <t xml:space="preserve">209682</t>
  </si>
  <si>
    <t xml:space="preserve">GTW Phone Repair</t>
  </si>
  <si>
    <t xml:space="preserve">Walter Noel Chavez</t>
  </si>
  <si>
    <t xml:space="preserve">(281) 501-9539</t>
  </si>
  <si>
    <t xml:space="preserve">gtwphonerepair6061@gmail.com</t>
  </si>
  <si>
    <t xml:space="preserve">3012 Hillcroft St</t>
  </si>
  <si>
    <t xml:space="preserve">77057</t>
  </si>
  <si>
    <t xml:space="preserve">C50849</t>
  </si>
  <si>
    <t xml:space="preserve">650191</t>
  </si>
  <si>
    <t xml:space="preserve">491432</t>
  </si>
  <si>
    <t xml:space="preserve">209590</t>
  </si>
  <si>
    <t xml:space="preserve">One Stop Wireless LLC</t>
  </si>
  <si>
    <t xml:space="preserve">Babar Ali</t>
  </si>
  <si>
    <t xml:space="preserve">(609) 865-7046</t>
  </si>
  <si>
    <t xml:space="preserve">babarriasat@gmail.com</t>
  </si>
  <si>
    <t xml:space="preserve">1710 Atlantic Ave</t>
  </si>
  <si>
    <t xml:space="preserve">Atlantic City</t>
  </si>
  <si>
    <t xml:space="preserve">8401</t>
  </si>
  <si>
    <t xml:space="preserve">C50827</t>
  </si>
  <si>
    <t xml:space="preserve">634301</t>
  </si>
  <si>
    <t xml:space="preserve">480795</t>
  </si>
  <si>
    <t xml:space="preserve">209073</t>
  </si>
  <si>
    <t xml:space="preserve">TALUKDER N CORP</t>
  </si>
  <si>
    <t xml:space="preserve">Mohammad Talukder</t>
  </si>
  <si>
    <t xml:space="preserve">(646) 410-0060</t>
  </si>
  <si>
    <t xml:space="preserve">talukdernc2023@gmail.com</t>
  </si>
  <si>
    <t xml:space="preserve">228 Varick St</t>
  </si>
  <si>
    <t xml:space="preserve">10014</t>
  </si>
  <si>
    <t xml:space="preserve">C50773</t>
  </si>
  <si>
    <t xml:space="preserve">633225</t>
  </si>
  <si>
    <t xml:space="preserve">479733</t>
  </si>
  <si>
    <t xml:space="preserve">208375</t>
  </si>
  <si>
    <t xml:space="preserve">Cellpro Wireless LLC</t>
  </si>
  <si>
    <t xml:space="preserve">Fazna Shakur</t>
  </si>
  <si>
    <t xml:space="preserve">(860) 261-4777</t>
  </si>
  <si>
    <t xml:space="preserve">wireless@cellprollc.com</t>
  </si>
  <si>
    <t xml:space="preserve">819 Farmington Ave</t>
  </si>
  <si>
    <t xml:space="preserve">Bristol</t>
  </si>
  <si>
    <t xml:space="preserve">6010</t>
  </si>
  <si>
    <t xml:space="preserve">C50705</t>
  </si>
  <si>
    <t xml:space="preserve">631368</t>
  </si>
  <si>
    <t xml:space="preserve">477867</t>
  </si>
  <si>
    <t xml:space="preserve">207268</t>
  </si>
  <si>
    <t xml:space="preserve">Movies and More</t>
  </si>
  <si>
    <t xml:space="preserve">Roshan Bansgopaul</t>
  </si>
  <si>
    <t xml:space="preserve">(718) 479-1224</t>
  </si>
  <si>
    <t xml:space="preserve">rbansgopaul@gmail.com</t>
  </si>
  <si>
    <t xml:space="preserve">196-17 Jamaica Ave</t>
  </si>
  <si>
    <t xml:space="preserve">11423</t>
  </si>
  <si>
    <t xml:space="preserve">C50612</t>
  </si>
  <si>
    <t xml:space="preserve">626867</t>
  </si>
  <si>
    <t xml:space="preserve">475328</t>
  </si>
  <si>
    <t xml:space="preserve">204688</t>
  </si>
  <si>
    <t xml:space="preserve">AAA Trading LLC</t>
  </si>
  <si>
    <t xml:space="preserve">Ahmer Monga</t>
  </si>
  <si>
    <t xml:space="preserve">(817) 404-4096</t>
  </si>
  <si>
    <t xml:space="preserve">aaacellularphones@gmail.com</t>
  </si>
  <si>
    <t xml:space="preserve">1511 S Bowen Rd</t>
  </si>
  <si>
    <t xml:space="preserve">Pantego</t>
  </si>
  <si>
    <t xml:space="preserve">76013</t>
  </si>
  <si>
    <t xml:space="preserve">C50472</t>
  </si>
  <si>
    <t xml:space="preserve">625566</t>
  </si>
  <si>
    <t xml:space="preserve">474519</t>
  </si>
  <si>
    <t xml:space="preserve">203907</t>
  </si>
  <si>
    <t xml:space="preserve">City Wireless</t>
  </si>
  <si>
    <t xml:space="preserve">sandra gutierrez</t>
  </si>
  <si>
    <t xml:space="preserve">(972) 686-9648</t>
  </si>
  <si>
    <t xml:space="preserve">cwc_sandra@yahoo.com</t>
  </si>
  <si>
    <t xml:space="preserve">2570 Gus Thomasson Rd</t>
  </si>
  <si>
    <t xml:space="preserve">C50428</t>
  </si>
  <si>
    <t xml:space="preserve">147816</t>
  </si>
  <si>
    <t xml:space="preserve">157316</t>
  </si>
  <si>
    <t xml:space="preserve">201439</t>
  </si>
  <si>
    <t xml:space="preserve">Wireless Choice LLC</t>
  </si>
  <si>
    <t xml:space="preserve">Nick Mohammed</t>
  </si>
  <si>
    <t xml:space="preserve">(203) 755-8908</t>
  </si>
  <si>
    <t xml:space="preserve">wirelesschoice.waterbury@gmail.com</t>
  </si>
  <si>
    <t xml:space="preserve">495 Union St</t>
  </si>
  <si>
    <t xml:space="preserve">#2192</t>
  </si>
  <si>
    <t xml:space="preserve">Waterbury</t>
  </si>
  <si>
    <t xml:space="preserve">6706</t>
  </si>
  <si>
    <t xml:space="preserve">C14257</t>
  </si>
  <si>
    <t xml:space="preserve">611636</t>
  </si>
  <si>
    <t xml:space="preserve">461157</t>
  </si>
  <si>
    <t xml:space="preserve">200635</t>
  </si>
  <si>
    <t xml:space="preserve">Top Star Wireless</t>
  </si>
  <si>
    <t xml:space="preserve">Sang Kim</t>
  </si>
  <si>
    <t xml:space="preserve">(818) 894-1075</t>
  </si>
  <si>
    <t xml:space="preserve">topstarsk@gmail.com</t>
  </si>
  <si>
    <t xml:space="preserve">14650 Parthenia St</t>
  </si>
  <si>
    <t xml:space="preserve">Panorama City</t>
  </si>
  <si>
    <t xml:space="preserve">91402</t>
  </si>
  <si>
    <t xml:space="preserve">C49882</t>
  </si>
  <si>
    <t xml:space="preserve">531408</t>
  </si>
  <si>
    <t xml:space="preserve">386035</t>
  </si>
  <si>
    <t xml:space="preserve">200383</t>
  </si>
  <si>
    <t xml:space="preserve">A&amp;J Cellular</t>
  </si>
  <si>
    <t xml:space="preserve">Adolfo Bautista</t>
  </si>
  <si>
    <t xml:space="preserve">(713) 995-1490</t>
  </si>
  <si>
    <t xml:space="preserve">aj.cellular@yahoo.com</t>
  </si>
  <si>
    <t xml:space="preserve">10301 Harwin Dr.</t>
  </si>
  <si>
    <t xml:space="preserve">C43030</t>
  </si>
  <si>
    <t xml:space="preserve">111183</t>
  </si>
  <si>
    <t xml:space="preserve">378212</t>
  </si>
  <si>
    <t xml:space="preserve">200375</t>
  </si>
  <si>
    <t xml:space="preserve">On the Run Wireless</t>
  </si>
  <si>
    <t xml:space="preserve">Sam Chahayed</t>
  </si>
  <si>
    <t xml:space="preserve">(818) 894-2403 Try 1st</t>
  </si>
  <si>
    <t xml:space="preserve">otrw101@gmail.com</t>
  </si>
  <si>
    <t xml:space="preserve">10245 Sepulveda Blvd</t>
  </si>
  <si>
    <t xml:space="preserve">Mission Hills</t>
  </si>
  <si>
    <t xml:space="preserve">91345</t>
  </si>
  <si>
    <t xml:space="preserve">C11941</t>
  </si>
  <si>
    <t xml:space="preserve">610712</t>
  </si>
  <si>
    <t xml:space="preserve">460214</t>
  </si>
  <si>
    <t xml:space="preserve">200351</t>
  </si>
  <si>
    <t xml:space="preserve">DV Electronics</t>
  </si>
  <si>
    <t xml:space="preserve">Danielle Villasenor</t>
  </si>
  <si>
    <t xml:space="preserve">(323) 233-3893</t>
  </si>
  <si>
    <t xml:space="preserve">avalenzo69@gmail.com</t>
  </si>
  <si>
    <t xml:space="preserve">1006 E Vernon Ave</t>
  </si>
  <si>
    <t xml:space="preserve">C49866</t>
  </si>
  <si>
    <t xml:space="preserve">168350</t>
  </si>
  <si>
    <t xml:space="preserve">181596</t>
  </si>
  <si>
    <t xml:space="preserve">201150</t>
  </si>
  <si>
    <t xml:space="preserve">Magic Wireless</t>
  </si>
  <si>
    <t xml:space="preserve">Sophea Kim</t>
  </si>
  <si>
    <t xml:space="preserve">(978) 674-8181</t>
  </si>
  <si>
    <t xml:space="preserve">sophea_kim@verizon.net</t>
  </si>
  <si>
    <t xml:space="preserve">32 Branch St</t>
  </si>
  <si>
    <t xml:space="preserve">Lowell</t>
  </si>
  <si>
    <t xml:space="preserve">1851</t>
  </si>
  <si>
    <t xml:space="preserve">C6506</t>
  </si>
  <si>
    <t xml:space="preserve">661628</t>
  </si>
  <si>
    <t xml:space="preserve">502657</t>
  </si>
  <si>
    <t xml:space="preserve">214519</t>
  </si>
  <si>
    <t xml:space="preserve">EZ NY Wireless Inc</t>
  </si>
  <si>
    <t xml:space="preserve">Jiaxin Pan</t>
  </si>
  <si>
    <t xml:space="preserve">(347) 378-8688</t>
  </si>
  <si>
    <t xml:space="preserve">5912wireless@gmail.com</t>
  </si>
  <si>
    <t xml:space="preserve">5912 8th Ave</t>
  </si>
  <si>
    <t xml:space="preserve">C53731</t>
  </si>
  <si>
    <t xml:space="preserve">660747</t>
  </si>
  <si>
    <t xml:space="preserve">501760</t>
  </si>
  <si>
    <t xml:space="preserve">214326</t>
  </si>
  <si>
    <t xml:space="preserve">ITEK SQUAD LLC</t>
  </si>
  <si>
    <t xml:space="preserve">Kimberly Campa</t>
  </si>
  <si>
    <t xml:space="preserve">(843) 422-9623</t>
  </si>
  <si>
    <t xml:space="preserve">iteksquad@gmail.com</t>
  </si>
  <si>
    <t xml:space="preserve">1 Godfrey Pl</t>
  </si>
  <si>
    <t xml:space="preserve"># 3</t>
  </si>
  <si>
    <t xml:space="preserve">Bluffton</t>
  </si>
  <si>
    <t xml:space="preserve">29910</t>
  </si>
  <si>
    <t xml:space="preserve">C53698</t>
  </si>
  <si>
    <t xml:space="preserve">660635</t>
  </si>
  <si>
    <t xml:space="preserve">501645</t>
  </si>
  <si>
    <t xml:space="preserve">214308</t>
  </si>
  <si>
    <t xml:space="preserve">Iprocellular</t>
  </si>
  <si>
    <t xml:space="preserve">Hieu Do</t>
  </si>
  <si>
    <t xml:space="preserve">(225) 454-6141</t>
  </si>
  <si>
    <t xml:space="preserve">hdla2812@hotmail.com</t>
  </si>
  <si>
    <t xml:space="preserve">5732 Silverleaf Ave</t>
  </si>
  <si>
    <t xml:space="preserve">70812</t>
  </si>
  <si>
    <t xml:space="preserve">C53687</t>
  </si>
  <si>
    <t xml:space="preserve">660550</t>
  </si>
  <si>
    <t xml:space="preserve">501559</t>
  </si>
  <si>
    <t xml:space="preserve">214284</t>
  </si>
  <si>
    <t xml:space="preserve">Pumex Inc</t>
  </si>
  <si>
    <t xml:space="preserve">Rosemary Cazares</t>
  </si>
  <si>
    <t xml:space="preserve">(646) 456-9674</t>
  </si>
  <si>
    <t xml:space="preserve">pumexrecords@yahoo.com</t>
  </si>
  <si>
    <t xml:space="preserve">135 Union Ave</t>
  </si>
  <si>
    <t xml:space="preserve">C53676</t>
  </si>
  <si>
    <t xml:space="preserve">660162</t>
  </si>
  <si>
    <t xml:space="preserve">501170</t>
  </si>
  <si>
    <t xml:space="preserve">214242</t>
  </si>
  <si>
    <t xml:space="preserve">Phone Doctor 59 LLC</t>
  </si>
  <si>
    <t xml:space="preserve">Ajay Kumar Sardar</t>
  </si>
  <si>
    <t xml:space="preserve">(602) 668-6298</t>
  </si>
  <si>
    <t xml:space="preserve">phonedoc59th@gmail.com</t>
  </si>
  <si>
    <t xml:space="preserve">4840 N 59th Ave</t>
  </si>
  <si>
    <t xml:space="preserve">85033</t>
  </si>
  <si>
    <t xml:space="preserve">C53648</t>
  </si>
  <si>
    <t xml:space="preserve">660102</t>
  </si>
  <si>
    <t xml:space="preserve">501110</t>
  </si>
  <si>
    <t xml:space="preserve">214225</t>
  </si>
  <si>
    <t xml:space="preserve">LA Kings Wireless LLC</t>
  </si>
  <si>
    <t xml:space="preserve">Batool Wahib</t>
  </si>
  <si>
    <t xml:space="preserve">(847) 387-0438</t>
  </si>
  <si>
    <t xml:space="preserve">lakingswireless@gmail.com</t>
  </si>
  <si>
    <t xml:space="preserve">4462 Jefferson Hwy</t>
  </si>
  <si>
    <t xml:space="preserve">Jefferson</t>
  </si>
  <si>
    <t xml:space="preserve">70121</t>
  </si>
  <si>
    <t xml:space="preserve">C53643</t>
  </si>
  <si>
    <t xml:space="preserve">660042</t>
  </si>
  <si>
    <t xml:space="preserve">501046</t>
  </si>
  <si>
    <t xml:space="preserve">214215</t>
  </si>
  <si>
    <t xml:space="preserve">BMIT Wireless Inc</t>
  </si>
  <si>
    <t xml:space="preserve">Ling Yan Tu</t>
  </si>
  <si>
    <t xml:space="preserve">(718) 887-1199</t>
  </si>
  <si>
    <t xml:space="preserve">shanghaiwireless@gmail.com</t>
  </si>
  <si>
    <t xml:space="preserve">37-08 Main St</t>
  </si>
  <si>
    <t xml:space="preserve">#A2</t>
  </si>
  <si>
    <t xml:space="preserve">C53639</t>
  </si>
  <si>
    <t xml:space="preserve">660011</t>
  </si>
  <si>
    <t xml:space="preserve">501015</t>
  </si>
  <si>
    <t xml:space="preserve">214213</t>
  </si>
  <si>
    <t xml:space="preserve">Hyper Tech PC</t>
  </si>
  <si>
    <t xml:space="preserve">Karn Cameron Smith</t>
  </si>
  <si>
    <t xml:space="preserve">(208) 475-4002</t>
  </si>
  <si>
    <t xml:space="preserve">techsmartoffice@gmail.com</t>
  </si>
  <si>
    <t xml:space="preserve">1331 12th Ave Rd</t>
  </si>
  <si>
    <t xml:space="preserve">Ste 103</t>
  </si>
  <si>
    <t xml:space="preserve">Nampa</t>
  </si>
  <si>
    <t xml:space="preserve">ID</t>
  </si>
  <si>
    <t xml:space="preserve">83868</t>
  </si>
  <si>
    <t xml:space="preserve">C53631</t>
  </si>
  <si>
    <t xml:space="preserve">660004</t>
  </si>
  <si>
    <t xml:space="preserve">501008</t>
  </si>
  <si>
    <t xml:space="preserve">214192</t>
  </si>
  <si>
    <t xml:space="preserve">Pacheco Phone Fix LLC</t>
  </si>
  <si>
    <t xml:space="preserve">Melvin Pacheco Duque</t>
  </si>
  <si>
    <t xml:space="preserve">(661) 270-2232</t>
  </si>
  <si>
    <t xml:space="preserve">Mphoneheaven@gmail.com</t>
  </si>
  <si>
    <t xml:space="preserve">26541 Bouquet Canyon Rd</t>
  </si>
  <si>
    <t xml:space="preserve">91350</t>
  </si>
  <si>
    <t xml:space="preserve">C53630</t>
  </si>
  <si>
    <t xml:space="preserve">659567</t>
  </si>
  <si>
    <t xml:space="preserve">500573</t>
  </si>
  <si>
    <t xml:space="preserve">214164</t>
  </si>
  <si>
    <t xml:space="preserve">Powered Wireless Inc</t>
  </si>
  <si>
    <t xml:space="preserve">Salah Yahya</t>
  </si>
  <si>
    <t xml:space="preserve">(302) 691-5593</t>
  </si>
  <si>
    <t xml:space="preserve">wirelesspowered@gmail.com</t>
  </si>
  <si>
    <t xml:space="preserve">1100 Maryland Ave</t>
  </si>
  <si>
    <t xml:space="preserve">19805</t>
  </si>
  <si>
    <t xml:space="preserve">C51801</t>
  </si>
  <si>
    <t xml:space="preserve">659532</t>
  </si>
  <si>
    <t xml:space="preserve">500538</t>
  </si>
  <si>
    <t xml:space="preserve">214121</t>
  </si>
  <si>
    <t xml:space="preserve">Denver Phone Store</t>
  </si>
  <si>
    <t xml:space="preserve">Amino Ali Ahmed</t>
  </si>
  <si>
    <t xml:space="preserve">(720) 445-5991</t>
  </si>
  <si>
    <t xml:space="preserve">denverphonestore@gmail.com</t>
  </si>
  <si>
    <t xml:space="preserve">2958 N Downing St</t>
  </si>
  <si>
    <t xml:space="preserve">Denver</t>
  </si>
  <si>
    <t xml:space="preserve">CO</t>
  </si>
  <si>
    <t xml:space="preserve">80205</t>
  </si>
  <si>
    <t xml:space="preserve">C51792</t>
  </si>
  <si>
    <t xml:space="preserve">659477</t>
  </si>
  <si>
    <t xml:space="preserve">500480</t>
  </si>
  <si>
    <t xml:space="preserve">214107</t>
  </si>
  <si>
    <t xml:space="preserve">Mayra's Phone Repair</t>
  </si>
  <si>
    <t xml:space="preserve">Mayra Alejandra Morua</t>
  </si>
  <si>
    <t xml:space="preserve">(956) 867-2862</t>
  </si>
  <si>
    <t xml:space="preserve">mayraphonerepair@outlook.com</t>
  </si>
  <si>
    <t xml:space="preserve">200 Bryan Rd</t>
  </si>
  <si>
    <t xml:space="preserve">C53650</t>
  </si>
  <si>
    <t xml:space="preserve">659319</t>
  </si>
  <si>
    <t xml:space="preserve">500316</t>
  </si>
  <si>
    <t xml:space="preserve">214045</t>
  </si>
  <si>
    <t xml:space="preserve">Phone World 96 LLC</t>
  </si>
  <si>
    <t xml:space="preserve">Dawinderpal Sigh</t>
  </si>
  <si>
    <t xml:space="preserve">(917) 772-4445</t>
  </si>
  <si>
    <t xml:space="preserve">phoneworld9614@gmail.com</t>
  </si>
  <si>
    <t xml:space="preserve">96-14 101st Ave</t>
  </si>
  <si>
    <t xml:space="preserve">Ozone Park</t>
  </si>
  <si>
    <t xml:space="preserve">11416</t>
  </si>
  <si>
    <t xml:space="preserve">C51765</t>
  </si>
  <si>
    <t xml:space="preserve">659183</t>
  </si>
  <si>
    <t xml:space="preserve">500178</t>
  </si>
  <si>
    <t xml:space="preserve">213990</t>
  </si>
  <si>
    <t xml:space="preserve">Next Level Repair Center</t>
  </si>
  <si>
    <t xml:space="preserve">Jose M Hernandez Del Gadillo</t>
  </si>
  <si>
    <t xml:space="preserve">(310) 300-6984</t>
  </si>
  <si>
    <t xml:space="preserve">manny1229@live.com</t>
  </si>
  <si>
    <t xml:space="preserve">2228 W Pico Blvd</t>
  </si>
  <si>
    <t xml:space="preserve">C51759</t>
  </si>
  <si>
    <t xml:space="preserve">658878</t>
  </si>
  <si>
    <t xml:space="preserve">499869</t>
  </si>
  <si>
    <t xml:space="preserve">213961</t>
  </si>
  <si>
    <t xml:space="preserve">Sam's Wireless 3 and Car Audio Inc</t>
  </si>
  <si>
    <t xml:space="preserve">Abdelhak Khouna</t>
  </si>
  <si>
    <t xml:space="preserve">(225) 936-5623</t>
  </si>
  <si>
    <t xml:space="preserve">sams02@outlook.com</t>
  </si>
  <si>
    <t xml:space="preserve">12615 Florida Blvd</t>
  </si>
  <si>
    <t xml:space="preserve">C51745</t>
  </si>
  <si>
    <t xml:space="preserve">658020</t>
  </si>
  <si>
    <t xml:space="preserve">499024</t>
  </si>
  <si>
    <t xml:space="preserve">213857</t>
  </si>
  <si>
    <t xml:space="preserve">I Fix For U</t>
  </si>
  <si>
    <t xml:space="preserve">(626) 800-2030</t>
  </si>
  <si>
    <t xml:space="preserve">ifixforurancho@gmail.com</t>
  </si>
  <si>
    <t xml:space="preserve">311 E Valley Blvd</t>
  </si>
  <si>
    <t xml:space="preserve">C51673</t>
  </si>
  <si>
    <t xml:space="preserve">658382</t>
  </si>
  <si>
    <t xml:space="preserve">499395</t>
  </si>
  <si>
    <t xml:space="preserve">213842</t>
  </si>
  <si>
    <t xml:space="preserve">O G Deliveries LLC DBA O G Wireless Plus</t>
  </si>
  <si>
    <t xml:space="preserve">Joseph Sullivan</t>
  </si>
  <si>
    <t xml:space="preserve">(318) 501-4335</t>
  </si>
  <si>
    <t xml:space="preserve">jonathonparker21@gmail.com</t>
  </si>
  <si>
    <t xml:space="preserve">805 E Main St</t>
  </si>
  <si>
    <t xml:space="preserve">Oak Grove</t>
  </si>
  <si>
    <t xml:space="preserve">71263</t>
  </si>
  <si>
    <t xml:space="preserve">C51711</t>
  </si>
  <si>
    <t xml:space="preserve">658274</t>
  </si>
  <si>
    <t xml:space="preserve">499288</t>
  </si>
  <si>
    <t xml:space="preserve">213822</t>
  </si>
  <si>
    <t xml:space="preserve">GZ UP Wireless Inc</t>
  </si>
  <si>
    <t xml:space="preserve">Dominick Hyppolite</t>
  </si>
  <si>
    <t xml:space="preserve">(951) 487-2900</t>
  </si>
  <si>
    <t xml:space="preserve">DominickHyppolite@yahoo.com</t>
  </si>
  <si>
    <t xml:space="preserve">1435 S San Jacinto Ave</t>
  </si>
  <si>
    <t xml:space="preserve">San Jacincto</t>
  </si>
  <si>
    <t xml:space="preserve">92583</t>
  </si>
  <si>
    <t xml:space="preserve">C51704</t>
  </si>
  <si>
    <t xml:space="preserve">658005</t>
  </si>
  <si>
    <t xml:space="preserve">499010</t>
  </si>
  <si>
    <t xml:space="preserve">213756</t>
  </si>
  <si>
    <t xml:space="preserve">Mobile Fix Pro</t>
  </si>
  <si>
    <t xml:space="preserve">Rezwanul Rezvi</t>
  </si>
  <si>
    <t xml:space="preserve">(937) 416-7782</t>
  </si>
  <si>
    <t xml:space="preserve">m.techprousa@gmail.com</t>
  </si>
  <si>
    <t xml:space="preserve">1046 S Smithville Rd</t>
  </si>
  <si>
    <t xml:space="preserve">Dayton</t>
  </si>
  <si>
    <t xml:space="preserve">45403</t>
  </si>
  <si>
    <t xml:space="preserve">C51674</t>
  </si>
  <si>
    <t xml:space="preserve">657944</t>
  </si>
  <si>
    <t xml:space="preserve">498949</t>
  </si>
  <si>
    <t xml:space="preserve">213731</t>
  </si>
  <si>
    <t xml:space="preserve">Alfa Prime Investments LLC</t>
  </si>
  <si>
    <t xml:space="preserve">Michael Abad</t>
  </si>
  <si>
    <t xml:space="preserve">(702) 217-9560</t>
  </si>
  <si>
    <t xml:space="preserve">hitvegas@gmail.com</t>
  </si>
  <si>
    <t xml:space="preserve">1155 E Twain</t>
  </si>
  <si>
    <t xml:space="preserve">89169</t>
  </si>
  <si>
    <t xml:space="preserve">C51655</t>
  </si>
  <si>
    <t xml:space="preserve">657650</t>
  </si>
  <si>
    <t xml:space="preserve">498684</t>
  </si>
  <si>
    <t xml:space="preserve">213612</t>
  </si>
  <si>
    <t xml:space="preserve">Wireless 4 U / Hip Hop Trendz</t>
  </si>
  <si>
    <t xml:space="preserve">Isaac Lopez</t>
  </si>
  <si>
    <t xml:space="preserve">(432) 208-9215</t>
  </si>
  <si>
    <t xml:space="preserve">wireless4u432@hotmail.com</t>
  </si>
  <si>
    <t xml:space="preserve">601 E Murphy St</t>
  </si>
  <si>
    <t xml:space="preserve">Odessa</t>
  </si>
  <si>
    <t xml:space="preserve">79761</t>
  </si>
  <si>
    <t xml:space="preserve">C51611</t>
  </si>
  <si>
    <t xml:space="preserve">657257</t>
  </si>
  <si>
    <t xml:space="preserve">498290</t>
  </si>
  <si>
    <t xml:space="preserve">213512</t>
  </si>
  <si>
    <t xml:space="preserve">Computers Y Mas Inc</t>
  </si>
  <si>
    <t xml:space="preserve">Alfredo Barraza</t>
  </si>
  <si>
    <t xml:space="preserve">(305) 825-4499</t>
  </si>
  <si>
    <t xml:space="preserve">computersymas@hotmail.com</t>
  </si>
  <si>
    <t xml:space="preserve">3185 W 76th St</t>
  </si>
  <si>
    <t xml:space="preserve">#5</t>
  </si>
  <si>
    <t xml:space="preserve">Hialeah</t>
  </si>
  <si>
    <t xml:space="preserve">33018</t>
  </si>
  <si>
    <t xml:space="preserve">C51577</t>
  </si>
  <si>
    <t xml:space="preserve">657103</t>
  </si>
  <si>
    <t xml:space="preserve">498138</t>
  </si>
  <si>
    <t xml:space="preserve">213475</t>
  </si>
  <si>
    <t xml:space="preserve">ESCONDIDO PHONE REPAIR L.L.C.</t>
  </si>
  <si>
    <t xml:space="preserve">Frankie Alejandro Ramirez</t>
  </si>
  <si>
    <t xml:space="preserve">(760) 566-2343</t>
  </si>
  <si>
    <t xml:space="preserve">escondidophonerepair@gmail.com</t>
  </si>
  <si>
    <t xml:space="preserve">312 E 2nd Ave</t>
  </si>
  <si>
    <t xml:space="preserve">Escondido</t>
  </si>
  <si>
    <t xml:space="preserve">92025</t>
  </si>
  <si>
    <t xml:space="preserve">C51567</t>
  </si>
  <si>
    <t xml:space="preserve">655600</t>
  </si>
  <si>
    <t xml:space="preserve">496730</t>
  </si>
  <si>
    <t xml:space="preserve">213361</t>
  </si>
  <si>
    <t xml:space="preserve">N &amp; S INC</t>
  </si>
  <si>
    <t xml:space="preserve">SINH QUY NGUYEN</t>
  </si>
  <si>
    <t xml:space="preserve">(817) 275-3333</t>
  </si>
  <si>
    <t xml:space="preserve">stevien05@gmail.com</t>
  </si>
  <si>
    <t xml:space="preserve">2206 S Collins St</t>
  </si>
  <si>
    <t xml:space="preserve">76010</t>
  </si>
  <si>
    <t xml:space="preserve">C51538</t>
  </si>
  <si>
    <t xml:space="preserve">654742</t>
  </si>
  <si>
    <t xml:space="preserve">495894</t>
  </si>
  <si>
    <t xml:space="preserve">213045</t>
  </si>
  <si>
    <t xml:space="preserve">TALKING WIRELESS INCORPORATED</t>
  </si>
  <si>
    <t xml:space="preserve">ANTONIO ROBERTSON</t>
  </si>
  <si>
    <t xml:space="preserve">(773) 823-9040</t>
  </si>
  <si>
    <t xml:space="preserve">talkingwirelessinc@gmail.com</t>
  </si>
  <si>
    <t xml:space="preserve">3701 W Cermak Rd</t>
  </si>
  <si>
    <t xml:space="preserve">60623</t>
  </si>
  <si>
    <t xml:space="preserve">C51461</t>
  </si>
  <si>
    <t xml:space="preserve">652943</t>
  </si>
  <si>
    <t xml:space="preserve">494092</t>
  </si>
  <si>
    <t xml:space="preserve">212943</t>
  </si>
  <si>
    <t xml:space="preserve">Telcel Wireless LLC</t>
  </si>
  <si>
    <t xml:space="preserve">MOHAMMAD ABDALLAH</t>
  </si>
  <si>
    <t xml:space="preserve">(214) 299-9300</t>
  </si>
  <si>
    <t xml:space="preserve">Mgr.telcel@gmail.com</t>
  </si>
  <si>
    <t xml:space="preserve">4750 N Jupiter Rd</t>
  </si>
  <si>
    <t xml:space="preserve">Ste 122</t>
  </si>
  <si>
    <t xml:space="preserve">75044</t>
  </si>
  <si>
    <t xml:space="preserve">C51418</t>
  </si>
  <si>
    <t xml:space="preserve">651782</t>
  </si>
  <si>
    <t xml:space="preserve">493029</t>
  </si>
  <si>
    <t xml:space="preserve">212676</t>
  </si>
  <si>
    <t xml:space="preserve">EXPRESS WIRELESS</t>
  </si>
  <si>
    <t xml:space="preserve">DOUGLAS SCOTT BREEDLOVE</t>
  </si>
  <si>
    <t xml:space="preserve">(704) 824-2337</t>
  </si>
  <si>
    <t xml:space="preserve">sbreedlo@bellsouth.net</t>
  </si>
  <si>
    <t xml:space="preserve">4037 E FRANKLIN BLVD</t>
  </si>
  <si>
    <t xml:space="preserve">GASTONIA</t>
  </si>
  <si>
    <t xml:space="preserve">28056</t>
  </si>
  <si>
    <t xml:space="preserve">C51356</t>
  </si>
  <si>
    <t xml:space="preserve">651270</t>
  </si>
  <si>
    <t xml:space="preserve">492528</t>
  </si>
  <si>
    <t xml:space="preserve">212663</t>
  </si>
  <si>
    <t xml:space="preserve">Tasmina Bibi</t>
  </si>
  <si>
    <t xml:space="preserve">5730 Buford Hwy</t>
  </si>
  <si>
    <t xml:space="preserve">Ste J</t>
  </si>
  <si>
    <t xml:space="preserve">Norcross</t>
  </si>
  <si>
    <t xml:space="preserve">30071</t>
  </si>
  <si>
    <t xml:space="preserve">650821</t>
  </si>
  <si>
    <t xml:space="preserve">492071</t>
  </si>
  <si>
    <t xml:space="preserve">212472</t>
  </si>
  <si>
    <t xml:space="preserve">SNS Wireless &amp; Accessories LLC</t>
  </si>
  <si>
    <t xml:space="preserve">(571) 576-4104</t>
  </si>
  <si>
    <t xml:space="preserve">cellaxmanassas@gmail.com</t>
  </si>
  <si>
    <t xml:space="preserve">8300 SUDLEY RD</t>
  </si>
  <si>
    <t xml:space="preserve">Kiosk 13</t>
  </si>
  <si>
    <t xml:space="preserve">MANASSAS</t>
  </si>
  <si>
    <t xml:space="preserve">20109</t>
  </si>
  <si>
    <t xml:space="preserve">C51275</t>
  </si>
  <si>
    <t xml:space="preserve">650768</t>
  </si>
  <si>
    <t xml:space="preserve">492018</t>
  </si>
  <si>
    <t xml:space="preserve">212469</t>
  </si>
  <si>
    <t xml:space="preserve">Abbas Ellahi</t>
  </si>
  <si>
    <t xml:space="preserve">(929) 275-3930</t>
  </si>
  <si>
    <t xml:space="preserve">new.age.wireless@live.com</t>
  </si>
  <si>
    <t xml:space="preserve">1958 Flatbush Ave</t>
  </si>
  <si>
    <t xml:space="preserve">11234</t>
  </si>
  <si>
    <t xml:space="preserve">C51222</t>
  </si>
  <si>
    <t xml:space="preserve">650722</t>
  </si>
  <si>
    <t xml:space="preserve">491970</t>
  </si>
  <si>
    <t xml:space="preserve">212373</t>
  </si>
  <si>
    <t xml:space="preserve">Mobile City Tech LLC</t>
  </si>
  <si>
    <t xml:space="preserve">Tommy Lam</t>
  </si>
  <si>
    <t xml:space="preserve">(571) 606-6666</t>
  </si>
  <si>
    <t xml:space="preserve">mobilecitytechllc@gmail.com</t>
  </si>
  <si>
    <t xml:space="preserve">11264 James Swart Cir</t>
  </si>
  <si>
    <t xml:space="preserve">G</t>
  </si>
  <si>
    <t xml:space="preserve">Fairfax</t>
  </si>
  <si>
    <t xml:space="preserve">22030</t>
  </si>
  <si>
    <t xml:space="preserve">C51217</t>
  </si>
  <si>
    <t xml:space="preserve">650607</t>
  </si>
  <si>
    <t xml:space="preserve">491854</t>
  </si>
  <si>
    <t xml:space="preserve">212338</t>
  </si>
  <si>
    <t xml:space="preserve">Rubio's Cell Phones # 3</t>
  </si>
  <si>
    <t xml:space="preserve">Hector Rubio</t>
  </si>
  <si>
    <t xml:space="preserve">(713) 360-7830</t>
  </si>
  <si>
    <t xml:space="preserve">hectorrubio39@yahoo.com</t>
  </si>
  <si>
    <t xml:space="preserve">7649 CLAREWOOD DR</t>
  </si>
  <si>
    <t xml:space="preserve">HOUSTON</t>
  </si>
  <si>
    <t xml:space="preserve">C51339</t>
  </si>
  <si>
    <t xml:space="preserve">646737</t>
  </si>
  <si>
    <t xml:space="preserve">488074</t>
  </si>
  <si>
    <t xml:space="preserve">211588</t>
  </si>
  <si>
    <t xml:space="preserve">Cellular Wear 2.0 CO</t>
  </si>
  <si>
    <t xml:space="preserve">Nabeel Iqbal</t>
  </si>
  <si>
    <t xml:space="preserve">(713) 266-3400</t>
  </si>
  <si>
    <t xml:space="preserve">cellularwear2.0@gmail.com</t>
  </si>
  <si>
    <t xml:space="preserve">5959 Hillcroft St</t>
  </si>
  <si>
    <t xml:space="preserve">C51034</t>
  </si>
  <si>
    <t xml:space="preserve">646519</t>
  </si>
  <si>
    <t xml:space="preserve">487868</t>
  </si>
  <si>
    <t xml:space="preserve">211490</t>
  </si>
  <si>
    <t xml:space="preserve">Dynamic Clinton Inc</t>
  </si>
  <si>
    <t xml:space="preserve">Amer Hussein</t>
  </si>
  <si>
    <t xml:space="preserve">(225) 200-8058</t>
  </si>
  <si>
    <t xml:space="preserve">dwirelessla@gmail.com</t>
  </si>
  <si>
    <t xml:space="preserve">9709 Plank Rd</t>
  </si>
  <si>
    <t xml:space="preserve">Clinton</t>
  </si>
  <si>
    <t xml:space="preserve">70722</t>
  </si>
  <si>
    <t xml:space="preserve">C51000</t>
  </si>
  <si>
    <t xml:space="preserve">644973</t>
  </si>
  <si>
    <t xml:space="preserve">486370</t>
  </si>
  <si>
    <t xml:space="preserve">211130</t>
  </si>
  <si>
    <t xml:space="preserve">Tropical Wireless LLC</t>
  </si>
  <si>
    <t xml:space="preserve">Joshua Hirsch</t>
  </si>
  <si>
    <t xml:space="preserve">(808) 214-5140</t>
  </si>
  <si>
    <t xml:space="preserve">Tropicalwirelesshawaii@gmail.com</t>
  </si>
  <si>
    <t xml:space="preserve">1279 S Kihei Rd</t>
  </si>
  <si>
    <t xml:space="preserve">202</t>
  </si>
  <si>
    <t xml:space="preserve">Kihei</t>
  </si>
  <si>
    <t xml:space="preserve">96753</t>
  </si>
  <si>
    <t xml:space="preserve">C50956</t>
  </si>
  <si>
    <t xml:space="preserve">643555</t>
  </si>
  <si>
    <t xml:space="preserve">485090</t>
  </si>
  <si>
    <t xml:space="preserve">210834</t>
  </si>
  <si>
    <t xml:space="preserve">Ditectv-Satelite Latino</t>
  </si>
  <si>
    <t xml:space="preserve">Rene Solis</t>
  </si>
  <si>
    <t xml:space="preserve">(805) 264-9009</t>
  </si>
  <si>
    <t xml:space="preserve">ditectv@gmail.com</t>
  </si>
  <si>
    <t xml:space="preserve">233 Town Center</t>
  </si>
  <si>
    <t xml:space="preserve">E</t>
  </si>
  <si>
    <t xml:space="preserve">Santa Maria</t>
  </si>
  <si>
    <t xml:space="preserve">93458</t>
  </si>
  <si>
    <t xml:space="preserve">C50908</t>
  </si>
  <si>
    <t xml:space="preserve">644091</t>
  </si>
  <si>
    <t xml:space="preserve">485548</t>
  </si>
  <si>
    <t xml:space="preserve">209634</t>
  </si>
  <si>
    <t xml:space="preserve">AZ Partners LLC</t>
  </si>
  <si>
    <t xml:space="preserve">Hasan Mehedy</t>
  </si>
  <si>
    <t xml:space="preserve">(404) 587-7460</t>
  </si>
  <si>
    <t xml:space="preserve">mehedy135@gmail.com</t>
  </si>
  <si>
    <t xml:space="preserve">2880 Simpson Cir</t>
  </si>
  <si>
    <t xml:space="preserve">Ste 102</t>
  </si>
  <si>
    <t xml:space="preserve">C50842</t>
  </si>
  <si>
    <t xml:space="preserve">633695</t>
  </si>
  <si>
    <t xml:space="preserve">480194</t>
  </si>
  <si>
    <t xml:space="preserve">208685</t>
  </si>
  <si>
    <t xml:space="preserve">TK Phone Repair</t>
  </si>
  <si>
    <t xml:space="preserve">Tilip Kim</t>
  </si>
  <si>
    <t xml:space="preserve">(562) 513-3414</t>
  </si>
  <si>
    <t xml:space="preserve">tilipkim@yahoo.com</t>
  </si>
  <si>
    <t xml:space="preserve">1259 East Anaheim St</t>
  </si>
  <si>
    <t xml:space="preserve">C50766</t>
  </si>
  <si>
    <t xml:space="preserve">633427</t>
  </si>
  <si>
    <t xml:space="preserve">479937</t>
  </si>
  <si>
    <t xml:space="preserve">208621</t>
  </si>
  <si>
    <t xml:space="preserve">Cyber Electronics</t>
  </si>
  <si>
    <t xml:space="preserve">Alberto Almaguer</t>
  </si>
  <si>
    <t xml:space="preserve">(682) 220-0111</t>
  </si>
  <si>
    <t xml:space="preserve">cyber.electronicz@gmail.com</t>
  </si>
  <si>
    <t xml:space="preserve">507 N Highway 77</t>
  </si>
  <si>
    <t xml:space="preserve">Ste 200</t>
  </si>
  <si>
    <t xml:space="preserve">Waxahachie</t>
  </si>
  <si>
    <t xml:space="preserve">75165</t>
  </si>
  <si>
    <t xml:space="preserve">C50720</t>
  </si>
  <si>
    <t xml:space="preserve">633326</t>
  </si>
  <si>
    <t xml:space="preserve">479836</t>
  </si>
  <si>
    <t xml:space="preserve">208538</t>
  </si>
  <si>
    <t xml:space="preserve">Avanishree Corporation</t>
  </si>
  <si>
    <t xml:space="preserve">Prashant Gajera</t>
  </si>
  <si>
    <t xml:space="preserve">(214) 391-7505</t>
  </si>
  <si>
    <t xml:space="preserve">kfsdallas@gmail.com</t>
  </si>
  <si>
    <t xml:space="preserve">8502 Lake June Rd</t>
  </si>
  <si>
    <t xml:space="preserve">75217</t>
  </si>
  <si>
    <t xml:space="preserve">C50728</t>
  </si>
  <si>
    <t xml:space="preserve">644118</t>
  </si>
  <si>
    <t xml:space="preserve">485574</t>
  </si>
  <si>
    <t xml:space="preserve">208383</t>
  </si>
  <si>
    <t xml:space="preserve">Kay Link Corp</t>
  </si>
  <si>
    <t xml:space="preserve">Amin Roshan Ali</t>
  </si>
  <si>
    <t xml:space="preserve">(301) 273-3824</t>
  </si>
  <si>
    <t xml:space="preserve">aminali727@yahoo.com</t>
  </si>
  <si>
    <t xml:space="preserve">11213-A New Hampshire Ave</t>
  </si>
  <si>
    <t xml:space="preserve">20904</t>
  </si>
  <si>
    <t xml:space="preserve">C50147</t>
  </si>
  <si>
    <t xml:space="preserve">633165</t>
  </si>
  <si>
    <t xml:space="preserve">479675</t>
  </si>
  <si>
    <t xml:space="preserve">208373</t>
  </si>
  <si>
    <t xml:space="preserve">FARV LLC</t>
  </si>
  <si>
    <t xml:space="preserve">Carmen Nunez</t>
  </si>
  <si>
    <t xml:space="preserve">(631) 474-3231 Fervio</t>
  </si>
  <si>
    <t xml:space="preserve">ferviorodriguez@hotmail.com</t>
  </si>
  <si>
    <t xml:space="preserve">12 Chereb Ln</t>
  </si>
  <si>
    <t xml:space="preserve">Port Jefferson Station</t>
  </si>
  <si>
    <t xml:space="preserve">11776</t>
  </si>
  <si>
    <t xml:space="preserve">C50701</t>
  </si>
  <si>
    <t xml:space="preserve">610506</t>
  </si>
  <si>
    <t xml:space="preserve">460005</t>
  </si>
  <si>
    <t xml:space="preserve">207294</t>
  </si>
  <si>
    <t xml:space="preserve">M&amp;P Torres Inc</t>
  </si>
  <si>
    <t xml:space="preserve">Martin Torres Flores</t>
  </si>
  <si>
    <t xml:space="preserve">(661) 526-6611</t>
  </si>
  <si>
    <t xml:space="preserve">martintorresflores@msn.com</t>
  </si>
  <si>
    <t xml:space="preserve">8743 E Palmdale Blvd</t>
  </si>
  <si>
    <t xml:space="preserve">Ste #B</t>
  </si>
  <si>
    <t xml:space="preserve">Palmdale</t>
  </si>
  <si>
    <t xml:space="preserve">93552</t>
  </si>
  <si>
    <t xml:space="preserve">C15563</t>
  </si>
  <si>
    <t xml:space="preserve">631595</t>
  </si>
  <si>
    <t xml:space="preserve">478087</t>
  </si>
  <si>
    <t xml:space="preserve">207253</t>
  </si>
  <si>
    <t xml:space="preserve">Carte Blanche Communications LLC</t>
  </si>
  <si>
    <t xml:space="preserve">Lisa Anne Watson</t>
  </si>
  <si>
    <t xml:space="preserve">(443) 863-9738</t>
  </si>
  <si>
    <t xml:space="preserve">orders@mobilelizard.com</t>
  </si>
  <si>
    <t xml:space="preserve">2621 Eastern Ave</t>
  </si>
  <si>
    <t xml:space="preserve">21224</t>
  </si>
  <si>
    <t xml:space="preserve">C50623</t>
  </si>
  <si>
    <t xml:space="preserve">631603</t>
  </si>
  <si>
    <t xml:space="preserve">478095</t>
  </si>
  <si>
    <t xml:space="preserve">207020</t>
  </si>
  <si>
    <t xml:space="preserve">GzUp Connection 2 LLC</t>
  </si>
  <si>
    <t xml:space="preserve">Jeremiah Hyppolite</t>
  </si>
  <si>
    <t xml:space="preserve">(951) 357-2144</t>
  </si>
  <si>
    <t xml:space="preserve">JHyppolite16@gmail.com</t>
  </si>
  <si>
    <t xml:space="preserve">301 E Florida Ave</t>
  </si>
  <si>
    <t xml:space="preserve">Hemet</t>
  </si>
  <si>
    <t xml:space="preserve">92543</t>
  </si>
  <si>
    <t xml:space="preserve">C50626</t>
  </si>
  <si>
    <t xml:space="preserve">626708</t>
  </si>
  <si>
    <t xml:space="preserve">475162</t>
  </si>
  <si>
    <t xml:space="preserve">204673</t>
  </si>
  <si>
    <t xml:space="preserve">Fond-Rose Wireless Repair Tech Inc</t>
  </si>
  <si>
    <t xml:space="preserve">Caminito Fond-Rose</t>
  </si>
  <si>
    <t xml:space="preserve">(305) 842-7546</t>
  </si>
  <si>
    <t xml:space="preserve">Fondrose@gmail.com</t>
  </si>
  <si>
    <t xml:space="preserve">13744 NW 7th Ave</t>
  </si>
  <si>
    <t xml:space="preserve">Miami</t>
  </si>
  <si>
    <t xml:space="preserve">33168</t>
  </si>
  <si>
    <t xml:space="preserve">C50469</t>
  </si>
  <si>
    <t xml:space="preserve">624334</t>
  </si>
  <si>
    <t xml:space="preserve">473585</t>
  </si>
  <si>
    <t xml:space="preserve">203872</t>
  </si>
  <si>
    <t xml:space="preserve">Joytalk Wireless Inc</t>
  </si>
  <si>
    <t xml:space="preserve">David Park</t>
  </si>
  <si>
    <t xml:space="preserve">(770) 622-2188</t>
  </si>
  <si>
    <t xml:space="preserve">futurecom04@hotmail.com</t>
  </si>
  <si>
    <t xml:space="preserve">3365 Steve Reynolds Blvd</t>
  </si>
  <si>
    <t xml:space="preserve">102</t>
  </si>
  <si>
    <t xml:space="preserve">C17797</t>
  </si>
  <si>
    <t xml:space="preserve">607593</t>
  </si>
  <si>
    <t xml:space="preserve">457174</t>
  </si>
  <si>
    <t xml:space="preserve">201834</t>
  </si>
  <si>
    <t xml:space="preserve">Haider Yusuf Hermes</t>
  </si>
  <si>
    <t xml:space="preserve">Hadeer Backo</t>
  </si>
  <si>
    <t xml:space="preserve">(619) 820-3080</t>
  </si>
  <si>
    <t xml:space="preserve">freetouch@cox.net</t>
  </si>
  <si>
    <t xml:space="preserve">8781 Cuyamaca St</t>
  </si>
  <si>
    <t xml:space="preserve">Santee</t>
  </si>
  <si>
    <t xml:space="preserve">92071</t>
  </si>
  <si>
    <t xml:space="preserve">C48800</t>
  </si>
  <si>
    <t xml:space="preserve">588265</t>
  </si>
  <si>
    <t xml:space="preserve">437779</t>
  </si>
  <si>
    <t xml:space="preserve">201708</t>
  </si>
  <si>
    <t xml:space="preserve">Right Brands</t>
  </si>
  <si>
    <t xml:space="preserve">Matthew Romney</t>
  </si>
  <si>
    <t xml:space="preserve">(210) 347-5665</t>
  </si>
  <si>
    <t xml:space="preserve">rightbrands2017@gmail.com</t>
  </si>
  <si>
    <t xml:space="preserve">735 SW Military Dr</t>
  </si>
  <si>
    <t xml:space="preserve">78221</t>
  </si>
  <si>
    <t xml:space="preserve">C47366</t>
  </si>
  <si>
    <t xml:space="preserve">610678</t>
  </si>
  <si>
    <t xml:space="preserve">460179</t>
  </si>
  <si>
    <t xml:space="preserve">201278</t>
  </si>
  <si>
    <t xml:space="preserve">KC communications</t>
  </si>
  <si>
    <t xml:space="preserve">Kay Kye Chang</t>
  </si>
  <si>
    <t xml:space="preserve">(310) 635-0727</t>
  </si>
  <si>
    <t xml:space="preserve">kccomm11@yahoo.com</t>
  </si>
  <si>
    <t xml:space="preserve">3831 Martin Luther King Jr Blvd</t>
  </si>
  <si>
    <t xml:space="preserve">C4131</t>
  </si>
  <si>
    <t xml:space="preserve">595022</t>
  </si>
  <si>
    <t xml:space="preserve">443624</t>
  </si>
  <si>
    <t xml:space="preserve">200879</t>
  </si>
  <si>
    <t xml:space="preserve">Mobiles Unlimited</t>
  </si>
  <si>
    <t xml:space="preserve">Elizabeth Villaloro</t>
  </si>
  <si>
    <t xml:space="preserve">(323) 262-7777</t>
  </si>
  <si>
    <t xml:space="preserve">mobilesunlimited1@gmail.com</t>
  </si>
  <si>
    <t xml:space="preserve">2107 E Cesar E Chavez Ave</t>
  </si>
  <si>
    <t xml:space="preserve">C47549</t>
  </si>
  <si>
    <t xml:space="preserve">604948</t>
  </si>
  <si>
    <t xml:space="preserve">454763</t>
  </si>
  <si>
    <t xml:space="preserve">200749</t>
  </si>
  <si>
    <t xml:space="preserve">Unlimited Sk Wireless</t>
  </si>
  <si>
    <t xml:space="preserve">John Kim</t>
  </si>
  <si>
    <t xml:space="preserve">(310) 327-1341</t>
  </si>
  <si>
    <t xml:space="preserve">skwireless511@hotmail.com</t>
  </si>
  <si>
    <t xml:space="preserve">17901 S Vermont Ave</t>
  </si>
  <si>
    <t xml:space="preserve">Gardena</t>
  </si>
  <si>
    <t xml:space="preserve">90248</t>
  </si>
  <si>
    <t xml:space="preserve">C48649</t>
  </si>
  <si>
    <t xml:space="preserve">101583</t>
  </si>
  <si>
    <t xml:space="preserve">103042</t>
  </si>
  <si>
    <t xml:space="preserve">200385</t>
  </si>
  <si>
    <t xml:space="preserve">Best Page &amp; Cellular</t>
  </si>
  <si>
    <t xml:space="preserve">Sam Sethi</t>
  </si>
  <si>
    <t xml:space="preserve">(713) 771-6111</t>
  </si>
  <si>
    <t xml:space="preserve">asliny@aol.com</t>
  </si>
  <si>
    <t xml:space="preserve">10341 Club Creek Dr</t>
  </si>
  <si>
    <t xml:space="preserve">C2361</t>
  </si>
  <si>
    <t xml:space="preserve">604876</t>
  </si>
  <si>
    <t xml:space="preserve">454691</t>
  </si>
  <si>
    <t xml:space="preserve">200076</t>
  </si>
  <si>
    <t xml:space="preserve">Golden Moon</t>
  </si>
  <si>
    <t xml:space="preserve">Ken Chung</t>
  </si>
  <si>
    <t xml:space="preserve">(562) 591-9209</t>
  </si>
  <si>
    <t xml:space="preserve">kenwireless8@yahoo.com</t>
  </si>
  <si>
    <t xml:space="preserve">1617 E Anaheim St</t>
  </si>
  <si>
    <t xml:space="preserve">C48689</t>
  </si>
  <si>
    <t xml:space="preserve">658118</t>
  </si>
  <si>
    <t xml:space="preserve">499121</t>
  </si>
  <si>
    <t xml:space="preserve">213779</t>
  </si>
  <si>
    <t xml:space="preserve">Wireless World Repairs &amp; Services Inc</t>
  </si>
  <si>
    <t xml:space="preserve">Jose Navarro</t>
  </si>
  <si>
    <t xml:space="preserve">(774) 420-4388</t>
  </si>
  <si>
    <t xml:space="preserve">wirelessworld508tech@gmail.com</t>
  </si>
  <si>
    <t xml:space="preserve">757 Grafton St</t>
  </si>
  <si>
    <t xml:space="preserve">Worcester</t>
  </si>
  <si>
    <t xml:space="preserve">1604</t>
  </si>
  <si>
    <t xml:space="preserve">C51690</t>
  </si>
  <si>
    <t xml:space="preserve">652625</t>
  </si>
  <si>
    <t xml:space="preserve">493784</t>
  </si>
  <si>
    <t xml:space="preserve">212793</t>
  </si>
  <si>
    <t xml:space="preserve">Electroworld DC</t>
  </si>
  <si>
    <t xml:space="preserve">Bailey Nevaldo</t>
  </si>
  <si>
    <t xml:space="preserve">(202) 544-9777</t>
  </si>
  <si>
    <t xml:space="preserve">820 H St NE</t>
  </si>
  <si>
    <t xml:space="preserve">B</t>
  </si>
  <si>
    <t xml:space="preserve">Washington</t>
  </si>
  <si>
    <t xml:space="preserve">DC</t>
  </si>
  <si>
    <t xml:space="preserve">20002</t>
  </si>
  <si>
    <t xml:space="preserve">C4691</t>
  </si>
  <si>
    <t xml:space="preserve">651769</t>
  </si>
  <si>
    <t xml:space="preserve">493017</t>
  </si>
  <si>
    <t xml:space="preserve">212671</t>
  </si>
  <si>
    <t xml:space="preserve">Green Mobile LLC</t>
  </si>
  <si>
    <t xml:space="preserve">Flor Liliana Hernandez</t>
  </si>
  <si>
    <t xml:space="preserve">(804) 309-8020</t>
  </si>
  <si>
    <t xml:space="preserve">greenmobileusa@gmail.com</t>
  </si>
  <si>
    <t xml:space="preserve">6502 Jefferson Davis Hwy</t>
  </si>
  <si>
    <t xml:space="preserve">North Chesterfield</t>
  </si>
  <si>
    <t xml:space="preserve">23237</t>
  </si>
  <si>
    <t xml:space="preserve">C51353</t>
  </si>
  <si>
    <t xml:space="preserve">650781</t>
  </si>
  <si>
    <t xml:space="preserve">492031</t>
  </si>
  <si>
    <t xml:space="preserve">212452</t>
  </si>
  <si>
    <t xml:space="preserve">Empire Wireless Group LLC</t>
  </si>
  <si>
    <t xml:space="preserve">Gang Chen</t>
  </si>
  <si>
    <t xml:space="preserve">(718) 762-8866</t>
  </si>
  <si>
    <t xml:space="preserve">SKYVIEWMETRO@GMAIL.COM</t>
  </si>
  <si>
    <t xml:space="preserve">4024 College Point Blvd</t>
  </si>
  <si>
    <t xml:space="preserve">K2-A</t>
  </si>
  <si>
    <t xml:space="preserve">C51235</t>
  </si>
  <si>
    <t xml:space="preserve">634221</t>
  </si>
  <si>
    <t xml:space="preserve">480713</t>
  </si>
  <si>
    <t xml:space="preserve">209038</t>
  </si>
  <si>
    <t xml:space="preserve">MJ Gift Shop LLC</t>
  </si>
  <si>
    <t xml:space="preserve">Mohammad Zaman</t>
  </si>
  <si>
    <t xml:space="preserve">(609) 328-0774</t>
  </si>
  <si>
    <t xml:space="preserve">mzaman1978@outlook.com</t>
  </si>
  <si>
    <t xml:space="preserve">4018 Ventnor Ave</t>
  </si>
  <si>
    <t xml:space="preserve">C50804</t>
  </si>
  <si>
    <t xml:space="preserve">631716</t>
  </si>
  <si>
    <t xml:space="preserve">478211</t>
  </si>
  <si>
    <t xml:space="preserve">207368</t>
  </si>
  <si>
    <t xml:space="preserve">BO PRINTING</t>
  </si>
  <si>
    <t xml:space="preserve">Biviano Oxlaj</t>
  </si>
  <si>
    <t xml:space="preserve">(213) 483-8942</t>
  </si>
  <si>
    <t xml:space="preserve">boprinting323@gmail.com</t>
  </si>
  <si>
    <t xml:space="preserve">1816 W 6th St</t>
  </si>
  <si>
    <t xml:space="preserve">#c-5</t>
  </si>
  <si>
    <t xml:space="preserve">90057</t>
  </si>
  <si>
    <t xml:space="preserve">C50645</t>
  </si>
  <si>
    <t xml:space="preserve">625418</t>
  </si>
  <si>
    <t xml:space="preserve">474384</t>
  </si>
  <si>
    <t xml:space="preserve">203345</t>
  </si>
  <si>
    <t xml:space="preserve">Robin S Goodman &amp; Carlos Moreno</t>
  </si>
  <si>
    <t xml:space="preserve">Carlos Moreno</t>
  </si>
  <si>
    <t xml:space="preserve">(972) 798-7798</t>
  </si>
  <si>
    <t xml:space="preserve">wirelessdoctor62@gmail.com</t>
  </si>
  <si>
    <t xml:space="preserve">1108 N Josey Ln</t>
  </si>
  <si>
    <t xml:space="preserve">C50421</t>
  </si>
  <si>
    <t xml:space="preserve">567206</t>
  </si>
  <si>
    <t xml:space="preserve">420737</t>
  </si>
  <si>
    <t xml:space="preserve">201573</t>
  </si>
  <si>
    <t xml:space="preserve">New Wireless &amp; Gifts</t>
  </si>
  <si>
    <t xml:space="preserve">Abdul Aziz</t>
  </si>
  <si>
    <t xml:space="preserve">(346) 571-7945</t>
  </si>
  <si>
    <t xml:space="preserve">Newwirelessngifts@gmail.com</t>
  </si>
  <si>
    <t xml:space="preserve">6010 W Tidwell Rd</t>
  </si>
  <si>
    <t xml:space="preserve">77092</t>
  </si>
  <si>
    <t xml:space="preserve">C46371</t>
  </si>
  <si>
    <t xml:space="preserve">122232</t>
  </si>
  <si>
    <t xml:space="preserve">135924</t>
  </si>
  <si>
    <t xml:space="preserve">201463</t>
  </si>
  <si>
    <t xml:space="preserve">Vargas Wireless</t>
  </si>
  <si>
    <t xml:space="preserve">Jorge Vargas</t>
  </si>
  <si>
    <t xml:space="preserve">(972) 563-8700</t>
  </si>
  <si>
    <t xml:space="preserve">vargaswireless@sbcglobal.net</t>
  </si>
  <si>
    <t xml:space="preserve">501 W Moore Ave</t>
  </si>
  <si>
    <t xml:space="preserve">Terrell</t>
  </si>
  <si>
    <t xml:space="preserve">75160</t>
  </si>
  <si>
    <t xml:space="preserve">C3153</t>
  </si>
  <si>
    <t xml:space="preserve">127076</t>
  </si>
  <si>
    <t xml:space="preserve">141172</t>
  </si>
  <si>
    <t xml:space="preserve">200550</t>
  </si>
  <si>
    <t xml:space="preserve">North Atlanta Communications Inc</t>
  </si>
  <si>
    <t xml:space="preserve">Eduard Gurgov</t>
  </si>
  <si>
    <t xml:space="preserve">(678) 924-9610</t>
  </si>
  <si>
    <t xml:space="preserve">nac.wireless@gmail.com</t>
  </si>
  <si>
    <t xml:space="preserve">1300 Indian Trail Lilburn Rd NW</t>
  </si>
  <si>
    <t xml:space="preserve">#103</t>
  </si>
  <si>
    <t xml:space="preserve">30093</t>
  </si>
  <si>
    <t xml:space="preserve">C13123</t>
  </si>
  <si>
    <t xml:space="preserve">661081</t>
  </si>
  <si>
    <t xml:space="preserve">502097</t>
  </si>
  <si>
    <t xml:space="preserve">214415</t>
  </si>
  <si>
    <t xml:space="preserve">Itech Repairs</t>
  </si>
  <si>
    <t xml:space="preserve">Joao Lucas Santana</t>
  </si>
  <si>
    <t xml:space="preserve">(914) 813-8188</t>
  </si>
  <si>
    <t xml:space="preserve">iteckrepairs@gmail.com</t>
  </si>
  <si>
    <t xml:space="preserve">522 Main St</t>
  </si>
  <si>
    <t xml:space="preserve">C53717</t>
  </si>
  <si>
    <t xml:space="preserve">660740</t>
  </si>
  <si>
    <t xml:space="preserve">501753</t>
  </si>
  <si>
    <t xml:space="preserve">214380</t>
  </si>
  <si>
    <t xml:space="preserve">Ramirez computer</t>
  </si>
  <si>
    <t xml:space="preserve">Francisco Ramirez</t>
  </si>
  <si>
    <t xml:space="preserve">(951) 552-7453</t>
  </si>
  <si>
    <t xml:space="preserve">ramirez.1158@hotmail.com</t>
  </si>
  <si>
    <t xml:space="preserve">2507 W 1st St</t>
  </si>
  <si>
    <t xml:space="preserve">Santa Ana</t>
  </si>
  <si>
    <t xml:space="preserve">92703</t>
  </si>
  <si>
    <t xml:space="preserve">C53697</t>
  </si>
  <si>
    <t xml:space="preserve">660107</t>
  </si>
  <si>
    <t xml:space="preserve">501115</t>
  </si>
  <si>
    <t xml:space="preserve">214222</t>
  </si>
  <si>
    <t xml:space="preserve">FIXIT</t>
  </si>
  <si>
    <t xml:space="preserve">Aimen Arrak</t>
  </si>
  <si>
    <t xml:space="preserve">(215) 939-7533</t>
  </si>
  <si>
    <t xml:space="preserve">citywireless_two@hotmail.com</t>
  </si>
  <si>
    <t xml:space="preserve">1800 Frankford Ave</t>
  </si>
  <si>
    <t xml:space="preserve">19125</t>
  </si>
  <si>
    <t xml:space="preserve">C53646</t>
  </si>
  <si>
    <t xml:space="preserve">659880</t>
  </si>
  <si>
    <t xml:space="preserve">500886</t>
  </si>
  <si>
    <t xml:space="preserve">214171</t>
  </si>
  <si>
    <t xml:space="preserve">Secor Wireless and More</t>
  </si>
  <si>
    <t xml:space="preserve">Marcos Serrano-Lopez</t>
  </si>
  <si>
    <t xml:space="preserve">(505) 814-3073</t>
  </si>
  <si>
    <t xml:space="preserve">secorwireless@gmail.com</t>
  </si>
  <si>
    <t xml:space="preserve">1720 Bridge Blvd SW</t>
  </si>
  <si>
    <t xml:space="preserve">Albuquerque</t>
  </si>
  <si>
    <t xml:space="preserve">NM</t>
  </si>
  <si>
    <t xml:space="preserve">87105</t>
  </si>
  <si>
    <t xml:space="preserve">C53625</t>
  </si>
  <si>
    <t xml:space="preserve">659552</t>
  </si>
  <si>
    <t xml:space="preserve">500558</t>
  </si>
  <si>
    <t xml:space="preserve">214135</t>
  </si>
  <si>
    <t xml:space="preserve">Vargas Cellular Center LLC</t>
  </si>
  <si>
    <t xml:space="preserve">Luis Miguel Vargas Puello</t>
  </si>
  <si>
    <t xml:space="preserve">(484) 664-8089</t>
  </si>
  <si>
    <t xml:space="preserve">cellularcentervargas@gmail.com</t>
  </si>
  <si>
    <t xml:space="preserve">240 N 9th St</t>
  </si>
  <si>
    <t xml:space="preserve">Reading</t>
  </si>
  <si>
    <t xml:space="preserve">19601</t>
  </si>
  <si>
    <t xml:space="preserve">C51795</t>
  </si>
  <si>
    <t xml:space="preserve">659556</t>
  </si>
  <si>
    <t xml:space="preserve">500562</t>
  </si>
  <si>
    <t xml:space="preserve">214130</t>
  </si>
  <si>
    <t xml:space="preserve">LAWS Business LLC - DBA Luchano Wireless</t>
  </si>
  <si>
    <t xml:space="preserve">Luis E. Perez-Rodriguez</t>
  </si>
  <si>
    <t xml:space="preserve">(215) 284-8650</t>
  </si>
  <si>
    <t xml:space="preserve">luchianowireless@gmail.com</t>
  </si>
  <si>
    <t xml:space="preserve">13 S 60th St</t>
  </si>
  <si>
    <t xml:space="preserve">19139</t>
  </si>
  <si>
    <t xml:space="preserve">C51799</t>
  </si>
  <si>
    <t xml:space="preserve">659427</t>
  </si>
  <si>
    <t xml:space="preserve">500422</t>
  </si>
  <si>
    <t xml:space="preserve">214088</t>
  </si>
  <si>
    <t xml:space="preserve">EZ Shipping Express LLC</t>
  </si>
  <si>
    <t xml:space="preserve">Junaid Baloch</t>
  </si>
  <si>
    <t xml:space="preserve">(972) 243-7044</t>
  </si>
  <si>
    <t xml:space="preserve">eaglepostalexpress@gmail.com</t>
  </si>
  <si>
    <t xml:space="preserve">12895 Josey Ln</t>
  </si>
  <si>
    <t xml:space="preserve">Ste 124</t>
  </si>
  <si>
    <t xml:space="preserve">C51779</t>
  </si>
  <si>
    <t xml:space="preserve">659407</t>
  </si>
  <si>
    <t xml:space="preserve">500402</t>
  </si>
  <si>
    <t xml:space="preserve">214079</t>
  </si>
  <si>
    <t xml:space="preserve">WeFix Mobile</t>
  </si>
  <si>
    <t xml:space="preserve">Elbert Chu</t>
  </si>
  <si>
    <t xml:space="preserve">(626) 460-3810</t>
  </si>
  <si>
    <t xml:space="preserve">wefix626@gmail.com</t>
  </si>
  <si>
    <t xml:space="preserve">18445 Colima Rd</t>
  </si>
  <si>
    <t xml:space="preserve">Rowland Heights</t>
  </si>
  <si>
    <t xml:space="preserve">C51777</t>
  </si>
  <si>
    <t xml:space="preserve">659368</t>
  </si>
  <si>
    <t xml:space="preserve">500363</t>
  </si>
  <si>
    <t xml:space="preserve">214064</t>
  </si>
  <si>
    <t xml:space="preserve">SOS Computers</t>
  </si>
  <si>
    <t xml:space="preserve">Michel Napoles Suarez</t>
  </si>
  <si>
    <t xml:space="preserve">(224) 699-9555</t>
  </si>
  <si>
    <t xml:space="preserve">soscomputers103@gmail.com</t>
  </si>
  <si>
    <t xml:space="preserve">1646 Ravine Ln</t>
  </si>
  <si>
    <t xml:space="preserve">103</t>
  </si>
  <si>
    <t xml:space="preserve">Carpentersville</t>
  </si>
  <si>
    <t xml:space="preserve">60110</t>
  </si>
  <si>
    <t xml:space="preserve">C51771</t>
  </si>
  <si>
    <t xml:space="preserve">658598</t>
  </si>
  <si>
    <t xml:space="preserve">499606</t>
  </si>
  <si>
    <t xml:space="preserve">213900</t>
  </si>
  <si>
    <t xml:space="preserve">JJ Group Inc</t>
  </si>
  <si>
    <t xml:space="preserve">Jiju Mathew</t>
  </si>
  <si>
    <t xml:space="preserve">(215) 381-7777</t>
  </si>
  <si>
    <t xml:space="preserve">Jijumathew23@yahoo.com</t>
  </si>
  <si>
    <t xml:space="preserve">740 Red Lion Rd</t>
  </si>
  <si>
    <t xml:space="preserve">C51730</t>
  </si>
  <si>
    <t xml:space="preserve">658591</t>
  </si>
  <si>
    <t xml:space="preserve">499599</t>
  </si>
  <si>
    <t xml:space="preserve">213882</t>
  </si>
  <si>
    <t xml:space="preserve">Nancy Karina Lopez Insurance</t>
  </si>
  <si>
    <t xml:space="preserve">Nancy Lopez</t>
  </si>
  <si>
    <t xml:space="preserve">(626) 248-7129</t>
  </si>
  <si>
    <t xml:space="preserve">nancyinsuranceservices@gmail.com</t>
  </si>
  <si>
    <t xml:space="preserve">15514 Amar Rd</t>
  </si>
  <si>
    <t xml:space="preserve">La Puente</t>
  </si>
  <si>
    <t xml:space="preserve">91744</t>
  </si>
  <si>
    <t xml:space="preserve">C51729</t>
  </si>
  <si>
    <t xml:space="preserve">658500</t>
  </si>
  <si>
    <t xml:space="preserve">499515</t>
  </si>
  <si>
    <t xml:space="preserve">213879</t>
  </si>
  <si>
    <t xml:space="preserve">Mobile Buzz Wireless LLC</t>
  </si>
  <si>
    <t xml:space="preserve">Belal Hossain</t>
  </si>
  <si>
    <t xml:space="preserve">(347) 864-6810</t>
  </si>
  <si>
    <t xml:space="preserve">mobilebuzz7321@gmail.com</t>
  </si>
  <si>
    <t xml:space="preserve">73-21 37th Rd</t>
  </si>
  <si>
    <t xml:space="preserve">C51720</t>
  </si>
  <si>
    <t xml:space="preserve">658344</t>
  </si>
  <si>
    <t xml:space="preserve">499357</t>
  </si>
  <si>
    <t xml:space="preserve">213841</t>
  </si>
  <si>
    <t xml:space="preserve">Expressway Wireless LLC</t>
  </si>
  <si>
    <t xml:space="preserve">Jaber Shehab</t>
  </si>
  <si>
    <t xml:space="preserve">(504) 436-8881</t>
  </si>
  <si>
    <t xml:space="preserve">expresswaywireless@yahoo.com</t>
  </si>
  <si>
    <t xml:space="preserve">8998 Westbank Expy</t>
  </si>
  <si>
    <t xml:space="preserve">Westwego</t>
  </si>
  <si>
    <t xml:space="preserve">70094</t>
  </si>
  <si>
    <t xml:space="preserve">C51710</t>
  </si>
  <si>
    <t xml:space="preserve">658264</t>
  </si>
  <si>
    <t xml:space="preserve">499277</t>
  </si>
  <si>
    <t xml:space="preserve">213814</t>
  </si>
  <si>
    <t xml:space="preserve">It Can Be Fixed</t>
  </si>
  <si>
    <t xml:space="preserve">Rafael Junior Arroyo</t>
  </si>
  <si>
    <t xml:space="preserve">(310) 400-6688</t>
  </si>
  <si>
    <t xml:space="preserve">lynwoodicbf@gmail.com</t>
  </si>
  <si>
    <t xml:space="preserve">5138 E Imperial Hwy</t>
  </si>
  <si>
    <t xml:space="preserve">C51702</t>
  </si>
  <si>
    <t xml:space="preserve">658156</t>
  </si>
  <si>
    <t xml:space="preserve">499160</t>
  </si>
  <si>
    <t xml:space="preserve">213783</t>
  </si>
  <si>
    <t xml:space="preserve">Tech Solutions of Patchogue, Inc</t>
  </si>
  <si>
    <t xml:space="preserve">Carlos Vasquez</t>
  </si>
  <si>
    <t xml:space="preserve">(631) 509-5681</t>
  </si>
  <si>
    <t xml:space="preserve">techsolutionspatchogue@gmail.com</t>
  </si>
  <si>
    <t xml:space="preserve">300 W Main St</t>
  </si>
  <si>
    <t xml:space="preserve">C51693</t>
  </si>
  <si>
    <t xml:space="preserve">658230</t>
  </si>
  <si>
    <t xml:space="preserve">499238</t>
  </si>
  <si>
    <t xml:space="preserve">213780</t>
  </si>
  <si>
    <t xml:space="preserve">Cell Spot 3 LLC</t>
  </si>
  <si>
    <t xml:space="preserve">Ahmad Alsafdi</t>
  </si>
  <si>
    <t xml:space="preserve">(419) 343-5611</t>
  </si>
  <si>
    <t xml:space="preserve">cellspot419@gmail.com</t>
  </si>
  <si>
    <t xml:space="preserve">3839 Airport Hwy</t>
  </si>
  <si>
    <t xml:space="preserve">43615</t>
  </si>
  <si>
    <t xml:space="preserve">C51698</t>
  </si>
  <si>
    <t xml:space="preserve">658035</t>
  </si>
  <si>
    <t xml:space="preserve">499038</t>
  </si>
  <si>
    <t xml:space="preserve">213757</t>
  </si>
  <si>
    <t xml:space="preserve">JW Electronics Corp</t>
  </si>
  <si>
    <t xml:space="preserve">Juan Herrera</t>
  </si>
  <si>
    <t xml:space="preserve">(347) 296-6920</t>
  </si>
  <si>
    <t xml:space="preserve">juanherrera.jahj@gmail.com</t>
  </si>
  <si>
    <t xml:space="preserve">50 W Kingsbridge Rd</t>
  </si>
  <si>
    <t xml:space="preserve">10468</t>
  </si>
  <si>
    <t xml:space="preserve">C51680</t>
  </si>
  <si>
    <t xml:space="preserve">657953</t>
  </si>
  <si>
    <t xml:space="preserve">498958</t>
  </si>
  <si>
    <t xml:space="preserve">213702</t>
  </si>
  <si>
    <t xml:space="preserve">AAA Wireless</t>
  </si>
  <si>
    <t xml:space="preserve">Muhammad Choudhry</t>
  </si>
  <si>
    <t xml:space="preserve">(816) 886-9033</t>
  </si>
  <si>
    <t xml:space="preserve">celldepot0403@gmail.com</t>
  </si>
  <si>
    <t xml:space="preserve">4131 E Truman Rd</t>
  </si>
  <si>
    <t xml:space="preserve">Kansas City</t>
  </si>
  <si>
    <t xml:space="preserve">64127</t>
  </si>
  <si>
    <t xml:space="preserve">C51657</t>
  </si>
  <si>
    <t xml:space="preserve">657541</t>
  </si>
  <si>
    <t xml:space="preserve">498570</t>
  </si>
  <si>
    <t xml:space="preserve">213601</t>
  </si>
  <si>
    <t xml:space="preserve">M Trenz, Inc</t>
  </si>
  <si>
    <t xml:space="preserve">Van Diep</t>
  </si>
  <si>
    <t xml:space="preserve">(303) 942-8008</t>
  </si>
  <si>
    <t xml:space="preserve">van@mtrenz.com</t>
  </si>
  <si>
    <t xml:space="preserve">1012 S Federal Blvd</t>
  </si>
  <si>
    <t xml:space="preserve">80219</t>
  </si>
  <si>
    <t xml:space="preserve">C51599</t>
  </si>
  <si>
    <t xml:space="preserve">657373</t>
  </si>
  <si>
    <t xml:space="preserve">498406</t>
  </si>
  <si>
    <t xml:space="preserve">213546</t>
  </si>
  <si>
    <t xml:space="preserve">Nidosty Phone Accessory &amp; More</t>
  </si>
  <si>
    <t xml:space="preserve">Maria Natividad Garcia Coronado</t>
  </si>
  <si>
    <t xml:space="preserve">(505) 306-6579</t>
  </si>
  <si>
    <t xml:space="preserve">nidosty@gmail.com</t>
  </si>
  <si>
    <t xml:space="preserve">5616 Menual Blvd NE</t>
  </si>
  <si>
    <t xml:space="preserve">87110</t>
  </si>
  <si>
    <t xml:space="preserve">C51584</t>
  </si>
  <si>
    <t xml:space="preserve">660525</t>
  </si>
  <si>
    <t xml:space="preserve">501533</t>
  </si>
  <si>
    <t xml:space="preserve">213404</t>
  </si>
  <si>
    <t xml:space="preserve">IMOBILEPROS</t>
  </si>
  <si>
    <t xml:space="preserve">ALI MOHAMED</t>
  </si>
  <si>
    <t xml:space="preserve">(619) 343-4242</t>
  </si>
  <si>
    <t xml:space="preserve">imobilepros440@gmail.com</t>
  </si>
  <si>
    <t xml:space="preserve">7947 Broadway</t>
  </si>
  <si>
    <t xml:space="preserve">Lemon Grove</t>
  </si>
  <si>
    <t xml:space="preserve">91945</t>
  </si>
  <si>
    <t xml:space="preserve">C53674</t>
  </si>
  <si>
    <t xml:space="preserve">655514</t>
  </si>
  <si>
    <t xml:space="preserve">496652</t>
  </si>
  <si>
    <t xml:space="preserve">213286</t>
  </si>
  <si>
    <t xml:space="preserve">KMobile LLC</t>
  </si>
  <si>
    <t xml:space="preserve">Kemal Yilmaz</t>
  </si>
  <si>
    <t xml:space="preserve">(714) 717-9718</t>
  </si>
  <si>
    <t xml:space="preserve">KYILMAZ1010@GMAIL.COM</t>
  </si>
  <si>
    <t xml:space="preserve">1204 S Bristol St</t>
  </si>
  <si>
    <t xml:space="preserve">D2</t>
  </si>
  <si>
    <t xml:space="preserve">92704</t>
  </si>
  <si>
    <t xml:space="preserve">C51496</t>
  </si>
  <si>
    <t xml:space="preserve">655404</t>
  </si>
  <si>
    <t xml:space="preserve">496552</t>
  </si>
  <si>
    <t xml:space="preserve">213262</t>
  </si>
  <si>
    <t xml:space="preserve">J &amp; J RADHA LLC</t>
  </si>
  <si>
    <t xml:space="preserve">Rajesh Adhikari</t>
  </si>
  <si>
    <t xml:space="preserve">(817) 510-3699</t>
  </si>
  <si>
    <t xml:space="preserve">Adhikari035@gmail.com</t>
  </si>
  <si>
    <t xml:space="preserve">546 E Pipeline Rd</t>
  </si>
  <si>
    <t xml:space="preserve">Hurst</t>
  </si>
  <si>
    <t xml:space="preserve">76053</t>
  </si>
  <si>
    <t xml:space="preserve">C51492</t>
  </si>
  <si>
    <t xml:space="preserve">655339</t>
  </si>
  <si>
    <t xml:space="preserve">496924</t>
  </si>
  <si>
    <t xml:space="preserve">213225</t>
  </si>
  <si>
    <t xml:space="preserve">DreamAtech, llc</t>
  </si>
  <si>
    <t xml:space="preserve">Jabriel Khabir</t>
  </si>
  <si>
    <t xml:space="preserve">(434) 264-2220</t>
  </si>
  <si>
    <t xml:space="preserve">makeitwork@dreamatech.net</t>
  </si>
  <si>
    <t xml:space="preserve">1350 S Main St</t>
  </si>
  <si>
    <t xml:space="preserve">Blackstone</t>
  </si>
  <si>
    <t xml:space="preserve">23824</t>
  </si>
  <si>
    <t xml:space="preserve">C51485</t>
  </si>
  <si>
    <t xml:space="preserve">655219</t>
  </si>
  <si>
    <t xml:space="preserve">496367</t>
  </si>
  <si>
    <t xml:space="preserve">213189</t>
  </si>
  <si>
    <t xml:space="preserve">MOBILE XDC LLC</t>
  </si>
  <si>
    <t xml:space="preserve">Thomas Woldemariam</t>
  </si>
  <si>
    <t xml:space="preserve">(202) 560-5677</t>
  </si>
  <si>
    <t xml:space="preserve">mobilexdc@gmail.com</t>
  </si>
  <si>
    <t xml:space="preserve">3437 14th St NW</t>
  </si>
  <si>
    <t xml:space="preserve">20010</t>
  </si>
  <si>
    <t xml:space="preserve">C51474</t>
  </si>
  <si>
    <t xml:space="preserve">654905</t>
  </si>
  <si>
    <t xml:space="preserve">496055</t>
  </si>
  <si>
    <t xml:space="preserve">213125</t>
  </si>
  <si>
    <t xml:space="preserve">Sara Cell Phones</t>
  </si>
  <si>
    <t xml:space="preserve">Antonio Tambriz</t>
  </si>
  <si>
    <t xml:space="preserve">(346) 352-3985</t>
  </si>
  <si>
    <t xml:space="preserve">saracellphone07@gmail.com</t>
  </si>
  <si>
    <t xml:space="preserve">7610 Office City Dr</t>
  </si>
  <si>
    <t xml:space="preserve">77012</t>
  </si>
  <si>
    <t xml:space="preserve">C51467</t>
  </si>
  <si>
    <t xml:space="preserve">655202</t>
  </si>
  <si>
    <t xml:space="preserve">496350</t>
  </si>
  <si>
    <t xml:space="preserve">213075</t>
  </si>
  <si>
    <t xml:space="preserve">Jamaluddin Amin</t>
  </si>
  <si>
    <t xml:space="preserve">(843) 637-4109</t>
  </si>
  <si>
    <t xml:space="preserve">wirelessworldsc1@gmail.com</t>
  </si>
  <si>
    <t xml:space="preserve">1209 Sam Rittenberg Blvd</t>
  </si>
  <si>
    <t xml:space="preserve">STE C</t>
  </si>
  <si>
    <t xml:space="preserve">Charleston</t>
  </si>
  <si>
    <t xml:space="preserve">29407</t>
  </si>
  <si>
    <t xml:space="preserve">C51473</t>
  </si>
  <si>
    <t xml:space="preserve">654619</t>
  </si>
  <si>
    <t xml:space="preserve">495772</t>
  </si>
  <si>
    <t xml:space="preserve">213021</t>
  </si>
  <si>
    <t xml:space="preserve">Phone Doctor of Austin</t>
  </si>
  <si>
    <t xml:space="preserve">Eric Dan Vu</t>
  </si>
  <si>
    <t xml:space="preserve">(512) 550-1530</t>
  </si>
  <si>
    <t xml:space="preserve">phonedoctorofaustin@gmail.com</t>
  </si>
  <si>
    <t xml:space="preserve">15908 Ranch Rd 620 N</t>
  </si>
  <si>
    <t xml:space="preserve">Austin</t>
  </si>
  <si>
    <t xml:space="preserve">78717</t>
  </si>
  <si>
    <t xml:space="preserve">C51446</t>
  </si>
  <si>
    <t xml:space="preserve">653378</t>
  </si>
  <si>
    <t xml:space="preserve">494530</t>
  </si>
  <si>
    <t xml:space="preserve">212960</t>
  </si>
  <si>
    <t xml:space="preserve">XCell, Inc</t>
  </si>
  <si>
    <t xml:space="preserve">Hoang Nguyen</t>
  </si>
  <si>
    <t xml:space="preserve">(714) 907-0100</t>
  </si>
  <si>
    <t xml:space="preserve">nick71nguyen@yahoo.com</t>
  </si>
  <si>
    <t xml:space="preserve">6858 Edinger Ave</t>
  </si>
  <si>
    <t xml:space="preserve">Huntington Beach</t>
  </si>
  <si>
    <t xml:space="preserve">92647</t>
  </si>
  <si>
    <t xml:space="preserve">C51428</t>
  </si>
  <si>
    <t xml:space="preserve">652912</t>
  </si>
  <si>
    <t xml:space="preserve">494061</t>
  </si>
  <si>
    <t xml:space="preserve">212919</t>
  </si>
  <si>
    <t xml:space="preserve">MB Wireless LLC</t>
  </si>
  <si>
    <t xml:space="preserve">Bashar Hammad</t>
  </si>
  <si>
    <t xml:space="preserve">(504) 446-4671</t>
  </si>
  <si>
    <t xml:space="preserve">lazodatech@gmail.com</t>
  </si>
  <si>
    <t xml:space="preserve">2201 Williams Blvd</t>
  </si>
  <si>
    <t xml:space="preserve">Kenner</t>
  </si>
  <si>
    <t xml:space="preserve">70062</t>
  </si>
  <si>
    <t xml:space="preserve">C51447</t>
  </si>
  <si>
    <t xml:space="preserve">652911</t>
  </si>
  <si>
    <t xml:space="preserve">494060</t>
  </si>
  <si>
    <t xml:space="preserve">212913</t>
  </si>
  <si>
    <t xml:space="preserve">Sisters MC Multiservices</t>
  </si>
  <si>
    <t xml:space="preserve">Dominic Moises Puac Menchu</t>
  </si>
  <si>
    <t xml:space="preserve">(323) 232-0212</t>
  </si>
  <si>
    <t xml:space="preserve">dominicpuac06@gmail.com</t>
  </si>
  <si>
    <t xml:space="preserve">4400 S BROADWAY</t>
  </si>
  <si>
    <t xml:space="preserve">LOS ANGELES</t>
  </si>
  <si>
    <t xml:space="preserve">C51409</t>
  </si>
  <si>
    <t xml:space="preserve">652020</t>
  </si>
  <si>
    <t xml:space="preserve">493211</t>
  </si>
  <si>
    <t xml:space="preserve">212733</t>
  </si>
  <si>
    <t xml:space="preserve">L&amp;M WIRELESS LLC</t>
  </si>
  <si>
    <t xml:space="preserve">Luis Mcdougal</t>
  </si>
  <si>
    <t xml:space="preserve">(401) 427-0889</t>
  </si>
  <si>
    <t xml:space="preserve">Luis@sosatel.com</t>
  </si>
  <si>
    <t xml:space="preserve">1093 Broad St</t>
  </si>
  <si>
    <t xml:space="preserve">Providence</t>
  </si>
  <si>
    <t xml:space="preserve">RI</t>
  </si>
  <si>
    <t xml:space="preserve">2905</t>
  </si>
  <si>
    <t xml:space="preserve">C51365</t>
  </si>
  <si>
    <t xml:space="preserve">651910</t>
  </si>
  <si>
    <t xml:space="preserve">493145</t>
  </si>
  <si>
    <t xml:space="preserve">212703</t>
  </si>
  <si>
    <t xml:space="preserve">GT Store</t>
  </si>
  <si>
    <t xml:space="preserve">Shaine Lieu</t>
  </si>
  <si>
    <t xml:space="preserve">(323) 888-8803</t>
  </si>
  <si>
    <t xml:space="preserve">gtstore888@gmail.com</t>
  </si>
  <si>
    <t xml:space="preserve">2912 W Beverly Blvd</t>
  </si>
  <si>
    <t xml:space="preserve">Montebello</t>
  </si>
  <si>
    <t xml:space="preserve">90640</t>
  </si>
  <si>
    <t xml:space="preserve">C51371</t>
  </si>
  <si>
    <t xml:space="preserve">650818</t>
  </si>
  <si>
    <t xml:space="preserve">492068</t>
  </si>
  <si>
    <t xml:space="preserve">212568</t>
  </si>
  <si>
    <t xml:space="preserve">Shop 4 Less Supplies</t>
  </si>
  <si>
    <t xml:space="preserve">Thamir Amir</t>
  </si>
  <si>
    <t xml:space="preserve">(615) 569-4049</t>
  </si>
  <si>
    <t xml:space="preserve">shop4lessws@gmail.com</t>
  </si>
  <si>
    <t xml:space="preserve">811 Dickerson Pike</t>
  </si>
  <si>
    <t xml:space="preserve">Nashville</t>
  </si>
  <si>
    <t xml:space="preserve">37207</t>
  </si>
  <si>
    <t xml:space="preserve">C51272</t>
  </si>
  <si>
    <t xml:space="preserve">650775</t>
  </si>
  <si>
    <t xml:space="preserve">492025</t>
  </si>
  <si>
    <t xml:space="preserve">212505</t>
  </si>
  <si>
    <t xml:space="preserve">Cell Leader Communications Inc</t>
  </si>
  <si>
    <t xml:space="preserve">Jungwook Baik</t>
  </si>
  <si>
    <t xml:space="preserve">(404) 454-7290</t>
  </si>
  <si>
    <t xml:space="preserve">cell.leadercomm@gmail.com</t>
  </si>
  <si>
    <t xml:space="preserve">798 Sandtown Rd SW</t>
  </si>
  <si>
    <t xml:space="preserve">Marietta</t>
  </si>
  <si>
    <t xml:space="preserve">30008</t>
  </si>
  <si>
    <t xml:space="preserve">C51229</t>
  </si>
  <si>
    <t xml:space="preserve">659217</t>
  </si>
  <si>
    <t xml:space="preserve">500213</t>
  </si>
  <si>
    <t xml:space="preserve">212496</t>
  </si>
  <si>
    <t xml:space="preserve">Wonder Wireless LLC</t>
  </si>
  <si>
    <t xml:space="preserve">FELIX KEBING</t>
  </si>
  <si>
    <t xml:space="preserve">(240) 486-4034</t>
  </si>
  <si>
    <t xml:space="preserve">wonder_wireless@yahoo.com</t>
  </si>
  <si>
    <t xml:space="preserve">699 Washington Blvd</t>
  </si>
  <si>
    <t xml:space="preserve">Laurel</t>
  </si>
  <si>
    <t xml:space="preserve">20707</t>
  </si>
  <si>
    <t xml:space="preserve">C51761</t>
  </si>
  <si>
    <t xml:space="preserve">650769</t>
  </si>
  <si>
    <t xml:space="preserve">492019</t>
  </si>
  <si>
    <t xml:space="preserve">212494</t>
  </si>
  <si>
    <t xml:space="preserve">AFRIQUE MUSIC &amp; GIFTS</t>
  </si>
  <si>
    <t xml:space="preserve">PHI NGUYEN</t>
  </si>
  <si>
    <t xml:space="preserve">(301) 962-0500</t>
  </si>
  <si>
    <t xml:space="preserve">GOLF4HEAVEN@HOTMAIL.COM</t>
  </si>
  <si>
    <t xml:space="preserve">12337 GEORGIA AVE</t>
  </si>
  <si>
    <t xml:space="preserve">SILVER SPRING</t>
  </si>
  <si>
    <t xml:space="preserve">20906</t>
  </si>
  <si>
    <t xml:space="preserve">C51223</t>
  </si>
  <si>
    <t xml:space="preserve">650780</t>
  </si>
  <si>
    <t xml:space="preserve">492030</t>
  </si>
  <si>
    <t xml:space="preserve">212455</t>
  </si>
  <si>
    <t xml:space="preserve">Wireless Express Service</t>
  </si>
  <si>
    <t xml:space="preserve">Emad Hawwash</t>
  </si>
  <si>
    <t xml:space="preserve">ASPEN2222@MSN.COM</t>
  </si>
  <si>
    <t xml:space="preserve">25745 E Base line St</t>
  </si>
  <si>
    <t xml:space="preserve">Highland</t>
  </si>
  <si>
    <t xml:space="preserve">92413</t>
  </si>
  <si>
    <t xml:space="preserve">C51234</t>
  </si>
  <si>
    <t xml:space="preserve">650813</t>
  </si>
  <si>
    <t xml:space="preserve">492063</t>
  </si>
  <si>
    <t xml:space="preserve">212396</t>
  </si>
  <si>
    <t xml:space="preserve">Phone Repair Tech LLC</t>
  </si>
  <si>
    <t xml:space="preserve">MD Shathil Ahmed</t>
  </si>
  <si>
    <t xml:space="preserve">(240) 303-3037 sajib</t>
  </si>
  <si>
    <t xml:space="preserve">phonerepairtechdc@gmail.com</t>
  </si>
  <si>
    <t xml:space="preserve">1796 Columbia Rd NW</t>
  </si>
  <si>
    <t xml:space="preserve">20009</t>
  </si>
  <si>
    <t xml:space="preserve">C51267</t>
  </si>
  <si>
    <t xml:space="preserve">649113</t>
  </si>
  <si>
    <t xml:space="preserve">490417</t>
  </si>
  <si>
    <t xml:space="preserve">212086</t>
  </si>
  <si>
    <t xml:space="preserve">AVS ELECTRONIC SERVICES LLC</t>
  </si>
  <si>
    <t xml:space="preserve">Edgar Antonio Aviles</t>
  </si>
  <si>
    <t xml:space="preserve">(832) 519-8751</t>
  </si>
  <si>
    <t xml:space="preserve">support@mobitechxpress.com</t>
  </si>
  <si>
    <t xml:space="preserve">12218 JONES RD</t>
  </si>
  <si>
    <t xml:space="preserve">77070</t>
  </si>
  <si>
    <t xml:space="preserve">C50641</t>
  </si>
  <si>
    <t xml:space="preserve">648760</t>
  </si>
  <si>
    <t xml:space="preserve">490077</t>
  </si>
  <si>
    <t xml:space="preserve">212046</t>
  </si>
  <si>
    <t xml:space="preserve">Fix Phone Wireless Inc</t>
  </si>
  <si>
    <t xml:space="preserve">Nader Hasan</t>
  </si>
  <si>
    <t xml:space="preserve">(678) 226-1126</t>
  </si>
  <si>
    <t xml:space="preserve">fixphonewireless@hotmail.com</t>
  </si>
  <si>
    <t xml:space="preserve">2522 Cruse Rd</t>
  </si>
  <si>
    <t xml:space="preserve">Ste C6</t>
  </si>
  <si>
    <t xml:space="preserve">Lawrenceville</t>
  </si>
  <si>
    <t xml:space="preserve">30044</t>
  </si>
  <si>
    <t xml:space="preserve">C51173</t>
  </si>
  <si>
    <t xml:space="preserve">646701</t>
  </si>
  <si>
    <t xml:space="preserve">488036</t>
  </si>
  <si>
    <t xml:space="preserve">211533</t>
  </si>
  <si>
    <t xml:space="preserve">Value Plans Network Inc</t>
  </si>
  <si>
    <t xml:space="preserve">Azgor Hosen</t>
  </si>
  <si>
    <t xml:space="preserve">(212) 658-0001</t>
  </si>
  <si>
    <t xml:space="preserve">Modelcellularservices@gmail.com</t>
  </si>
  <si>
    <t xml:space="preserve">168-14a Hillside Ave</t>
  </si>
  <si>
    <t xml:space="preserve">C51013</t>
  </si>
  <si>
    <t xml:space="preserve">646054</t>
  </si>
  <si>
    <t xml:space="preserve">487418</t>
  </si>
  <si>
    <t xml:space="preserve">211315</t>
  </si>
  <si>
    <t xml:space="preserve">IMobile Tech LLC</t>
  </si>
  <si>
    <t xml:space="preserve">Kanchan Arora</t>
  </si>
  <si>
    <t xml:space="preserve">(301) 853-8800</t>
  </si>
  <si>
    <t xml:space="preserve">imobiletechusa@gmail.com</t>
  </si>
  <si>
    <t xml:space="preserve">3500 East-West Hwy</t>
  </si>
  <si>
    <t xml:space="preserve">#1411</t>
  </si>
  <si>
    <t xml:space="preserve">20782</t>
  </si>
  <si>
    <t xml:space="preserve">C50537</t>
  </si>
  <si>
    <t xml:space="preserve">643137</t>
  </si>
  <si>
    <t xml:space="preserve">484685</t>
  </si>
  <si>
    <t xml:space="preserve">210328</t>
  </si>
  <si>
    <t xml:space="preserve">Iphone Repairs Vegas</t>
  </si>
  <si>
    <t xml:space="preserve">NGA Thuy-Thi Do</t>
  </si>
  <si>
    <t xml:space="preserve">(702) 882-9988</t>
  </si>
  <si>
    <t xml:space="preserve">wirelessavenue4425@gmail.com</t>
  </si>
  <si>
    <t xml:space="preserve">4425 W Flamingo Rd</t>
  </si>
  <si>
    <t xml:space="preserve">89103</t>
  </si>
  <si>
    <t xml:space="preserve">C50904</t>
  </si>
  <si>
    <t xml:space="preserve">655591</t>
  </si>
  <si>
    <t xml:space="preserve">496720</t>
  </si>
  <si>
    <t xml:space="preserve">210028</t>
  </si>
  <si>
    <t xml:space="preserve">WHOLESALE GADGET LLC</t>
  </si>
  <si>
    <t xml:space="preserve">Ibrahim Ayad</t>
  </si>
  <si>
    <t xml:space="preserve">(614) 914-6444</t>
  </si>
  <si>
    <t xml:space="preserve">buckeye2458@gmail.com</t>
  </si>
  <si>
    <t xml:space="preserve">2458 N High St</t>
  </si>
  <si>
    <t xml:space="preserve">Columbus</t>
  </si>
  <si>
    <t xml:space="preserve">43202</t>
  </si>
  <si>
    <t xml:space="preserve">C50882</t>
  </si>
  <si>
    <t xml:space="preserve">638325</t>
  </si>
  <si>
    <t xml:space="preserve">484188</t>
  </si>
  <si>
    <t xml:space="preserve">209975</t>
  </si>
  <si>
    <t xml:space="preserve">EXTREME PHONE REPAIR LLC</t>
  </si>
  <si>
    <t xml:space="preserve">Maria Aguirre</t>
  </si>
  <si>
    <t xml:space="preserve">(224) 400-0559</t>
  </si>
  <si>
    <t xml:space="preserve">EXTREMECP21@GMAIL.COM</t>
  </si>
  <si>
    <t xml:space="preserve">815 S Randall Rd</t>
  </si>
  <si>
    <t xml:space="preserve">60123</t>
  </si>
  <si>
    <t xml:space="preserve">C50874</t>
  </si>
  <si>
    <t xml:space="preserve">634670</t>
  </si>
  <si>
    <t xml:space="preserve">481156</t>
  </si>
  <si>
    <t xml:space="preserve">209211</t>
  </si>
  <si>
    <t xml:space="preserve">Tech-Nology</t>
  </si>
  <si>
    <t xml:space="preserve">Guillermo Vela</t>
  </si>
  <si>
    <t xml:space="preserve">(747) 247-2175</t>
  </si>
  <si>
    <t xml:space="preserve">tech23nology@gmail.com</t>
  </si>
  <si>
    <t xml:space="preserve">7400 Van Nuys BLVD</t>
  </si>
  <si>
    <t xml:space="preserve">Van Nuys</t>
  </si>
  <si>
    <t xml:space="preserve">91405</t>
  </si>
  <si>
    <t xml:space="preserve">C50787</t>
  </si>
  <si>
    <t xml:space="preserve">633969</t>
  </si>
  <si>
    <t xml:space="preserve">480464</t>
  </si>
  <si>
    <t xml:space="preserve">208957</t>
  </si>
  <si>
    <t xml:space="preserve">Cell-Latino USA Corp</t>
  </si>
  <si>
    <t xml:space="preserve">Miguel Bernal</t>
  </si>
  <si>
    <t xml:space="preserve">(713) 283-9796</t>
  </si>
  <si>
    <t xml:space="preserve">Cell_latinousa07@Yahoo.com</t>
  </si>
  <si>
    <t xml:space="preserve">6569 W Bellfort Ave</t>
  </si>
  <si>
    <t xml:space="preserve">77035</t>
  </si>
  <si>
    <t xml:space="preserve">C50753</t>
  </si>
  <si>
    <t xml:space="preserve">633464</t>
  </si>
  <si>
    <t xml:space="preserve">479970</t>
  </si>
  <si>
    <t xml:space="preserve">208623</t>
  </si>
  <si>
    <t xml:space="preserve">King Wireless 817, LLC</t>
  </si>
  <si>
    <t xml:space="preserve">Manuel Anaya</t>
  </si>
  <si>
    <t xml:space="preserve">(817) 386-4040</t>
  </si>
  <si>
    <t xml:space="preserve">menyg817@gmail.com</t>
  </si>
  <si>
    <t xml:space="preserve">2516 NE 28th ST</t>
  </si>
  <si>
    <t xml:space="preserve">STE 118-120</t>
  </si>
  <si>
    <t xml:space="preserve">FORT WORTH</t>
  </si>
  <si>
    <t xml:space="preserve">76106</t>
  </si>
  <si>
    <t xml:space="preserve">C50769</t>
  </si>
  <si>
    <t xml:space="preserve">648270</t>
  </si>
  <si>
    <t xml:space="preserve">489585</t>
  </si>
  <si>
    <t xml:space="preserve">208378</t>
  </si>
  <si>
    <t xml:space="preserve">Daniel Guerra</t>
  </si>
  <si>
    <t xml:space="preserve">Guillermo Guerra</t>
  </si>
  <si>
    <t xml:space="preserve">(805) 226-5093</t>
  </si>
  <si>
    <t xml:space="preserve">unlimitedwireless1914@hotmail.com</t>
  </si>
  <si>
    <t xml:space="preserve">1914 Creston Rd</t>
  </si>
  <si>
    <t xml:space="preserve">Paso Robles</t>
  </si>
  <si>
    <t xml:space="preserve">93446</t>
  </si>
  <si>
    <t xml:space="preserve">C50702</t>
  </si>
  <si>
    <t xml:space="preserve">632077</t>
  </si>
  <si>
    <t xml:space="preserve">478623</t>
  </si>
  <si>
    <t xml:space="preserve">207570</t>
  </si>
  <si>
    <t xml:space="preserve">PHONE SHOP INC</t>
  </si>
  <si>
    <t xml:space="preserve">Mutahir Iftikha</t>
  </si>
  <si>
    <t xml:space="preserve">(410) 225-7300</t>
  </si>
  <si>
    <t xml:space="preserve">mutahiri@gmail.com</t>
  </si>
  <si>
    <t xml:space="preserve">2401 Liberty Heights Ave</t>
  </si>
  <si>
    <t xml:space="preserve">5508</t>
  </si>
  <si>
    <t xml:space="preserve">21215</t>
  </si>
  <si>
    <t xml:space="preserve">C50674</t>
  </si>
  <si>
    <t xml:space="preserve">631627</t>
  </si>
  <si>
    <t xml:space="preserve">478119</t>
  </si>
  <si>
    <t xml:space="preserve">207208</t>
  </si>
  <si>
    <t xml:space="preserve">Bay Area Wireless and Payment Center</t>
  </si>
  <si>
    <t xml:space="preserve">Abdulmalik Harbi</t>
  </si>
  <si>
    <t xml:space="preserve">(510) 842-3679</t>
  </si>
  <si>
    <t xml:space="preserve">bayareawireless1@gmail.com</t>
  </si>
  <si>
    <t xml:space="preserve">3237 Foothill Blvd</t>
  </si>
  <si>
    <t xml:space="preserve">Ste # B</t>
  </si>
  <si>
    <t xml:space="preserve">94601</t>
  </si>
  <si>
    <t xml:space="preserve">C3864</t>
  </si>
  <si>
    <t xml:space="preserve">631245</t>
  </si>
  <si>
    <t xml:space="preserve">477745</t>
  </si>
  <si>
    <t xml:space="preserve">206665</t>
  </si>
  <si>
    <t xml:space="preserve">SAIFULLAH ZAFAR AND SHAUKAT MOHAMMAD</t>
  </si>
  <si>
    <t xml:space="preserve">Shaukat Mohammad</t>
  </si>
  <si>
    <t xml:space="preserve">(832) 665-0300</t>
  </si>
  <si>
    <t xml:space="preserve">shauk786@yahoo.com</t>
  </si>
  <si>
    <t xml:space="preserve">9828 Blackhawk Blvd</t>
  </si>
  <si>
    <t xml:space="preserve">77075</t>
  </si>
  <si>
    <t xml:space="preserve">C50596</t>
  </si>
  <si>
    <t xml:space="preserve">646632</t>
  </si>
  <si>
    <t xml:space="preserve">487970</t>
  </si>
  <si>
    <t xml:space="preserve">205879</t>
  </si>
  <si>
    <t xml:space="preserve">Dr. Fixaphone Inc</t>
  </si>
  <si>
    <t xml:space="preserve">Luis Molina</t>
  </si>
  <si>
    <t xml:space="preserve">(774) 501-2919</t>
  </si>
  <si>
    <t xml:space="preserve">info@drfixaphone.com</t>
  </si>
  <si>
    <t xml:space="preserve">5 W Water St</t>
  </si>
  <si>
    <t xml:space="preserve">Taunton</t>
  </si>
  <si>
    <t xml:space="preserve">2780</t>
  </si>
  <si>
    <t xml:space="preserve">C50564</t>
  </si>
  <si>
    <t xml:space="preserve">627420</t>
  </si>
  <si>
    <t xml:space="preserve">475795</t>
  </si>
  <si>
    <t xml:space="preserve">204908</t>
  </si>
  <si>
    <t xml:space="preserve">Wireless And Repairs LLC</t>
  </si>
  <si>
    <t xml:space="preserve">Bestwirelessairline@gmail.com</t>
  </si>
  <si>
    <t xml:space="preserve">6733 Airline Dr</t>
  </si>
  <si>
    <t xml:space="preserve">77076</t>
  </si>
  <si>
    <t xml:space="preserve">C50506</t>
  </si>
  <si>
    <t xml:space="preserve">627546</t>
  </si>
  <si>
    <t xml:space="preserve">475921</t>
  </si>
  <si>
    <t xml:space="preserve">204839</t>
  </si>
  <si>
    <t xml:space="preserve">Kevin Kim</t>
  </si>
  <si>
    <t xml:space="preserve">Kevin Ku Kim</t>
  </si>
  <si>
    <t xml:space="preserve">(682) 583-3838</t>
  </si>
  <si>
    <t xml:space="preserve">apluswireless8347@gmail.com</t>
  </si>
  <si>
    <t xml:space="preserve">8347 Park Ln</t>
  </si>
  <si>
    <t xml:space="preserve">C50515</t>
  </si>
  <si>
    <t xml:space="preserve">627962</t>
  </si>
  <si>
    <t xml:space="preserve">476279</t>
  </si>
  <si>
    <t xml:space="preserve">204835</t>
  </si>
  <si>
    <t xml:space="preserve">RBmobile INC LLC</t>
  </si>
  <si>
    <t xml:space="preserve">Rudy Borjas</t>
  </si>
  <si>
    <t xml:space="preserve">(713) 478-4619</t>
  </si>
  <si>
    <t xml:space="preserve">rbmobilerepair@hotmail.com</t>
  </si>
  <si>
    <t xml:space="preserve">7803 Farm to Market 1960 Bypass Rd W</t>
  </si>
  <si>
    <t xml:space="preserve">Humble</t>
  </si>
  <si>
    <t xml:space="preserve">77338</t>
  </si>
  <si>
    <t xml:space="preserve">C50009</t>
  </si>
  <si>
    <t xml:space="preserve">603777</t>
  </si>
  <si>
    <t xml:space="preserve">453565</t>
  </si>
  <si>
    <t xml:space="preserve">204811</t>
  </si>
  <si>
    <t xml:space="preserve">DCell Wireless</t>
  </si>
  <si>
    <t xml:space="preserve">Jose Carrillo</t>
  </si>
  <si>
    <t xml:space="preserve">(626) 522-1170</t>
  </si>
  <si>
    <t xml:space="preserve">dcellwireless3@gmail.com</t>
  </si>
  <si>
    <t xml:space="preserve">11230 Garvey Ave</t>
  </si>
  <si>
    <t xml:space="preserve">91733</t>
  </si>
  <si>
    <t xml:space="preserve">C48251</t>
  </si>
  <si>
    <t xml:space="preserve">655400</t>
  </si>
  <si>
    <t xml:space="preserve">496548</t>
  </si>
  <si>
    <t xml:space="preserve">203049</t>
  </si>
  <si>
    <t xml:space="preserve">USA Wireless</t>
  </si>
  <si>
    <t xml:space="preserve">Alejandro Sedano</t>
  </si>
  <si>
    <t xml:space="preserve">(714) 210-1600</t>
  </si>
  <si>
    <t xml:space="preserve">usapluswireless@gmail.com</t>
  </si>
  <si>
    <t xml:space="preserve">1073 W 17th St</t>
  </si>
  <si>
    <t xml:space="preserve">92706</t>
  </si>
  <si>
    <t xml:space="preserve">C4433</t>
  </si>
  <si>
    <t xml:space="preserve">604947</t>
  </si>
  <si>
    <t xml:space="preserve">454762</t>
  </si>
  <si>
    <t xml:space="preserve">201833</t>
  </si>
  <si>
    <t xml:space="preserve">Super Discount Store</t>
  </si>
  <si>
    <t xml:space="preserve">Merced Castanada</t>
  </si>
  <si>
    <t xml:space="preserve">(805) 343-5209</t>
  </si>
  <si>
    <t xml:space="preserve">superdiscount99@gmail.com</t>
  </si>
  <si>
    <t xml:space="preserve">875 Guadalupe St</t>
  </si>
  <si>
    <t xml:space="preserve">Guadalupe</t>
  </si>
  <si>
    <t xml:space="preserve">93434</t>
  </si>
  <si>
    <t xml:space="preserve">C48650</t>
  </si>
  <si>
    <t xml:space="preserve">182916</t>
  </si>
  <si>
    <t xml:space="preserve">192856</t>
  </si>
  <si>
    <t xml:space="preserve">201771</t>
  </si>
  <si>
    <t xml:space="preserve">AP Wireless DBA Aqua Fresca Inc</t>
  </si>
  <si>
    <t xml:space="preserve">Steve Lee</t>
  </si>
  <si>
    <t xml:space="preserve">(818) 768-8640</t>
  </si>
  <si>
    <t xml:space="preserve">stevelee8246@hotmail.com</t>
  </si>
  <si>
    <t xml:space="preserve">8039 Vineland Ave</t>
  </si>
  <si>
    <t xml:space="preserve">Sun Valley</t>
  </si>
  <si>
    <t xml:space="preserve">91352</t>
  </si>
  <si>
    <t xml:space="preserve">C3850</t>
  </si>
  <si>
    <t xml:space="preserve">607238</t>
  </si>
  <si>
    <t xml:space="preserve">456830</t>
  </si>
  <si>
    <t xml:space="preserve">201696</t>
  </si>
  <si>
    <t xml:space="preserve">A&amp;J CELLULAR</t>
  </si>
  <si>
    <t xml:space="preserve">(713) 773-0000</t>
  </si>
  <si>
    <t xml:space="preserve">7239 Hillcroft St</t>
  </si>
  <si>
    <t xml:space="preserve">77081</t>
  </si>
  <si>
    <t xml:space="preserve">117063</t>
  </si>
  <si>
    <t xml:space="preserve">128236</t>
  </si>
  <si>
    <t xml:space="preserve">201629</t>
  </si>
  <si>
    <t xml:space="preserve">Cell Plus</t>
  </si>
  <si>
    <t xml:space="preserve">Claudio Miranda</t>
  </si>
  <si>
    <t xml:space="preserve">(774) 259-0596</t>
  </si>
  <si>
    <t xml:space="preserve">cellplus76@yahoo.com</t>
  </si>
  <si>
    <t xml:space="preserve">649 Warren Ave</t>
  </si>
  <si>
    <t xml:space="preserve">Brockton</t>
  </si>
  <si>
    <t xml:space="preserve">2301</t>
  </si>
  <si>
    <t xml:space="preserve">C13748</t>
  </si>
  <si>
    <t xml:space="preserve">606902</t>
  </si>
  <si>
    <t xml:space="preserve">456588</t>
  </si>
  <si>
    <t xml:space="preserve">201498</t>
  </si>
  <si>
    <t xml:space="preserve">Santos Mobile</t>
  </si>
  <si>
    <t xml:space="preserve">Elvia Gomez</t>
  </si>
  <si>
    <t xml:space="preserve">(323) 531-9701</t>
  </si>
  <si>
    <t xml:space="preserve">alejandrovalle10@yahoo.com</t>
  </si>
  <si>
    <t xml:space="preserve">5319 S Vermont Ave</t>
  </si>
  <si>
    <t xml:space="preserve">C48687</t>
  </si>
  <si>
    <t xml:space="preserve">620909</t>
  </si>
  <si>
    <t xml:space="preserve">470742</t>
  </si>
  <si>
    <t xml:space="preserve">201449</t>
  </si>
  <si>
    <t xml:space="preserve">Marrows Wireless</t>
  </si>
  <si>
    <t xml:space="preserve">Abdo Gubran</t>
  </si>
  <si>
    <t xml:space="preserve">(302) 368-4183</t>
  </si>
  <si>
    <t xml:space="preserve">marrowswireless@gmail.com</t>
  </si>
  <si>
    <t xml:space="preserve">50 Marrows Rd</t>
  </si>
  <si>
    <t xml:space="preserve">19713</t>
  </si>
  <si>
    <t xml:space="preserve">C50131</t>
  </si>
  <si>
    <t xml:space="preserve">654597</t>
  </si>
  <si>
    <t xml:space="preserve">495751</t>
  </si>
  <si>
    <t xml:space="preserve">201423</t>
  </si>
  <si>
    <t xml:space="preserve">Electro World</t>
  </si>
  <si>
    <t xml:space="preserve">(301) 209-0990</t>
  </si>
  <si>
    <t xml:space="preserve">4812 Annapolis Rd</t>
  </si>
  <si>
    <t xml:space="preserve">Bladensburg</t>
  </si>
  <si>
    <t xml:space="preserve">20710</t>
  </si>
  <si>
    <t xml:space="preserve">605170</t>
  </si>
  <si>
    <t xml:space="preserve">454982</t>
  </si>
  <si>
    <t xml:space="preserve">201316</t>
  </si>
  <si>
    <t xml:space="preserve">Unlimited Wireless Store</t>
  </si>
  <si>
    <t xml:space="preserve">Petronila Nicolas</t>
  </si>
  <si>
    <t xml:space="preserve">(323) 325-7773</t>
  </si>
  <si>
    <t xml:space="preserve">unlimitedwstore@gmail.com</t>
  </si>
  <si>
    <t xml:space="preserve">4105 S Central Ave</t>
  </si>
  <si>
    <t xml:space="preserve">C13451</t>
  </si>
  <si>
    <t xml:space="preserve">604964</t>
  </si>
  <si>
    <t xml:space="preserve">454779</t>
  </si>
  <si>
    <t xml:space="preserve">201307</t>
  </si>
  <si>
    <t xml:space="preserve">Lake LA</t>
  </si>
  <si>
    <t xml:space="preserve">Francisco Merlan</t>
  </si>
  <si>
    <t xml:space="preserve">(661) 264-4667</t>
  </si>
  <si>
    <t xml:space="preserve">lakelacellular@yahoo.com</t>
  </si>
  <si>
    <t xml:space="preserve">40303 170th St</t>
  </si>
  <si>
    <t xml:space="preserve">Lake Los Angeles</t>
  </si>
  <si>
    <t xml:space="preserve">93591</t>
  </si>
  <si>
    <t xml:space="preserve">C48638</t>
  </si>
  <si>
    <t xml:space="preserve">127045</t>
  </si>
  <si>
    <t xml:space="preserve">141141</t>
  </si>
  <si>
    <t xml:space="preserve">201155</t>
  </si>
  <si>
    <t xml:space="preserve">Mobile Finity Inc</t>
  </si>
  <si>
    <t xml:space="preserve">Nikki Reis</t>
  </si>
  <si>
    <t xml:space="preserve">(678) 213-2155</t>
  </si>
  <si>
    <t xml:space="preserve">u1mobile@hotmail.com</t>
  </si>
  <si>
    <t xml:space="preserve">3209 S Cobb Dr SE</t>
  </si>
  <si>
    <t xml:space="preserve">#g5</t>
  </si>
  <si>
    <t xml:space="preserve">Smyrna</t>
  </si>
  <si>
    <t xml:space="preserve">30080</t>
  </si>
  <si>
    <t xml:space="preserve">C5516</t>
  </si>
  <si>
    <t xml:space="preserve">635938</t>
  </si>
  <si>
    <t xml:space="preserve">482397</t>
  </si>
  <si>
    <t xml:space="preserve">201048</t>
  </si>
  <si>
    <t xml:space="preserve">Atlantic Mobile LLC</t>
  </si>
  <si>
    <t xml:space="preserve">Nishat afzal</t>
  </si>
  <si>
    <t xml:space="preserve">(609) 441-0600</t>
  </si>
  <si>
    <t xml:space="preserve">atlantic3818@gmail.com</t>
  </si>
  <si>
    <t xml:space="preserve">2703 Atlantic Ave</t>
  </si>
  <si>
    <t xml:space="preserve">C47485</t>
  </si>
  <si>
    <t xml:space="preserve">620690</t>
  </si>
  <si>
    <t xml:space="preserve">470774</t>
  </si>
  <si>
    <t xml:space="preserve">200763</t>
  </si>
  <si>
    <t xml:space="preserve">BROAD ROCK STORES INC dba JAMES FOOD STORE</t>
  </si>
  <si>
    <t xml:space="preserve">Naoufal Fartsi</t>
  </si>
  <si>
    <t xml:space="preserve">(804) 231-2100</t>
  </si>
  <si>
    <t xml:space="preserve">Nfartsi@gmail.com</t>
  </si>
  <si>
    <t xml:space="preserve">1808 Broad Rock Blvd</t>
  </si>
  <si>
    <t xml:space="preserve">Richmond</t>
  </si>
  <si>
    <t xml:space="preserve">23224</t>
  </si>
  <si>
    <t xml:space="preserve">C50128</t>
  </si>
  <si>
    <t xml:space="preserve">580999</t>
  </si>
  <si>
    <t xml:space="preserve">430302</t>
  </si>
  <si>
    <t xml:space="preserve">200449</t>
  </si>
  <si>
    <t xml:space="preserve">Rapido Wireless And Accessories</t>
  </si>
  <si>
    <t xml:space="preserve">Silvia Morales</t>
  </si>
  <si>
    <t xml:space="preserve">(323) 732-6682</t>
  </si>
  <si>
    <t xml:space="preserve">infocmnp@gmail.com</t>
  </si>
  <si>
    <t xml:space="preserve">1126 S Western Ave</t>
  </si>
  <si>
    <t xml:space="preserve">C46898</t>
  </si>
  <si>
    <t xml:space="preserve">608678</t>
  </si>
  <si>
    <t xml:space="preserve">458248</t>
  </si>
  <si>
    <t xml:space="preserve">200158</t>
  </si>
  <si>
    <t xml:space="preserve">FOREVER TECH WIRELESS LLC</t>
  </si>
  <si>
    <t xml:space="preserve">Hassan Bouchenafa</t>
  </si>
  <si>
    <t xml:space="preserve">(440) 361-9205</t>
  </si>
  <si>
    <t xml:space="preserve">hassan@forevertechwireless.com</t>
  </si>
  <si>
    <t xml:space="preserve">3322 Morse Rd</t>
  </si>
  <si>
    <t xml:space="preserve">Unt a</t>
  </si>
  <si>
    <t xml:space="preserve">43231</t>
  </si>
  <si>
    <t xml:space="preserve">C48843</t>
  </si>
  <si>
    <t xml:space="preserve">620832</t>
  </si>
  <si>
    <t xml:space="preserve">470741</t>
  </si>
  <si>
    <t xml:space="preserve">200122</t>
  </si>
  <si>
    <t xml:space="preserve">Goldcrafters</t>
  </si>
  <si>
    <t xml:space="preserve">Mark Kim</t>
  </si>
  <si>
    <t xml:space="preserve">(410) 362-7110</t>
  </si>
  <si>
    <t xml:space="preserve">mkdk63052@gmail.com</t>
  </si>
  <si>
    <t xml:space="preserve">2423 Frederick Ave</t>
  </si>
  <si>
    <t xml:space="preserve">21223</t>
  </si>
  <si>
    <t xml:space="preserve">C50132</t>
  </si>
  <si>
    <t xml:space="preserve">604955</t>
  </si>
  <si>
    <t xml:space="preserve">454770</t>
  </si>
  <si>
    <t xml:space="preserve">200058</t>
  </si>
  <si>
    <t xml:space="preserve">Flash Mobile</t>
  </si>
  <si>
    <t xml:space="preserve">Victor Martinez</t>
  </si>
  <si>
    <t xml:space="preserve">(714) 541-5808</t>
  </si>
  <si>
    <t xml:space="preserve">flashmobile@sbcglobal.net</t>
  </si>
  <si>
    <t xml:space="preserve">1425 S Main St</t>
  </si>
  <si>
    <t xml:space="preserve">92707</t>
  </si>
  <si>
    <t xml:space="preserve">C48645</t>
  </si>
  <si>
    <t xml:space="preserve">618870</t>
  </si>
  <si>
    <t xml:space="preserve">469317</t>
  </si>
  <si>
    <t xml:space="preserve">200040</t>
  </si>
  <si>
    <t xml:space="preserve">Taghrid Zeto</t>
  </si>
  <si>
    <t xml:space="preserve">(619) 434-5050</t>
  </si>
  <si>
    <t xml:space="preserve">dzwireless@hotmail.com</t>
  </si>
  <si>
    <t xml:space="preserve">1247 Highland Ave</t>
  </si>
  <si>
    <t xml:space="preserve">National City</t>
  </si>
  <si>
    <t xml:space="preserve">91950</t>
  </si>
  <si>
    <t xml:space="preserve">C50097</t>
  </si>
  <si>
    <t xml:space="preserve">659561</t>
  </si>
  <si>
    <t xml:space="preserve">500567</t>
  </si>
  <si>
    <t xml:space="preserve">214132</t>
  </si>
  <si>
    <t xml:space="preserve">Canela Services LLC</t>
  </si>
  <si>
    <t xml:space="preserve">Carlos Rodriguez</t>
  </si>
  <si>
    <t xml:space="preserve">(610) 375-1333</t>
  </si>
  <si>
    <t xml:space="preserve">gonmulti007@gmail.com</t>
  </si>
  <si>
    <t xml:space="preserve">224A N 9th St</t>
  </si>
  <si>
    <t xml:space="preserve">C51800</t>
  </si>
  <si>
    <t xml:space="preserve">659196</t>
  </si>
  <si>
    <t xml:space="preserve">500192</t>
  </si>
  <si>
    <t xml:space="preserve">214014</t>
  </si>
  <si>
    <t xml:space="preserve">LV Cellfix</t>
  </si>
  <si>
    <t xml:space="preserve">Yasmani Castillo</t>
  </si>
  <si>
    <t xml:space="preserve">(702) 883-4971</t>
  </si>
  <si>
    <t xml:space="preserve">lvcellfix@gmail.com</t>
  </si>
  <si>
    <t xml:space="preserve">2520 S Eastern Ave</t>
  </si>
  <si>
    <t xml:space="preserve">Ste 5</t>
  </si>
  <si>
    <t xml:space="preserve">C51760</t>
  </si>
  <si>
    <t xml:space="preserve">655150</t>
  </si>
  <si>
    <t xml:space="preserve">496300</t>
  </si>
  <si>
    <t xml:space="preserve">213151</t>
  </si>
  <si>
    <t xml:space="preserve">Antonio's Wireless</t>
  </si>
  <si>
    <t xml:space="preserve">Antonio Avila</t>
  </si>
  <si>
    <t xml:space="preserve">(503) 330-6273</t>
  </si>
  <si>
    <t xml:space="preserve">antonioswireless@aol.com</t>
  </si>
  <si>
    <t xml:space="preserve">19220 SE STARK ST</t>
  </si>
  <si>
    <t xml:space="preserve">PORTLAND</t>
  </si>
  <si>
    <t xml:space="preserve">97233</t>
  </si>
  <si>
    <t xml:space="preserve">C51516</t>
  </si>
  <si>
    <t xml:space="preserve">654776</t>
  </si>
  <si>
    <t xml:space="preserve">495927</t>
  </si>
  <si>
    <t xml:space="preserve">213066</t>
  </si>
  <si>
    <t xml:space="preserve">Fabio Restrepo</t>
  </si>
  <si>
    <t xml:space="preserve">(773) 649-9519</t>
  </si>
  <si>
    <t xml:space="preserve">fabiorestrepo@hotmail.com</t>
  </si>
  <si>
    <t xml:space="preserve">1742 W Chicago Ave</t>
  </si>
  <si>
    <t xml:space="preserve">60622</t>
  </si>
  <si>
    <t xml:space="preserve">C48960</t>
  </si>
  <si>
    <t xml:space="preserve">646570</t>
  </si>
  <si>
    <t xml:space="preserve">487908</t>
  </si>
  <si>
    <t xml:space="preserve">211492</t>
  </si>
  <si>
    <t xml:space="preserve">XR Wireless Corp</t>
  </si>
  <si>
    <t xml:space="preserve">Yuexin Tan</t>
  </si>
  <si>
    <t xml:space="preserve">(929) 699-1628</t>
  </si>
  <si>
    <t xml:space="preserve">yuexintan91@gmail.com</t>
  </si>
  <si>
    <t xml:space="preserve">6508 20th Ave</t>
  </si>
  <si>
    <t xml:space="preserve">C51006</t>
  </si>
  <si>
    <t xml:space="preserve">635439</t>
  </si>
  <si>
    <t xml:space="preserve">481906</t>
  </si>
  <si>
    <t xml:space="preserve">209508</t>
  </si>
  <si>
    <t xml:space="preserve">MP Wireless Group LLC</t>
  </si>
  <si>
    <t xml:space="preserve">Mahesh Poudyal</t>
  </si>
  <si>
    <t xml:space="preserve">(817) 494-3668</t>
  </si>
  <si>
    <t xml:space="preserve">Slickphonerepair76039@gmail.com</t>
  </si>
  <si>
    <t xml:space="preserve">606 N Industrial BLVD</t>
  </si>
  <si>
    <t xml:space="preserve">Euless</t>
  </si>
  <si>
    <t xml:space="preserve">76039</t>
  </si>
  <si>
    <t xml:space="preserve">C50815</t>
  </si>
  <si>
    <t xml:space="preserve">661914</t>
  </si>
  <si>
    <t xml:space="preserve">502937</t>
  </si>
  <si>
    <t xml:space="preserve">215141</t>
  </si>
  <si>
    <t xml:space="preserve">Da Technology Inc</t>
  </si>
  <si>
    <t xml:space="preserve">Dhiraj Anand</t>
  </si>
  <si>
    <t xml:space="preserve">(516) 864-7111</t>
  </si>
  <si>
    <t xml:space="preserve">dtechnhp@gmail.com</t>
  </si>
  <si>
    <t xml:space="preserve">401 Jericho Turnpike</t>
  </si>
  <si>
    <t xml:space="preserve">New Hyde Park</t>
  </si>
  <si>
    <t xml:space="preserve">11040</t>
  </si>
  <si>
    <t xml:space="preserve">C53736</t>
  </si>
  <si>
    <t xml:space="preserve">215137</t>
  </si>
  <si>
    <t xml:space="preserve">BSN Investments Inc.</t>
  </si>
  <si>
    <t xml:space="preserve">Mohammad Naeem</t>
  </si>
  <si>
    <t xml:space="preserve">1100 E Mulberry St</t>
  </si>
  <si>
    <t xml:space="preserve">Suite F</t>
  </si>
  <si>
    <t xml:space="preserve">Angleton</t>
  </si>
  <si>
    <t xml:space="preserve">77515</t>
  </si>
  <si>
    <t xml:space="preserve">NOT IN NETSUITE</t>
  </si>
  <si>
    <t xml:space="preserve">214534</t>
  </si>
  <si>
    <t xml:space="preserve">Sparks Cellular</t>
  </si>
  <si>
    <t xml:space="preserve">Renish Ali Merani</t>
  </si>
  <si>
    <t xml:space="preserve">9617 S Gessner Rd</t>
  </si>
  <si>
    <t xml:space="preserve">214430</t>
  </si>
  <si>
    <t xml:space="preserve">Rosenberg Quick Stop</t>
  </si>
  <si>
    <t xml:space="preserve">Syeda Farheen</t>
  </si>
  <si>
    <t xml:space="preserve">2623 1st St</t>
  </si>
  <si>
    <t xml:space="preserve">661922</t>
  </si>
  <si>
    <t xml:space="preserve">502945</t>
  </si>
  <si>
    <t xml:space="preserve">214429</t>
  </si>
  <si>
    <t xml:space="preserve">Pink Wireless LLC</t>
  </si>
  <si>
    <t xml:space="preserve">(346) 545-1721</t>
  </si>
  <si>
    <t xml:space="preserve">7768A W Bellfort Ave</t>
  </si>
  <si>
    <t xml:space="preserve">Ste 4</t>
  </si>
  <si>
    <t xml:space="preserve">661115</t>
  </si>
  <si>
    <t xml:space="preserve">502133</t>
  </si>
  <si>
    <t xml:space="preserve">214428</t>
  </si>
  <si>
    <t xml:space="preserve">Indy Cellphones</t>
  </si>
  <si>
    <t xml:space="preserve">Balal H Rizvi</t>
  </si>
  <si>
    <t xml:space="preserve">(317) 529-4044</t>
  </si>
  <si>
    <t xml:space="preserve">indycellphones@gmail.com</t>
  </si>
  <si>
    <t xml:space="preserve">10202 E Washington St</t>
  </si>
  <si>
    <t xml:space="preserve">640</t>
  </si>
  <si>
    <t xml:space="preserve">46229</t>
  </si>
  <si>
    <t xml:space="preserve">C53718</t>
  </si>
  <si>
    <t xml:space="preserve">661147</t>
  </si>
  <si>
    <t xml:space="preserve">502167</t>
  </si>
  <si>
    <t xml:space="preserve">214426</t>
  </si>
  <si>
    <t xml:space="preserve">Galaxy Cell and Repair</t>
  </si>
  <si>
    <t xml:space="preserve">Rizwan Makhani</t>
  </si>
  <si>
    <t xml:space="preserve">(740) 719-0171</t>
  </si>
  <si>
    <t xml:space="preserve">galaxycelltx@gmail.com</t>
  </si>
  <si>
    <t xml:space="preserve">1331 Bandera Rd</t>
  </si>
  <si>
    <t xml:space="preserve">Ste 120</t>
  </si>
  <si>
    <t xml:space="preserve">78228</t>
  </si>
  <si>
    <t xml:space="preserve">C53719</t>
  </si>
  <si>
    <t xml:space="preserve">214403</t>
  </si>
  <si>
    <t xml:space="preserve">RBH Enterprises LLC</t>
  </si>
  <si>
    <t xml:space="preserve">Sebastian Hallak</t>
  </si>
  <si>
    <t xml:space="preserve">1265 Avocado Ave</t>
  </si>
  <si>
    <t xml:space="preserve">El Cajon</t>
  </si>
  <si>
    <t xml:space="preserve">92020</t>
  </si>
  <si>
    <t xml:space="preserve">214381</t>
  </si>
  <si>
    <t xml:space="preserve">Wireless Discount LLC</t>
  </si>
  <si>
    <t xml:space="preserve">Rafi Dadi</t>
  </si>
  <si>
    <t xml:space="preserve">2134 Woodson Rd</t>
  </si>
  <si>
    <t xml:space="preserve">63114</t>
  </si>
  <si>
    <t xml:space="preserve">660766</t>
  </si>
  <si>
    <t xml:space="preserve">501779</t>
  </si>
  <si>
    <t xml:space="preserve">214379</t>
  </si>
  <si>
    <t xml:space="preserve">One Stop Cellphone Shop</t>
  </si>
  <si>
    <t xml:space="preserve">Breanna Bartolotti</t>
  </si>
  <si>
    <t xml:space="preserve">(928) 758-6300</t>
  </si>
  <si>
    <t xml:space="preserve">onestopcellphoneshop@usa.com</t>
  </si>
  <si>
    <t xml:space="preserve">2636 Hwy 95</t>
  </si>
  <si>
    <t xml:space="preserve">Ste 60</t>
  </si>
  <si>
    <t xml:space="preserve">Bullhead City</t>
  </si>
  <si>
    <t xml:space="preserve">86442</t>
  </si>
  <si>
    <t xml:space="preserve">C53705</t>
  </si>
  <si>
    <t xml:space="preserve">214346</t>
  </si>
  <si>
    <t xml:space="preserve">El Bocca</t>
  </si>
  <si>
    <t xml:space="preserve">Salman Somani</t>
  </si>
  <si>
    <t xml:space="preserve">6941 San Pedro Ave</t>
  </si>
  <si>
    <t xml:space="preserve">78216</t>
  </si>
  <si>
    <t xml:space="preserve">660769</t>
  </si>
  <si>
    <t xml:space="preserve">501782</t>
  </si>
  <si>
    <t xml:space="preserve">214335</t>
  </si>
  <si>
    <t xml:space="preserve">Bangla Bazar INC</t>
  </si>
  <si>
    <t xml:space="preserve">MD Hossain</t>
  </si>
  <si>
    <t xml:space="preserve">(215) 393-8000</t>
  </si>
  <si>
    <t xml:space="preserve">banglabazar1745@gmail.com</t>
  </si>
  <si>
    <t xml:space="preserve">1745 N Broad St</t>
  </si>
  <si>
    <t xml:space="preserve">Lansdale</t>
  </si>
  <si>
    <t xml:space="preserve">19446</t>
  </si>
  <si>
    <t xml:space="preserve">C53700</t>
  </si>
  <si>
    <t xml:space="preserve">660694</t>
  </si>
  <si>
    <t xml:space="preserve">214333</t>
  </si>
  <si>
    <t xml:space="preserve">Talk N Fix</t>
  </si>
  <si>
    <t xml:space="preserve">Amer H Quraishi</t>
  </si>
  <si>
    <t xml:space="preserve">(815) 919-9690</t>
  </si>
  <si>
    <t xml:space="preserve">prismwireless786@gmail.com</t>
  </si>
  <si>
    <t xml:space="preserve">3340 Mall Loop Dr</t>
  </si>
  <si>
    <t xml:space="preserve">Ste 1356</t>
  </si>
  <si>
    <t xml:space="preserve">Joliet</t>
  </si>
  <si>
    <t xml:space="preserve">60431</t>
  </si>
  <si>
    <t xml:space="preserve">C53693</t>
  </si>
  <si>
    <t xml:space="preserve">660774</t>
  </si>
  <si>
    <t xml:space="preserve">501787</t>
  </si>
  <si>
    <t xml:space="preserve">214332</t>
  </si>
  <si>
    <t xml:space="preserve">Walman Enterprise, Inc</t>
  </si>
  <si>
    <t xml:space="preserve">Rafir Rajabali Bhimani</t>
  </si>
  <si>
    <t xml:space="preserve">4454 Hemphill St</t>
  </si>
  <si>
    <t xml:space="preserve">660727</t>
  </si>
  <si>
    <t xml:space="preserve">501740</t>
  </si>
  <si>
    <t xml:space="preserve">214324</t>
  </si>
  <si>
    <t xml:space="preserve">Shafter Wireless</t>
  </si>
  <si>
    <t xml:space="preserve">Albert Ceballos</t>
  </si>
  <si>
    <t xml:space="preserve">dollardiscount123@hotmail.com</t>
  </si>
  <si>
    <t xml:space="preserve">200 Central Ave</t>
  </si>
  <si>
    <t xml:space="preserve">#A</t>
  </si>
  <si>
    <t xml:space="preserve">Shafter</t>
  </si>
  <si>
    <t xml:space="preserve">Ca</t>
  </si>
  <si>
    <t xml:space="preserve">93263</t>
  </si>
  <si>
    <t xml:space="preserve">C53696</t>
  </si>
  <si>
    <t xml:space="preserve">660668</t>
  </si>
  <si>
    <t xml:space="preserve">501681</t>
  </si>
  <si>
    <t xml:space="preserve">214315</t>
  </si>
  <si>
    <t xml:space="preserve">Cellular 4 Everyone</t>
  </si>
  <si>
    <t xml:space="preserve">Azam Khan</t>
  </si>
  <si>
    <t xml:space="preserve">(832) 710-8763</t>
  </si>
  <si>
    <t xml:space="preserve">cellular4everyone@gmail.com</t>
  </si>
  <si>
    <t xml:space="preserve">5502 North Fwy</t>
  </si>
  <si>
    <t xml:space="preserve">C53691</t>
  </si>
  <si>
    <t xml:space="preserve">660655</t>
  </si>
  <si>
    <t xml:space="preserve">501668</t>
  </si>
  <si>
    <t xml:space="preserve">214310</t>
  </si>
  <si>
    <t xml:space="preserve">Zama's Electronics</t>
  </si>
  <si>
    <t xml:space="preserve">Angela Aguilar</t>
  </si>
  <si>
    <t xml:space="preserve">(973) 272-9201</t>
  </si>
  <si>
    <t xml:space="preserve">zamazoila@gmail.com</t>
  </si>
  <si>
    <t xml:space="preserve">296 Monroe St</t>
  </si>
  <si>
    <t xml:space="preserve">Passaic</t>
  </si>
  <si>
    <t xml:space="preserve">07055</t>
  </si>
  <si>
    <t xml:space="preserve">C53688</t>
  </si>
  <si>
    <t xml:space="preserve">660648</t>
  </si>
  <si>
    <t xml:space="preserve">501661</t>
  </si>
  <si>
    <t xml:space="preserve">214309</t>
  </si>
  <si>
    <t xml:space="preserve">Fast Wireless LLC</t>
  </si>
  <si>
    <t xml:space="preserve">Silmi Abusalah</t>
  </si>
  <si>
    <t xml:space="preserve">silmi_it@hotmail.com</t>
  </si>
  <si>
    <t xml:space="preserve">3328 N Foster Dr</t>
  </si>
  <si>
    <t xml:space="preserve">70805</t>
  </si>
  <si>
    <t xml:space="preserve">C53683</t>
  </si>
  <si>
    <t xml:space="preserve">660535</t>
  </si>
  <si>
    <t xml:space="preserve">501544</t>
  </si>
  <si>
    <t xml:space="preserve">214306</t>
  </si>
  <si>
    <t xml:space="preserve">Celltech Wireless Express</t>
  </si>
  <si>
    <t xml:space="preserve">Jose Angel Cardenas</t>
  </si>
  <si>
    <t xml:space="preserve">(956) 333-3000</t>
  </si>
  <si>
    <t xml:space="preserve">eamaro@right2repair.co</t>
  </si>
  <si>
    <t xml:space="preserve">3120 N Arkansas Ave</t>
  </si>
  <si>
    <t xml:space="preserve">Ste 3</t>
  </si>
  <si>
    <t xml:space="preserve">78043</t>
  </si>
  <si>
    <t xml:space="preserve">C53678</t>
  </si>
  <si>
    <t xml:space="preserve">660539</t>
  </si>
  <si>
    <t xml:space="preserve">501548</t>
  </si>
  <si>
    <t xml:space="preserve">214305</t>
  </si>
  <si>
    <t xml:space="preserve">Wireless Depot</t>
  </si>
  <si>
    <t xml:space="preserve">Md Mamun</t>
  </si>
  <si>
    <t xml:space="preserve">(516) 871-0180</t>
  </si>
  <si>
    <t xml:space="preserve">wirelessdepotny@gmail.com</t>
  </si>
  <si>
    <t xml:space="preserve">20411 Hollis Ave</t>
  </si>
  <si>
    <t xml:space="preserve">11412</t>
  </si>
  <si>
    <t xml:space="preserve">C53675</t>
  </si>
  <si>
    <t xml:space="preserve">660633</t>
  </si>
  <si>
    <t xml:space="preserve">501643</t>
  </si>
  <si>
    <t xml:space="preserve">214304</t>
  </si>
  <si>
    <t xml:space="preserve">Chokhlei Mobile Store</t>
  </si>
  <si>
    <t xml:space="preserve">Van Tha Ceu</t>
  </si>
  <si>
    <t xml:space="preserve">(317) 515-1581</t>
  </si>
  <si>
    <t xml:space="preserve">chokhleimobilestore@gmail.com</t>
  </si>
  <si>
    <t xml:space="preserve">7490 Madison Ave</t>
  </si>
  <si>
    <t xml:space="preserve">C53686</t>
  </si>
  <si>
    <t xml:space="preserve">214303</t>
  </si>
  <si>
    <t xml:space="preserve">T Bees Screens</t>
  </si>
  <si>
    <t xml:space="preserve">Tyrus Bell</t>
  </si>
  <si>
    <t xml:space="preserve">8537 Greenwell Springs Rd</t>
  </si>
  <si>
    <t xml:space="preserve">70814</t>
  </si>
  <si>
    <t xml:space="preserve">660618</t>
  </si>
  <si>
    <t xml:space="preserve">501627</t>
  </si>
  <si>
    <t xml:space="preserve">214299</t>
  </si>
  <si>
    <t xml:space="preserve">JW Wireless LLC</t>
  </si>
  <si>
    <t xml:space="preserve">William-Bao Qouk Nguyen</t>
  </si>
  <si>
    <t xml:space="preserve">(657) 230-8818</t>
  </si>
  <si>
    <t xml:space="preserve">will@wireless-communications.net</t>
  </si>
  <si>
    <t xml:space="preserve">3004 W Lincoln Ave</t>
  </si>
  <si>
    <t xml:space="preserve">C53684</t>
  </si>
  <si>
    <t xml:space="preserve">660551</t>
  </si>
  <si>
    <t xml:space="preserve">501560</t>
  </si>
  <si>
    <t xml:space="preserve">214297</t>
  </si>
  <si>
    <t xml:space="preserve">Diango Servicell LLC</t>
  </si>
  <si>
    <t xml:space="preserve">Diango Diaz</t>
  </si>
  <si>
    <t xml:space="preserve">(551) 758-8889</t>
  </si>
  <si>
    <t xml:space="preserve">diangowireless@gmail.com</t>
  </si>
  <si>
    <t xml:space="preserve">3704 Bergenline Ave</t>
  </si>
  <si>
    <t xml:space="preserve">Union City</t>
  </si>
  <si>
    <t xml:space="preserve">07087</t>
  </si>
  <si>
    <t xml:space="preserve">C53680</t>
  </si>
  <si>
    <t xml:space="preserve">660565</t>
  </si>
  <si>
    <t xml:space="preserve">501574</t>
  </si>
  <si>
    <t xml:space="preserve">214290</t>
  </si>
  <si>
    <t xml:space="preserve">La Madrina</t>
  </si>
  <si>
    <t xml:space="preserve">Ana Reyes Moreno</t>
  </si>
  <si>
    <t xml:space="preserve">(337) 388-1106</t>
  </si>
  <si>
    <t xml:space="preserve">lagloriatym@gmail.com</t>
  </si>
  <si>
    <t xml:space="preserve">806 The Blvd</t>
  </si>
  <si>
    <t xml:space="preserve">Rayne</t>
  </si>
  <si>
    <t xml:space="preserve">70578</t>
  </si>
  <si>
    <t xml:space="preserve">C53679</t>
  </si>
  <si>
    <t xml:space="preserve">660512</t>
  </si>
  <si>
    <t xml:space="preserve">501520</t>
  </si>
  <si>
    <t xml:space="preserve">214283</t>
  </si>
  <si>
    <t xml:space="preserve">Omsharda Inc</t>
  </si>
  <si>
    <t xml:space="preserve">Maya Sutaria</t>
  </si>
  <si>
    <t xml:space="preserve">mayasutaria@yahoo.com</t>
  </si>
  <si>
    <t xml:space="preserve">217-03 Jamaica Ave</t>
  </si>
  <si>
    <t xml:space="preserve">C53671</t>
  </si>
  <si>
    <t xml:space="preserve">660445</t>
  </si>
  <si>
    <t xml:space="preserve">501454</t>
  </si>
  <si>
    <t xml:space="preserve">214273</t>
  </si>
  <si>
    <t xml:space="preserve">Pay Less Wireless Inc</t>
  </si>
  <si>
    <t xml:space="preserve">Adib Kittana</t>
  </si>
  <si>
    <t xml:space="preserve">paylesswirelessone@gmail.com</t>
  </si>
  <si>
    <t xml:space="preserve">8030 S Cicero Ave</t>
  </si>
  <si>
    <t xml:space="preserve">Burbank</t>
  </si>
  <si>
    <t xml:space="preserve">60459</t>
  </si>
  <si>
    <t xml:space="preserve">C53668</t>
  </si>
  <si>
    <t xml:space="preserve">214269</t>
  </si>
  <si>
    <t xml:space="preserve">D And C Wireless</t>
  </si>
  <si>
    <t xml:space="preserve">Daniel Joseph Reta</t>
  </si>
  <si>
    <t xml:space="preserve">(442) 442-1535</t>
  </si>
  <si>
    <t xml:space="preserve">ultracorina24@gmail.com</t>
  </si>
  <si>
    <t xml:space="preserve">262 Main St</t>
  </si>
  <si>
    <t xml:space="preserve">Brawley</t>
  </si>
  <si>
    <t xml:space="preserve">92227</t>
  </si>
  <si>
    <t xml:space="preserve">C51230</t>
  </si>
  <si>
    <t xml:space="preserve">660041</t>
  </si>
  <si>
    <t xml:space="preserve">501045</t>
  </si>
  <si>
    <t xml:space="preserve">214261</t>
  </si>
  <si>
    <t xml:space="preserve">Fremont Phone Repair LLC</t>
  </si>
  <si>
    <t xml:space="preserve">Mohammad Walizada</t>
  </si>
  <si>
    <t xml:space="preserve">(510) 573-3566</t>
  </si>
  <si>
    <t xml:space="preserve">phonerepairinfremont@gmail.com</t>
  </si>
  <si>
    <t xml:space="preserve">40919 Fremont Blvd</t>
  </si>
  <si>
    <t xml:space="preserve">94538</t>
  </si>
  <si>
    <t xml:space="preserve">C53640</t>
  </si>
  <si>
    <t xml:space="preserve">660352</t>
  </si>
  <si>
    <t xml:space="preserve">501361</t>
  </si>
  <si>
    <t xml:space="preserve">214259</t>
  </si>
  <si>
    <t xml:space="preserve">S&amp;Y Tech Repairs Corp</t>
  </si>
  <si>
    <t xml:space="preserve">Yadira Anahy Jo Leonardo</t>
  </si>
  <si>
    <t xml:space="preserve">(708) 493-4242</t>
  </si>
  <si>
    <t xml:space="preserve">anahydeyon@gmail.com</t>
  </si>
  <si>
    <t xml:space="preserve">1505 W Lake St</t>
  </si>
  <si>
    <t xml:space="preserve">Melrose Park</t>
  </si>
  <si>
    <t xml:space="preserve">60160</t>
  </si>
  <si>
    <t xml:space="preserve">C53666</t>
  </si>
  <si>
    <t xml:space="preserve">645656</t>
  </si>
  <si>
    <t xml:space="preserve">487037</t>
  </si>
  <si>
    <t xml:space="preserve">214258</t>
  </si>
  <si>
    <t xml:space="preserve">Fish &amp; Wingz</t>
  </si>
  <si>
    <t xml:space="preserve">Ki Young Choi</t>
  </si>
  <si>
    <t xml:space="preserve">(317) 895-0015</t>
  </si>
  <si>
    <t xml:space="preserve">kibay1@hotmail.com</t>
  </si>
  <si>
    <t xml:space="preserve">9002 E 42nd St</t>
  </si>
  <si>
    <t xml:space="preserve">46235</t>
  </si>
  <si>
    <t xml:space="preserve">C53672</t>
  </si>
  <si>
    <t xml:space="preserve">660241</t>
  </si>
  <si>
    <t xml:space="preserve">501249</t>
  </si>
  <si>
    <t xml:space="preserve">214255</t>
  </si>
  <si>
    <t xml:space="preserve">Mr Cell Repair Inc</t>
  </si>
  <si>
    <t xml:space="preserve">Cesar Roque</t>
  </si>
  <si>
    <t xml:space="preserve">(914) 874-5700</t>
  </si>
  <si>
    <t xml:space="preserve">1800fixexpress@gmail.com</t>
  </si>
  <si>
    <t xml:space="preserve">1111 Central Park Ave</t>
  </si>
  <si>
    <t xml:space="preserve">Scarsdale</t>
  </si>
  <si>
    <t xml:space="preserve">10583</t>
  </si>
  <si>
    <t xml:space="preserve">C53658</t>
  </si>
  <si>
    <t xml:space="preserve">214254</t>
  </si>
  <si>
    <t xml:space="preserve">Borjas Communication</t>
  </si>
  <si>
    <t xml:space="preserve">Gerardo Borjas</t>
  </si>
  <si>
    <t xml:space="preserve">4600 S Penn Ave</t>
  </si>
  <si>
    <t xml:space="preserve">Oklahoma City</t>
  </si>
  <si>
    <t xml:space="preserve">OK</t>
  </si>
  <si>
    <t xml:space="preserve">73119</t>
  </si>
  <si>
    <t xml:space="preserve">660131</t>
  </si>
  <si>
    <t xml:space="preserve">501139</t>
  </si>
  <si>
    <t xml:space="preserve">214248</t>
  </si>
  <si>
    <t xml:space="preserve">809 Smoke Shop</t>
  </si>
  <si>
    <t xml:space="preserve">Javier De Los Santos</t>
  </si>
  <si>
    <t xml:space="preserve">(978) 530-4035</t>
  </si>
  <si>
    <t xml:space="preserve">javimultiservice@gmail.com</t>
  </si>
  <si>
    <t xml:space="preserve">727 Dudley St</t>
  </si>
  <si>
    <t xml:space="preserve">Dorchester</t>
  </si>
  <si>
    <t xml:space="preserve">02125</t>
  </si>
  <si>
    <t xml:space="preserve">C53649</t>
  </si>
  <si>
    <t xml:space="preserve">660301</t>
  </si>
  <si>
    <t xml:space="preserve">501309</t>
  </si>
  <si>
    <t xml:space="preserve">214247</t>
  </si>
  <si>
    <t xml:space="preserve">GEO Wireless</t>
  </si>
  <si>
    <t xml:space="preserve">Olivia Lopez</t>
  </si>
  <si>
    <t xml:space="preserve">(956) 659-3719</t>
  </si>
  <si>
    <t xml:space="preserve">oli_nanin20@hotmail.com</t>
  </si>
  <si>
    <t xml:space="preserve">1112 S 23rd St</t>
  </si>
  <si>
    <t xml:space="preserve">C53663</t>
  </si>
  <si>
    <t xml:space="preserve">660310</t>
  </si>
  <si>
    <t xml:space="preserve">501318</t>
  </si>
  <si>
    <t xml:space="preserve">214245</t>
  </si>
  <si>
    <t xml:space="preserve">Infinite Net, LLC</t>
  </si>
  <si>
    <t xml:space="preserve">Jose A Garcia</t>
  </si>
  <si>
    <t xml:space="preserve">(956) 706-1494</t>
  </si>
  <si>
    <t xml:space="preserve">jgarcia051120@gmail.com</t>
  </si>
  <si>
    <t xml:space="preserve">1708 N Tower Rd</t>
  </si>
  <si>
    <t xml:space="preserve">Alamo</t>
  </si>
  <si>
    <t xml:space="preserve">78516</t>
  </si>
  <si>
    <t xml:space="preserve">C53662</t>
  </si>
  <si>
    <t xml:space="preserve">660231</t>
  </si>
  <si>
    <t xml:space="preserve">501239</t>
  </si>
  <si>
    <t xml:space="preserve">214244</t>
  </si>
  <si>
    <t xml:space="preserve">Smart Phone Medic 1</t>
  </si>
  <si>
    <t xml:space="preserve">Veronica Barrera</t>
  </si>
  <si>
    <t xml:space="preserve">(956) 630-0889</t>
  </si>
  <si>
    <t xml:space="preserve">smartphonemedic1@hotmail.com</t>
  </si>
  <si>
    <t xml:space="preserve">2901 N 23rd St</t>
  </si>
  <si>
    <t xml:space="preserve">Ste 9</t>
  </si>
  <si>
    <t xml:space="preserve">C53654</t>
  </si>
  <si>
    <t xml:space="preserve">660238</t>
  </si>
  <si>
    <t xml:space="preserve">501246</t>
  </si>
  <si>
    <t xml:space="preserve">214243</t>
  </si>
  <si>
    <t xml:space="preserve">Desert Cell LLC</t>
  </si>
  <si>
    <t xml:space="preserve">Ulisses Mendoza</t>
  </si>
  <si>
    <t xml:space="preserve">(623) 247-0669</t>
  </si>
  <si>
    <t xml:space="preserve">proxpresssolutions@gmail.com</t>
  </si>
  <si>
    <t xml:space="preserve">8204 W Indian School Rd</t>
  </si>
  <si>
    <t xml:space="preserve">C53657</t>
  </si>
  <si>
    <t xml:space="preserve">660228</t>
  </si>
  <si>
    <t xml:space="preserve">501236</t>
  </si>
  <si>
    <t xml:space="preserve">214240</t>
  </si>
  <si>
    <t xml:space="preserve">Luna I Phone Repair LLC</t>
  </si>
  <si>
    <t xml:space="preserve">Jose Luna</t>
  </si>
  <si>
    <t xml:space="preserve">(956) 322-5075</t>
  </si>
  <si>
    <t xml:space="preserve">jose05luna24@gmail.com</t>
  </si>
  <si>
    <t xml:space="preserve">2600 Pecan Blvd</t>
  </si>
  <si>
    <t xml:space="preserve">C53653</t>
  </si>
  <si>
    <t xml:space="preserve">660239</t>
  </si>
  <si>
    <t xml:space="preserve">501247</t>
  </si>
  <si>
    <t xml:space="preserve">214239</t>
  </si>
  <si>
    <t xml:space="preserve">CELL 99 LLC</t>
  </si>
  <si>
    <t xml:space="preserve">SYED MAKSUDUR RAHMAN</t>
  </si>
  <si>
    <t xml:space="preserve">(602) 796-4944</t>
  </si>
  <si>
    <t xml:space="preserve">CELL99ORG@GMAIL.COM</t>
  </si>
  <si>
    <t xml:space="preserve">5270 N 59th Ave</t>
  </si>
  <si>
    <t xml:space="preserve">Ste 9-10</t>
  </si>
  <si>
    <t xml:space="preserve">85301</t>
  </si>
  <si>
    <t xml:space="preserve">C53659</t>
  </si>
  <si>
    <t xml:space="preserve">660120</t>
  </si>
  <si>
    <t xml:space="preserve">501128</t>
  </si>
  <si>
    <t xml:space="preserve">214235</t>
  </si>
  <si>
    <t xml:space="preserve">Hurry Working LLC</t>
  </si>
  <si>
    <t xml:space="preserve">Natasha T Johnson</t>
  </si>
  <si>
    <t xml:space="preserve">(472) 999-4845</t>
  </si>
  <si>
    <t xml:space="preserve">hurryworking@gmail.com</t>
  </si>
  <si>
    <t xml:space="preserve">2520 E Ash St</t>
  </si>
  <si>
    <t xml:space="preserve">Goldsboro</t>
  </si>
  <si>
    <t xml:space="preserve">27530</t>
  </si>
  <si>
    <t xml:space="preserve">C53647</t>
  </si>
  <si>
    <t xml:space="preserve">660016</t>
  </si>
  <si>
    <t xml:space="preserve">501020</t>
  </si>
  <si>
    <t xml:space="preserve">214234</t>
  </si>
  <si>
    <t xml:space="preserve">TODAYPCTECH</t>
  </si>
  <si>
    <t xml:space="preserve">Marino Leclerc</t>
  </si>
  <si>
    <t xml:space="preserve">(610) 241-8989</t>
  </si>
  <si>
    <t xml:space="preserve">todaypctech@gmail.com</t>
  </si>
  <si>
    <t xml:space="preserve">15 N 9th St</t>
  </si>
  <si>
    <t xml:space="preserve">C53632</t>
  </si>
  <si>
    <t xml:space="preserve">660029</t>
  </si>
  <si>
    <t xml:space="preserve">501033</t>
  </si>
  <si>
    <t xml:space="preserve">214232</t>
  </si>
  <si>
    <t xml:space="preserve">The Phone Plugz LLC</t>
  </si>
  <si>
    <t xml:space="preserve">Arafath Hossain</t>
  </si>
  <si>
    <t xml:space="preserve">(215) 595-2212</t>
  </si>
  <si>
    <t xml:space="preserve">thephoneplugz1@gmail.com</t>
  </si>
  <si>
    <t xml:space="preserve">7331 Frankford Ave</t>
  </si>
  <si>
    <t xml:space="preserve">19136</t>
  </si>
  <si>
    <t xml:space="preserve">C53635</t>
  </si>
  <si>
    <t xml:space="preserve">660101</t>
  </si>
  <si>
    <t xml:space="preserve">501109</t>
  </si>
  <si>
    <t xml:space="preserve">214228</t>
  </si>
  <si>
    <t xml:space="preserve">Orchard LLC</t>
  </si>
  <si>
    <t xml:space="preserve">Mohamed Jamaldeenahameed</t>
  </si>
  <si>
    <t xml:space="preserve">(917) 419-3342</t>
  </si>
  <si>
    <t xml:space="preserve">orchadllc@gmail.com</t>
  </si>
  <si>
    <t xml:space="preserve">860 Farmington Ave</t>
  </si>
  <si>
    <t xml:space="preserve">Farmington</t>
  </si>
  <si>
    <t xml:space="preserve">06032</t>
  </si>
  <si>
    <t xml:space="preserve">C53644</t>
  </si>
  <si>
    <t xml:space="preserve">660103</t>
  </si>
  <si>
    <t xml:space="preserve">501111</t>
  </si>
  <si>
    <t xml:space="preserve">214227</t>
  </si>
  <si>
    <t xml:space="preserve">YHY LLC</t>
  </si>
  <si>
    <t xml:space="preserve">yhyllc369@gmail.com</t>
  </si>
  <si>
    <t xml:space="preserve">625 Wolcott St</t>
  </si>
  <si>
    <t xml:space="preserve">Ste 10</t>
  </si>
  <si>
    <t xml:space="preserve">C53645</t>
  </si>
  <si>
    <t xml:space="preserve">660210</t>
  </si>
  <si>
    <t xml:space="preserve">501218</t>
  </si>
  <si>
    <t xml:space="preserve">214226</t>
  </si>
  <si>
    <t xml:space="preserve">T P Iphone Service</t>
  </si>
  <si>
    <t xml:space="preserve">Steven Nguyen</t>
  </si>
  <si>
    <t xml:space="preserve">(714) 677-7072</t>
  </si>
  <si>
    <t xml:space="preserve">Thuocbo@yahoo.com</t>
  </si>
  <si>
    <t xml:space="preserve">10475 Bolsa Ave</t>
  </si>
  <si>
    <t xml:space="preserve">Westminster</t>
  </si>
  <si>
    <t xml:space="preserve">92683</t>
  </si>
  <si>
    <t xml:space="preserve">C53652</t>
  </si>
  <si>
    <t xml:space="preserve">660033</t>
  </si>
  <si>
    <t xml:space="preserve">501037</t>
  </si>
  <si>
    <t xml:space="preserve">214220</t>
  </si>
  <si>
    <t xml:space="preserve">Rodriguez Wireless</t>
  </si>
  <si>
    <t xml:space="preserve">Carlos Roberto Rodriguez</t>
  </si>
  <si>
    <t xml:space="preserve">(832) 493-8293</t>
  </si>
  <si>
    <t xml:space="preserve">roberto2879@yahoo.com</t>
  </si>
  <si>
    <t xml:space="preserve">11339 Homestead Rd</t>
  </si>
  <si>
    <t xml:space="preserve">77016</t>
  </si>
  <si>
    <t xml:space="preserve">C53637</t>
  </si>
  <si>
    <t xml:space="preserve">660052</t>
  </si>
  <si>
    <t xml:space="preserve">501057</t>
  </si>
  <si>
    <t xml:space="preserve">214219</t>
  </si>
  <si>
    <t xml:space="preserve">VF Solution Plus</t>
  </si>
  <si>
    <t xml:space="preserve">Freddy Sosa</t>
  </si>
  <si>
    <t xml:space="preserve">(323) 797-4002</t>
  </si>
  <si>
    <t xml:space="preserve">freddyso3076@gmail.com</t>
  </si>
  <si>
    <t xml:space="preserve">7010 Pacific Blvd</t>
  </si>
  <si>
    <t xml:space="preserve">Huntington Park</t>
  </si>
  <si>
    <t xml:space="preserve">90255</t>
  </si>
  <si>
    <t xml:space="preserve">C53641</t>
  </si>
  <si>
    <t xml:space="preserve">214210</t>
  </si>
  <si>
    <t xml:space="preserve">D F Wireless - DM Inc.</t>
  </si>
  <si>
    <t xml:space="preserve">573 Keep Ave</t>
  </si>
  <si>
    <t xml:space="preserve">660057</t>
  </si>
  <si>
    <t xml:space="preserve">501062</t>
  </si>
  <si>
    <t xml:space="preserve">214205</t>
  </si>
  <si>
    <t xml:space="preserve">Bar Area Smoke Shop</t>
  </si>
  <si>
    <t xml:space="preserve">Obaidullah Tajmohammad</t>
  </si>
  <si>
    <t xml:space="preserve">(408) 694-2415</t>
  </si>
  <si>
    <t xml:space="preserve">obaidtaj1984@gmail.com</t>
  </si>
  <si>
    <t xml:space="preserve">1109 S King Rd</t>
  </si>
  <si>
    <t xml:space="preserve">San Jose</t>
  </si>
  <si>
    <t xml:space="preserve">95122</t>
  </si>
  <si>
    <t xml:space="preserve">C53642</t>
  </si>
  <si>
    <t xml:space="preserve">659971</t>
  </si>
  <si>
    <t xml:space="preserve">500976</t>
  </si>
  <si>
    <t xml:space="preserve">214202</t>
  </si>
  <si>
    <t xml:space="preserve">Secor Wireless and more</t>
  </si>
  <si>
    <t xml:space="preserve">Marcos Serrano Lopez</t>
  </si>
  <si>
    <t xml:space="preserve">(505) 730-8571</t>
  </si>
  <si>
    <t xml:space="preserve">6205 Central Ave NW</t>
  </si>
  <si>
    <t xml:space="preserve">214200</t>
  </si>
  <si>
    <t xml:space="preserve">Magic Games</t>
  </si>
  <si>
    <t xml:space="preserve">Ricardo Lopez</t>
  </si>
  <si>
    <t xml:space="preserve">659988</t>
  </si>
  <si>
    <t xml:space="preserve">500992</t>
  </si>
  <si>
    <t xml:space="preserve">214196</t>
  </si>
  <si>
    <t xml:space="preserve">M-Tech Electronics LLC</t>
  </si>
  <si>
    <t xml:space="preserve">Moner Ahmed Omari</t>
  </si>
  <si>
    <t xml:space="preserve">(209) 831-9986</t>
  </si>
  <si>
    <t xml:space="preserve">moner.omari77@gmail.com</t>
  </si>
  <si>
    <t xml:space="preserve">3200 Naglee Rd</t>
  </si>
  <si>
    <t xml:space="preserve">Ste 180</t>
  </si>
  <si>
    <t xml:space="preserve">Tracy</t>
  </si>
  <si>
    <t xml:space="preserve">95304</t>
  </si>
  <si>
    <t xml:space="preserve">C53626</t>
  </si>
  <si>
    <t xml:space="preserve">659997</t>
  </si>
  <si>
    <t xml:space="preserve">501001</t>
  </si>
  <si>
    <t xml:space="preserve">214193</t>
  </si>
  <si>
    <t xml:space="preserve">Phone Repair Shack</t>
  </si>
  <si>
    <t xml:space="preserve">Michael Tan</t>
  </si>
  <si>
    <t xml:space="preserve">(408) 908-0247</t>
  </si>
  <si>
    <t xml:space="preserve">phonerepairshack@gmail.com</t>
  </si>
  <si>
    <t xml:space="preserve">1417 Foxworth Ave</t>
  </si>
  <si>
    <t xml:space="preserve">95118</t>
  </si>
  <si>
    <t xml:space="preserve">C53627</t>
  </si>
  <si>
    <t xml:space="preserve">660002</t>
  </si>
  <si>
    <t xml:space="preserve">501006</t>
  </si>
  <si>
    <t xml:space="preserve">214191</t>
  </si>
  <si>
    <t xml:space="preserve">Hustler Smokes &amp; Phones LLC</t>
  </si>
  <si>
    <t xml:space="preserve">hustlerphones@gmail.com</t>
  </si>
  <si>
    <t xml:space="preserve">1937 Newton St</t>
  </si>
  <si>
    <t xml:space="preserve">New Orleans</t>
  </si>
  <si>
    <t xml:space="preserve">70114</t>
  </si>
  <si>
    <t xml:space="preserve">C53629</t>
  </si>
  <si>
    <t xml:space="preserve">659977</t>
  </si>
  <si>
    <t xml:space="preserve">500983</t>
  </si>
  <si>
    <t xml:space="preserve">214189</t>
  </si>
  <si>
    <t xml:space="preserve">iTech Repair</t>
  </si>
  <si>
    <t xml:space="preserve">Majdi Baker</t>
  </si>
  <si>
    <t xml:space="preserve">(708) 696-9864</t>
  </si>
  <si>
    <t xml:space="preserve">itechphone201@gmail.com</t>
  </si>
  <si>
    <t xml:space="preserve">11638 S Pulaski Rd</t>
  </si>
  <si>
    <t xml:space="preserve">Alsip</t>
  </si>
  <si>
    <t xml:space="preserve">60803</t>
  </si>
  <si>
    <t xml:space="preserve">C51782</t>
  </si>
  <si>
    <t xml:space="preserve">214182</t>
  </si>
  <si>
    <t xml:space="preserve">Boston Smart Fix LLC</t>
  </si>
  <si>
    <t xml:space="preserve">Juan Romero Ku</t>
  </si>
  <si>
    <t xml:space="preserve">248 Meridian St</t>
  </si>
  <si>
    <t xml:space="preserve">East Boston</t>
  </si>
  <si>
    <t xml:space="preserve">02128</t>
  </si>
  <si>
    <t xml:space="preserve">214177</t>
  </si>
  <si>
    <t xml:space="preserve">Lomeli's Phone Garage</t>
  </si>
  <si>
    <t xml:space="preserve">Jesus Lomeli</t>
  </si>
  <si>
    <t xml:space="preserve">211 E Highland Ave</t>
  </si>
  <si>
    <t xml:space="preserve">San Bernardino</t>
  </si>
  <si>
    <t xml:space="preserve">92404</t>
  </si>
  <si>
    <t xml:space="preserve">214174</t>
  </si>
  <si>
    <t xml:space="preserve">La Rana Loca</t>
  </si>
  <si>
    <t xml:space="preserve">Anna Rodriguez</t>
  </si>
  <si>
    <t xml:space="preserve">993 W Valley Blvd</t>
  </si>
  <si>
    <t xml:space="preserve">Rialto</t>
  </si>
  <si>
    <t xml:space="preserve">92316</t>
  </si>
  <si>
    <t xml:space="preserve">659949</t>
  </si>
  <si>
    <t xml:space="preserve">500954</t>
  </si>
  <si>
    <t xml:space="preserve">214173</t>
  </si>
  <si>
    <t xml:space="preserve">Plugged In Wireless LLC</t>
  </si>
  <si>
    <t xml:space="preserve">Karan Preet</t>
  </si>
  <si>
    <t xml:space="preserve">(253) 277-1734</t>
  </si>
  <si>
    <t xml:space="preserve">thepluggedinwireless@gmail.com</t>
  </si>
  <si>
    <t xml:space="preserve">18230 E Valley Hwy</t>
  </si>
  <si>
    <t xml:space="preserve">Ste 129</t>
  </si>
  <si>
    <t xml:space="preserve">Kent</t>
  </si>
  <si>
    <t xml:space="preserve">98032</t>
  </si>
  <si>
    <t xml:space="preserve">C53369</t>
  </si>
  <si>
    <t xml:space="preserve">214172</t>
  </si>
  <si>
    <t xml:space="preserve">Rivas cell phone repair</t>
  </si>
  <si>
    <t xml:space="preserve">Eduardo Rivas</t>
  </si>
  <si>
    <t xml:space="preserve">659872</t>
  </si>
  <si>
    <t xml:space="preserve">500878</t>
  </si>
  <si>
    <t xml:space="preserve">214170</t>
  </si>
  <si>
    <t xml:space="preserve">San Luis Services</t>
  </si>
  <si>
    <t xml:space="preserve">Abagail Hernandez</t>
  </si>
  <si>
    <t xml:space="preserve">(224) 802-8174</t>
  </si>
  <si>
    <t xml:space="preserve">yolamartinez1119@gmail.com</t>
  </si>
  <si>
    <t xml:space="preserve">14N630 IL Route 25</t>
  </si>
  <si>
    <t xml:space="preserve">Unit B</t>
  </si>
  <si>
    <t xml:space="preserve">Dundee</t>
  </si>
  <si>
    <t xml:space="preserve">C53370</t>
  </si>
  <si>
    <t xml:space="preserve">214168</t>
  </si>
  <si>
    <t xml:space="preserve">Micro Computer Cellphone Game Console Repair</t>
  </si>
  <si>
    <t xml:space="preserve">Shahnawaz Zulfiqar</t>
  </si>
  <si>
    <t xml:space="preserve">10543 S Post Oak Rd</t>
  </si>
  <si>
    <t xml:space="preserve">659936</t>
  </si>
  <si>
    <t xml:space="preserve">500941</t>
  </si>
  <si>
    <t xml:space="preserve">214167</t>
  </si>
  <si>
    <t xml:space="preserve">Vape &amp; Phones 4 U</t>
  </si>
  <si>
    <t xml:space="preserve">Samir Dhanani</t>
  </si>
  <si>
    <t xml:space="preserve">(713) 927-8439</t>
  </si>
  <si>
    <t xml:space="preserve">vapeandphones4u@gmail.com</t>
  </si>
  <si>
    <t xml:space="preserve">14110 S Post Oak Rd</t>
  </si>
  <si>
    <t xml:space="preserve">77045</t>
  </si>
  <si>
    <t xml:space="preserve">C53367</t>
  </si>
  <si>
    <t xml:space="preserve">214166</t>
  </si>
  <si>
    <t xml:space="preserve">Indian Bazaar &amp; Cafe LLC</t>
  </si>
  <si>
    <t xml:space="preserve">Arokia Sebastian</t>
  </si>
  <si>
    <t xml:space="preserve">653 Pin Oak Rd</t>
  </si>
  <si>
    <t xml:space="preserve">Katy</t>
  </si>
  <si>
    <t xml:space="preserve">77494</t>
  </si>
  <si>
    <t xml:space="preserve">659836</t>
  </si>
  <si>
    <t xml:space="preserve">500842</t>
  </si>
  <si>
    <t xml:space="preserve">214162</t>
  </si>
  <si>
    <t xml:space="preserve">Device Raptors LLC</t>
  </si>
  <si>
    <t xml:space="preserve">Rashad Tarlanov</t>
  </si>
  <si>
    <t xml:space="preserve">(860) 834-0403</t>
  </si>
  <si>
    <t xml:space="preserve">contact@deviceraptors.com</t>
  </si>
  <si>
    <t xml:space="preserve">864 N Colony Rd</t>
  </si>
  <si>
    <t xml:space="preserve">Wallingford</t>
  </si>
  <si>
    <t xml:space="preserve">06492</t>
  </si>
  <si>
    <t xml:space="preserve">C51812</t>
  </si>
  <si>
    <t xml:space="preserve">235478</t>
  </si>
  <si>
    <t xml:space="preserve">233324</t>
  </si>
  <si>
    <t xml:space="preserve">214150</t>
  </si>
  <si>
    <t xml:space="preserve">Lee's Foodland Market LLC</t>
  </si>
  <si>
    <t xml:space="preserve">Binh Le</t>
  </si>
  <si>
    <t xml:space="preserve">(520) 723-4997</t>
  </si>
  <si>
    <t xml:space="preserve">binhlepn@yahoo.com</t>
  </si>
  <si>
    <t xml:space="preserve">308 S Main St</t>
  </si>
  <si>
    <t xml:space="preserve">Coolidge</t>
  </si>
  <si>
    <t xml:space="preserve">85128</t>
  </si>
  <si>
    <t xml:space="preserve">C49214</t>
  </si>
  <si>
    <t xml:space="preserve">659591</t>
  </si>
  <si>
    <t xml:space="preserve">500597</t>
  </si>
  <si>
    <t xml:space="preserve">214143</t>
  </si>
  <si>
    <t xml:space="preserve">Dung Viet Music City</t>
  </si>
  <si>
    <t xml:space="preserve">Viet A Bui</t>
  </si>
  <si>
    <t xml:space="preserve">(267) 367-3959</t>
  </si>
  <si>
    <t xml:space="preserve">dungvietmusic1@yahoo.com</t>
  </si>
  <si>
    <t xml:space="preserve">5520 Whitaker Ave</t>
  </si>
  <si>
    <t xml:space="preserve">19124</t>
  </si>
  <si>
    <t xml:space="preserve">C51804</t>
  </si>
  <si>
    <t xml:space="preserve">659593</t>
  </si>
  <si>
    <t xml:space="preserve">500599</t>
  </si>
  <si>
    <t xml:space="preserve">214141</t>
  </si>
  <si>
    <t xml:space="preserve">E &amp; H Enterprises</t>
  </si>
  <si>
    <t xml:space="preserve">Comete Hong</t>
  </si>
  <si>
    <t xml:space="preserve">(562) 801-3174</t>
  </si>
  <si>
    <t xml:space="preserve">emb9440@gmail.com</t>
  </si>
  <si>
    <t xml:space="preserve">9440 Whittier blvd</t>
  </si>
  <si>
    <t xml:space="preserve">Pico Rivera</t>
  </si>
  <si>
    <t xml:space="preserve">90660</t>
  </si>
  <si>
    <t xml:space="preserve">C51806</t>
  </si>
  <si>
    <t xml:space="preserve">659540</t>
  </si>
  <si>
    <t xml:space="preserve">500546</t>
  </si>
  <si>
    <t xml:space="preserve">214140</t>
  </si>
  <si>
    <t xml:space="preserve">ClocksNeverStop</t>
  </si>
  <si>
    <t xml:space="preserve">Damond Tyreek Taylor</t>
  </si>
  <si>
    <t xml:space="preserve">(760) 905-7748</t>
  </si>
  <si>
    <t xml:space="preserve">CNS@CLOCKSNEVERSTOP.COM</t>
  </si>
  <si>
    <t xml:space="preserve">14084 Amargosa Rd</t>
  </si>
  <si>
    <t xml:space="preserve">Ste D220</t>
  </si>
  <si>
    <t xml:space="preserve">Victorville</t>
  </si>
  <si>
    <t xml:space="preserve">92392</t>
  </si>
  <si>
    <t xml:space="preserve">C51793</t>
  </si>
  <si>
    <t xml:space="preserve">660237</t>
  </si>
  <si>
    <t xml:space="preserve">501245</t>
  </si>
  <si>
    <t xml:space="preserve">214139</t>
  </si>
  <si>
    <t xml:space="preserve">Comunica Verbo LLC</t>
  </si>
  <si>
    <t xml:space="preserve">Angela Burgos-Rivera</t>
  </si>
  <si>
    <t xml:space="preserve">(281) 974-4906</t>
  </si>
  <si>
    <t xml:space="preserve">comunicaverbo@yahoo.com</t>
  </si>
  <si>
    <t xml:space="preserve">7110 Lyons Ave</t>
  </si>
  <si>
    <t xml:space="preserve">77020</t>
  </si>
  <si>
    <t xml:space="preserve">C53656</t>
  </si>
  <si>
    <t xml:space="preserve">659553</t>
  </si>
  <si>
    <t xml:space="preserve">500559</t>
  </si>
  <si>
    <t xml:space="preserve">214138</t>
  </si>
  <si>
    <t xml:space="preserve">Go Fix It</t>
  </si>
  <si>
    <t xml:space="preserve">Luis Alberto Ochoa Atenco</t>
  </si>
  <si>
    <t xml:space="preserve">(856) 243-2391</t>
  </si>
  <si>
    <t xml:space="preserve">gofixitnj@gmail.com</t>
  </si>
  <si>
    <t xml:space="preserve">16 High St W</t>
  </si>
  <si>
    <t xml:space="preserve">Glassboro</t>
  </si>
  <si>
    <t xml:space="preserve">08028</t>
  </si>
  <si>
    <t xml:space="preserve">C51797</t>
  </si>
  <si>
    <t xml:space="preserve">659557</t>
  </si>
  <si>
    <t xml:space="preserve">500563</t>
  </si>
  <si>
    <t xml:space="preserve">214136</t>
  </si>
  <si>
    <t xml:space="preserve">Moefixx</t>
  </si>
  <si>
    <t xml:space="preserve">Mohammad Gharaibeh</t>
  </si>
  <si>
    <t xml:space="preserve">(713) 303-6044</t>
  </si>
  <si>
    <t xml:space="preserve">moefixx@gmail.com</t>
  </si>
  <si>
    <t xml:space="preserve">2606 Telephone Rd</t>
  </si>
  <si>
    <t xml:space="preserve">77023</t>
  </si>
  <si>
    <t xml:space="preserve">C51798</t>
  </si>
  <si>
    <t xml:space="preserve">659543</t>
  </si>
  <si>
    <t xml:space="preserve">500549</t>
  </si>
  <si>
    <t xml:space="preserve">214131</t>
  </si>
  <si>
    <t xml:space="preserve">M.C Repair</t>
  </si>
  <si>
    <t xml:space="preserve">Martin Chavez</t>
  </si>
  <si>
    <t xml:space="preserve">(760) 812-4421</t>
  </si>
  <si>
    <t xml:space="preserve">mcrepairstore@icloud.com</t>
  </si>
  <si>
    <t xml:space="preserve">15407 Anacapa Rd</t>
  </si>
  <si>
    <t xml:space="preserve">C51796</t>
  </si>
  <si>
    <t xml:space="preserve">659522</t>
  </si>
  <si>
    <t xml:space="preserve">500528</t>
  </si>
  <si>
    <t xml:space="preserve">214123</t>
  </si>
  <si>
    <t xml:space="preserve">New Kingdom Sports</t>
  </si>
  <si>
    <t xml:space="preserve">Min Jung Kim</t>
  </si>
  <si>
    <t xml:space="preserve">(215) 883-8000</t>
  </si>
  <si>
    <t xml:space="preserve">skkim2877@gmail.com</t>
  </si>
  <si>
    <t xml:space="preserve">2877 Kensington Ave</t>
  </si>
  <si>
    <t xml:space="preserve">C51790</t>
  </si>
  <si>
    <t xml:space="preserve">659457</t>
  </si>
  <si>
    <t xml:space="preserve">500460</t>
  </si>
  <si>
    <t xml:space="preserve">214116</t>
  </si>
  <si>
    <t xml:space="preserve">We Can Fix It</t>
  </si>
  <si>
    <t xml:space="preserve">Rigoberto Ortega</t>
  </si>
  <si>
    <t xml:space="preserve">(909) 397-0743</t>
  </si>
  <si>
    <t xml:space="preserve">WECANFIXIT909@YAHOO.COM</t>
  </si>
  <si>
    <t xml:space="preserve">1600 E Holt Ave</t>
  </si>
  <si>
    <t xml:space="preserve">M7</t>
  </si>
  <si>
    <t xml:space="preserve">Pomona</t>
  </si>
  <si>
    <t xml:space="preserve">91767</t>
  </si>
  <si>
    <t xml:space="preserve">C51781</t>
  </si>
  <si>
    <t xml:space="preserve">659503</t>
  </si>
  <si>
    <t xml:space="preserve">500508</t>
  </si>
  <si>
    <t xml:space="preserve">214114</t>
  </si>
  <si>
    <t xml:space="preserve">Phone Station LLC</t>
  </si>
  <si>
    <t xml:space="preserve">Mutasem Almaaitah</t>
  </si>
  <si>
    <t xml:space="preserve">(540) 423-2382</t>
  </si>
  <si>
    <t xml:space="preserve">phonestation00@gmail.com</t>
  </si>
  <si>
    <t xml:space="preserve">1071 Main St</t>
  </si>
  <si>
    <t xml:space="preserve">Willimantic</t>
  </si>
  <si>
    <t xml:space="preserve">06226</t>
  </si>
  <si>
    <t xml:space="preserve">C51788</t>
  </si>
  <si>
    <t xml:space="preserve">659490</t>
  </si>
  <si>
    <t xml:space="preserve">500493</t>
  </si>
  <si>
    <t xml:space="preserve">214113</t>
  </si>
  <si>
    <t xml:space="preserve">Tiffany Gifts and More</t>
  </si>
  <si>
    <t xml:space="preserve">Antonia Tapia Lara</t>
  </si>
  <si>
    <t xml:space="preserve">(626) 624-2537</t>
  </si>
  <si>
    <t xml:space="preserve">antonia.lara489@gmail.com</t>
  </si>
  <si>
    <t xml:space="preserve">1758 Sierra Leone Ave</t>
  </si>
  <si>
    <t xml:space="preserve">F</t>
  </si>
  <si>
    <t xml:space="preserve">C51785</t>
  </si>
  <si>
    <t xml:space="preserve">214110</t>
  </si>
  <si>
    <t xml:space="preserve">Xin Jiao Wireless</t>
  </si>
  <si>
    <t xml:space="preserve">Lixin Chen</t>
  </si>
  <si>
    <t xml:space="preserve">42-71 Main St</t>
  </si>
  <si>
    <t xml:space="preserve">659474</t>
  </si>
  <si>
    <t xml:space="preserve">500477</t>
  </si>
  <si>
    <t xml:space="preserve">214104</t>
  </si>
  <si>
    <t xml:space="preserve">Satellite Magic Communications</t>
  </si>
  <si>
    <t xml:space="preserve">Luis Venero</t>
  </si>
  <si>
    <t xml:space="preserve">(860) 296-0110</t>
  </si>
  <si>
    <t xml:space="preserve">satellitemagic@hotmail.com</t>
  </si>
  <si>
    <t xml:space="preserve">265 Franklin Ave</t>
  </si>
  <si>
    <t xml:space="preserve">6114</t>
  </si>
  <si>
    <t xml:space="preserve">C51784</t>
  </si>
  <si>
    <t xml:space="preserve">659472</t>
  </si>
  <si>
    <t xml:space="preserve">500475</t>
  </si>
  <si>
    <t xml:space="preserve">214101</t>
  </si>
  <si>
    <t xml:space="preserve">Family Convenience LLC</t>
  </si>
  <si>
    <t xml:space="preserve">Noman Hossain</t>
  </si>
  <si>
    <t xml:space="preserve">(929) 542-7307</t>
  </si>
  <si>
    <t xml:space="preserve">normanking4107@gmail.com</t>
  </si>
  <si>
    <t xml:space="preserve">5918 Riggs Rd</t>
  </si>
  <si>
    <t xml:space="preserve">20783</t>
  </si>
  <si>
    <t xml:space="preserve">C51783</t>
  </si>
  <si>
    <t xml:space="preserve">659592</t>
  </si>
  <si>
    <t xml:space="preserve">500598</t>
  </si>
  <si>
    <t xml:space="preserve">214097</t>
  </si>
  <si>
    <t xml:space="preserve">MP Intermediate LLC</t>
  </si>
  <si>
    <t xml:space="preserve">Michael Penaloza</t>
  </si>
  <si>
    <t xml:space="preserve">(657) 293-5229</t>
  </si>
  <si>
    <t xml:space="preserve">cellspotcorona@gmail.com</t>
  </si>
  <si>
    <t xml:space="preserve">1690 W 6th St</t>
  </si>
  <si>
    <t xml:space="preserve">N</t>
  </si>
  <si>
    <t xml:space="preserve">Corona</t>
  </si>
  <si>
    <t xml:space="preserve">92881</t>
  </si>
  <si>
    <t xml:space="preserve">C51805</t>
  </si>
  <si>
    <t xml:space="preserve">659426</t>
  </si>
  <si>
    <t xml:space="preserve">500421</t>
  </si>
  <si>
    <t xml:space="preserve">214093</t>
  </si>
  <si>
    <t xml:space="preserve">Kinga Enterprises LLC</t>
  </si>
  <si>
    <t xml:space="preserve">Felix Niyongabo</t>
  </si>
  <si>
    <t xml:space="preserve">(970) 370-5698</t>
  </si>
  <si>
    <t xml:space="preserve">iwacukinga1@gmail.com</t>
  </si>
  <si>
    <t xml:space="preserve">1480 Lima St</t>
  </si>
  <si>
    <t xml:space="preserve">Aurora</t>
  </si>
  <si>
    <t xml:space="preserve">80010</t>
  </si>
  <si>
    <t xml:space="preserve">C51778</t>
  </si>
  <si>
    <t xml:space="preserve">214086</t>
  </si>
  <si>
    <t xml:space="preserve">TJ's Liquors LLC</t>
  </si>
  <si>
    <t xml:space="preserve">Joe Fuller</t>
  </si>
  <si>
    <t xml:space="preserve">1103 Grand Blvd</t>
  </si>
  <si>
    <t xml:space="preserve">64106</t>
  </si>
  <si>
    <t xml:space="preserve">214082</t>
  </si>
  <si>
    <t xml:space="preserve">Lucky Teckzone</t>
  </si>
  <si>
    <t xml:space="preserve">Muhammad Syed</t>
  </si>
  <si>
    <t xml:space="preserve">6923 W Loop 1604 N</t>
  </si>
  <si>
    <t xml:space="preserve">Ste 108</t>
  </si>
  <si>
    <t xml:space="preserve">78254</t>
  </si>
  <si>
    <t xml:space="preserve">214081</t>
  </si>
  <si>
    <t xml:space="preserve">Cellphone ER</t>
  </si>
  <si>
    <t xml:space="preserve">John Vincent Aguirre</t>
  </si>
  <si>
    <t xml:space="preserve">2200 Bandera Rd</t>
  </si>
  <si>
    <t xml:space="preserve">659406</t>
  </si>
  <si>
    <t xml:space="preserve">500401</t>
  </si>
  <si>
    <t xml:space="preserve">214080</t>
  </si>
  <si>
    <t xml:space="preserve">Shop N Go Market</t>
  </si>
  <si>
    <t xml:space="preserve">Rajeshkumar Patel</t>
  </si>
  <si>
    <t xml:space="preserve">(909) 721-9633</t>
  </si>
  <si>
    <t xml:space="preserve">rajpatel.6166@yahoo.com</t>
  </si>
  <si>
    <t xml:space="preserve">656 N Mountain Ave</t>
  </si>
  <si>
    <t xml:space="preserve">Upland</t>
  </si>
  <si>
    <t xml:space="preserve">91786</t>
  </si>
  <si>
    <t xml:space="preserve">C51776</t>
  </si>
  <si>
    <t xml:space="preserve">659401</t>
  </si>
  <si>
    <t xml:space="preserve">500396</t>
  </si>
  <si>
    <t xml:space="preserve">214078</t>
  </si>
  <si>
    <t xml:space="preserve">Seatacwireless llc</t>
  </si>
  <si>
    <t xml:space="preserve">Farah ahmed</t>
  </si>
  <si>
    <t xml:space="preserve">(425) 525-8000</t>
  </si>
  <si>
    <t xml:space="preserve">seatacwireless@gmail.com</t>
  </si>
  <si>
    <t xml:space="preserve">15213 Military Rd S</t>
  </si>
  <si>
    <t xml:space="preserve">SeaTac</t>
  </si>
  <si>
    <t xml:space="preserve">98188</t>
  </si>
  <si>
    <t xml:space="preserve">C51775</t>
  </si>
  <si>
    <t xml:space="preserve">659397</t>
  </si>
  <si>
    <t xml:space="preserve">500392</t>
  </si>
  <si>
    <t xml:space="preserve">214077</t>
  </si>
  <si>
    <t xml:space="preserve">Ravi Video</t>
  </si>
  <si>
    <t xml:space="preserve">Kaur Jaswinder</t>
  </si>
  <si>
    <t xml:space="preserve">(253) 850-6885</t>
  </si>
  <si>
    <t xml:space="preserve">ravi_video@hotmail.com</t>
  </si>
  <si>
    <t xml:space="preserve">23613 104th Ave SE</t>
  </si>
  <si>
    <t xml:space="preserve">98031</t>
  </si>
  <si>
    <t xml:space="preserve">C51774</t>
  </si>
  <si>
    <t xml:space="preserve">660203</t>
  </si>
  <si>
    <t xml:space="preserve">501211</t>
  </si>
  <si>
    <t xml:space="preserve">214059</t>
  </si>
  <si>
    <t xml:space="preserve">Trinity Mail &amp; Mobile LLC</t>
  </si>
  <si>
    <t xml:space="preserve">Sameer Jamani</t>
  </si>
  <si>
    <t xml:space="preserve">(551) 220-7663</t>
  </si>
  <si>
    <t xml:space="preserve">Ssrkrealtygroupllc@gmail.com</t>
  </si>
  <si>
    <t xml:space="preserve">3815 W Commerce St</t>
  </si>
  <si>
    <t xml:space="preserve">78207</t>
  </si>
  <si>
    <t xml:space="preserve">C53651</t>
  </si>
  <si>
    <t xml:space="preserve">659353</t>
  </si>
  <si>
    <t xml:space="preserve">500348</t>
  </si>
  <si>
    <t xml:space="preserve">214057</t>
  </si>
  <si>
    <t xml:space="preserve">Smart Deals</t>
  </si>
  <si>
    <t xml:space="preserve">Raju Vikey</t>
  </si>
  <si>
    <t xml:space="preserve">(512) 640-0002</t>
  </si>
  <si>
    <t xml:space="preserve">rvkllc1@gmail.com</t>
  </si>
  <si>
    <t xml:space="preserve">5510 S Interstate 35</t>
  </si>
  <si>
    <t xml:space="preserve">78745</t>
  </si>
  <si>
    <t xml:space="preserve">C51769</t>
  </si>
  <si>
    <t xml:space="preserve">659396</t>
  </si>
  <si>
    <t xml:space="preserve">500391</t>
  </si>
  <si>
    <t xml:space="preserve">214048</t>
  </si>
  <si>
    <t xml:space="preserve">Fix My Phone SD</t>
  </si>
  <si>
    <t xml:space="preserve">Kenia Kedesh Bautista</t>
  </si>
  <si>
    <t xml:space="preserve">(760) 743-6666</t>
  </si>
  <si>
    <t xml:space="preserve">Fixmyphonesdinfo@gmail.com</t>
  </si>
  <si>
    <t xml:space="preserve">250 Woodward Ave</t>
  </si>
  <si>
    <t xml:space="preserve">C51773</t>
  </si>
  <si>
    <t xml:space="preserve">659307</t>
  </si>
  <si>
    <t xml:space="preserve">500304</t>
  </si>
  <si>
    <t xml:space="preserve">214040</t>
  </si>
  <si>
    <t xml:space="preserve">Cesars Cell Pro Shop</t>
  </si>
  <si>
    <t xml:space="preserve">Cesar Gustavo Huerta</t>
  </si>
  <si>
    <t xml:space="preserve">(626) 362-1564</t>
  </si>
  <si>
    <t xml:space="preserve">gustavohuerta750@gmail.com</t>
  </si>
  <si>
    <t xml:space="preserve">13901 Amar Rd</t>
  </si>
  <si>
    <t xml:space="preserve">F 3-4</t>
  </si>
  <si>
    <t xml:space="preserve">91746</t>
  </si>
  <si>
    <t xml:space="preserve">C51763</t>
  </si>
  <si>
    <t xml:space="preserve">661781</t>
  </si>
  <si>
    <t xml:space="preserve">502805</t>
  </si>
  <si>
    <t xml:space="preserve">214039</t>
  </si>
  <si>
    <t xml:space="preserve">WIRELESS CHAMPS 101 LLC</t>
  </si>
  <si>
    <t xml:space="preserve">GAURAV KHURANA</t>
  </si>
  <si>
    <t xml:space="preserve">(347) 631-3131</t>
  </si>
  <si>
    <t xml:space="preserve">Wirelesschamps101@gmail.com</t>
  </si>
  <si>
    <t xml:space="preserve">118-03 101st Ave</t>
  </si>
  <si>
    <t xml:space="preserve">S Richmond Hill</t>
  </si>
  <si>
    <t xml:space="preserve">C53735</t>
  </si>
  <si>
    <t xml:space="preserve">214037</t>
  </si>
  <si>
    <t xml:space="preserve">Bertoni Repair Cell LLC</t>
  </si>
  <si>
    <t xml:space="preserve">Lorjacques Bertoni</t>
  </si>
  <si>
    <t xml:space="preserve">5255 El Cajon Blvd</t>
  </si>
  <si>
    <t xml:space="preserve">92115</t>
  </si>
  <si>
    <t xml:space="preserve">214035</t>
  </si>
  <si>
    <t xml:space="preserve">SHAKUR JAMAL ENTERPRISES INC DBA WORLD CELLULAR</t>
  </si>
  <si>
    <t xml:space="preserve">Ahmad Shakurjamal</t>
  </si>
  <si>
    <t xml:space="preserve">5750 Bintliff Dr</t>
  </si>
  <si>
    <t xml:space="preserve">Ste 202</t>
  </si>
  <si>
    <t xml:space="preserve">659832</t>
  </si>
  <si>
    <t xml:space="preserve">500838</t>
  </si>
  <si>
    <t xml:space="preserve">214034</t>
  </si>
  <si>
    <t xml:space="preserve">Chaal Brothers LLC</t>
  </si>
  <si>
    <t xml:space="preserve">Manar Shaal</t>
  </si>
  <si>
    <t xml:space="preserve">(786) 599-9977</t>
  </si>
  <si>
    <t xml:space="preserve">manarshaal@yahoo.com</t>
  </si>
  <si>
    <t xml:space="preserve">1629 Washington Ave</t>
  </si>
  <si>
    <t xml:space="preserve">33139</t>
  </si>
  <si>
    <t xml:space="preserve">C51811</t>
  </si>
  <si>
    <t xml:space="preserve">214021</t>
  </si>
  <si>
    <t xml:space="preserve">Gadget Mates</t>
  </si>
  <si>
    <t xml:space="preserve">Mark Mates</t>
  </si>
  <si>
    <t xml:space="preserve">9480 S Eastern Ave</t>
  </si>
  <si>
    <t xml:space="preserve">#175</t>
  </si>
  <si>
    <t xml:space="preserve">89123</t>
  </si>
  <si>
    <t xml:space="preserve">659092</t>
  </si>
  <si>
    <t xml:space="preserve">500085</t>
  </si>
  <si>
    <t xml:space="preserve">213994</t>
  </si>
  <si>
    <t xml:space="preserve">Elite Dezign NY Inc</t>
  </si>
  <si>
    <t xml:space="preserve">Joshua Zebak</t>
  </si>
  <si>
    <t xml:space="preserve">(718) 523-1946</t>
  </si>
  <si>
    <t xml:space="preserve">Joshzebak7@gmail.com</t>
  </si>
  <si>
    <t xml:space="preserve">16346 Jamaica Ave</t>
  </si>
  <si>
    <t xml:space="preserve">C51756</t>
  </si>
  <si>
    <t xml:space="preserve">213985</t>
  </si>
  <si>
    <t xml:space="preserve">LIBERTY WIRELESS INC</t>
  </si>
  <si>
    <t xml:space="preserve">JASWINDER SINGH</t>
  </si>
  <si>
    <t xml:space="preserve">115-19 Liberty Ave</t>
  </si>
  <si>
    <t xml:space="preserve">213984</t>
  </si>
  <si>
    <t xml:space="preserve">LIBERTY WIRELESS 4 INC</t>
  </si>
  <si>
    <t xml:space="preserve">120-18 Liberty Ave</t>
  </si>
  <si>
    <t xml:space="preserve">South RIchmond Hill</t>
  </si>
  <si>
    <t xml:space="preserve">659051</t>
  </si>
  <si>
    <t xml:space="preserve">500043</t>
  </si>
  <si>
    <t xml:space="preserve">213979</t>
  </si>
  <si>
    <t xml:space="preserve">GamaCell Corp</t>
  </si>
  <si>
    <t xml:space="preserve">Gabriella Hernandez</t>
  </si>
  <si>
    <t xml:space="preserve">(323) 763-2093</t>
  </si>
  <si>
    <t xml:space="preserve">gamacellinter@gmail.com</t>
  </si>
  <si>
    <t xml:space="preserve">10423 Atlantic Ave</t>
  </si>
  <si>
    <t xml:space="preserve">C53363</t>
  </si>
  <si>
    <t xml:space="preserve">658856</t>
  </si>
  <si>
    <t xml:space="preserve">499847</t>
  </si>
  <si>
    <t xml:space="preserve">213965</t>
  </si>
  <si>
    <t xml:space="preserve">Halo 15, LLC</t>
  </si>
  <si>
    <t xml:space="preserve">Abdel Jabbar</t>
  </si>
  <si>
    <t xml:space="preserve">(503) 810-8450</t>
  </si>
  <si>
    <t xml:space="preserve">fixafone3336@gmail.com</t>
  </si>
  <si>
    <t xml:space="preserve">101 Westbank Expy</t>
  </si>
  <si>
    <t xml:space="preserve">Gretna</t>
  </si>
  <si>
    <t xml:space="preserve">70053</t>
  </si>
  <si>
    <t xml:space="preserve">C51743</t>
  </si>
  <si>
    <t xml:space="preserve">658880</t>
  </si>
  <si>
    <t xml:space="preserve">499871</t>
  </si>
  <si>
    <t xml:space="preserve">213962</t>
  </si>
  <si>
    <t xml:space="preserve">Moro Wireless</t>
  </si>
  <si>
    <t xml:space="preserve">(225) 888-6526</t>
  </si>
  <si>
    <t xml:space="preserve">morowireless@gmail.com</t>
  </si>
  <si>
    <t xml:space="preserve">4670 Plank Road</t>
  </si>
  <si>
    <t xml:space="preserve">C51746</t>
  </si>
  <si>
    <t xml:space="preserve">658897</t>
  </si>
  <si>
    <t xml:space="preserve">499888</t>
  </si>
  <si>
    <t xml:space="preserve">213959</t>
  </si>
  <si>
    <t xml:space="preserve">Kazi Travels &amp; Multiservice Corp</t>
  </si>
  <si>
    <t xml:space="preserve">Kazi Hasan</t>
  </si>
  <si>
    <t xml:space="preserve">(347) 479-2135</t>
  </si>
  <si>
    <t xml:space="preserve">kazitravelsus@gmail.com</t>
  </si>
  <si>
    <t xml:space="preserve">2130 Westchester Ave</t>
  </si>
  <si>
    <t xml:space="preserve">C51748</t>
  </si>
  <si>
    <t xml:space="preserve">658898</t>
  </si>
  <si>
    <t xml:space="preserve">499889</t>
  </si>
  <si>
    <t xml:space="preserve">213958</t>
  </si>
  <si>
    <t xml:space="preserve">Ricktech</t>
  </si>
  <si>
    <t xml:space="preserve">Ricardo Rodriguez</t>
  </si>
  <si>
    <t xml:space="preserve">(559) 772-7150</t>
  </si>
  <si>
    <t xml:space="preserve">Ricktechwireless@gmail.com</t>
  </si>
  <si>
    <t xml:space="preserve">718 N 11th Ave</t>
  </si>
  <si>
    <t xml:space="preserve">Hanford</t>
  </si>
  <si>
    <t xml:space="preserve">93230</t>
  </si>
  <si>
    <t xml:space="preserve">C51747</t>
  </si>
  <si>
    <t xml:space="preserve">213946</t>
  </si>
  <si>
    <t xml:space="preserve">Qarada Mobile LLC</t>
  </si>
  <si>
    <t xml:space="preserve">Raad Mohammad Qarada</t>
  </si>
  <si>
    <t xml:space="preserve">(571) 343-8448</t>
  </si>
  <si>
    <t xml:space="preserve">rayoquickrepair@gmail.com</t>
  </si>
  <si>
    <t xml:space="preserve">19122 Fuller Heights Rd</t>
  </si>
  <si>
    <t xml:space="preserve">Triangle</t>
  </si>
  <si>
    <t xml:space="preserve">22172</t>
  </si>
  <si>
    <t xml:space="preserve">C50706</t>
  </si>
  <si>
    <t xml:space="preserve">658817</t>
  </si>
  <si>
    <t xml:space="preserve">499807</t>
  </si>
  <si>
    <t xml:space="preserve">213941</t>
  </si>
  <si>
    <t xml:space="preserve">Mobile Buzz Wireless Two Inc</t>
  </si>
  <si>
    <t xml:space="preserve">(918) 284-0162</t>
  </si>
  <si>
    <t xml:space="preserve">mobilebuzz3328@gmail.com</t>
  </si>
  <si>
    <t xml:space="preserve">3328 Fulton St</t>
  </si>
  <si>
    <t xml:space="preserve">11208</t>
  </si>
  <si>
    <t xml:space="preserve">C51742</t>
  </si>
  <si>
    <t xml:space="preserve">658903</t>
  </si>
  <si>
    <t xml:space="preserve">499894</t>
  </si>
  <si>
    <t xml:space="preserve">213923</t>
  </si>
  <si>
    <t xml:space="preserve">Gadget Quick Fix LLC - Tech Fix</t>
  </si>
  <si>
    <t xml:space="preserve">Siratul Islam</t>
  </si>
  <si>
    <t xml:space="preserve">(470) 778-7856</t>
  </si>
  <si>
    <t xml:space="preserve">gadgetquickfixtal@gmail.com</t>
  </si>
  <si>
    <t xml:space="preserve">2020 W Pensacola St</t>
  </si>
  <si>
    <t xml:space="preserve">Tallahassee</t>
  </si>
  <si>
    <t xml:space="preserve">32304</t>
  </si>
  <si>
    <t xml:space="preserve">C51749</t>
  </si>
  <si>
    <t xml:space="preserve">658724</t>
  </si>
  <si>
    <t xml:space="preserve">499716</t>
  </si>
  <si>
    <t xml:space="preserve">213920</t>
  </si>
  <si>
    <t xml:space="preserve">Amir Telecom and Gift Inc</t>
  </si>
  <si>
    <t xml:space="preserve">Md Amu</t>
  </si>
  <si>
    <t xml:space="preserve">(929) 600-5290</t>
  </si>
  <si>
    <t xml:space="preserve">mdamirhossainamu11@gmail.com</t>
  </si>
  <si>
    <t xml:space="preserve">2148 Starling Ave</t>
  </si>
  <si>
    <t xml:space="preserve">C51737</t>
  </si>
  <si>
    <t xml:space="preserve">658716</t>
  </si>
  <si>
    <t xml:space="preserve">499708</t>
  </si>
  <si>
    <t xml:space="preserve">213917</t>
  </si>
  <si>
    <t xml:space="preserve">Bangla Mobile Inc</t>
  </si>
  <si>
    <t xml:space="preserve">Mohammad Hossain</t>
  </si>
  <si>
    <t xml:space="preserve">(929) 227-5808</t>
  </si>
  <si>
    <t xml:space="preserve">mhiqbal1989@gmail.com</t>
  </si>
  <si>
    <t xml:space="preserve">7305 37th Rd</t>
  </si>
  <si>
    <t xml:space="preserve">C51736</t>
  </si>
  <si>
    <t xml:space="preserve">658725</t>
  </si>
  <si>
    <t xml:space="preserve">499717</t>
  </si>
  <si>
    <t xml:space="preserve">213915</t>
  </si>
  <si>
    <t xml:space="preserve">Posada's Cellular</t>
  </si>
  <si>
    <t xml:space="preserve">Sahith Posada</t>
  </si>
  <si>
    <t xml:space="preserve">(424) 456-4070</t>
  </si>
  <si>
    <t xml:space="preserve">POSADASCELLULAR@GMAIL.COM</t>
  </si>
  <si>
    <t xml:space="preserve">14714 Hawthorne Blvd</t>
  </si>
  <si>
    <t xml:space="preserve">Lawndale</t>
  </si>
  <si>
    <t xml:space="preserve">90260</t>
  </si>
  <si>
    <t xml:space="preserve">C51738</t>
  </si>
  <si>
    <t xml:space="preserve">658690</t>
  </si>
  <si>
    <t xml:space="preserve">499683</t>
  </si>
  <si>
    <t xml:space="preserve">213914</t>
  </si>
  <si>
    <t xml:space="preserve">Yukiyama LLC</t>
  </si>
  <si>
    <t xml:space="preserve">Guo Ping Yang</t>
  </si>
  <si>
    <t xml:space="preserve">(203) 524-6488</t>
  </si>
  <si>
    <t xml:space="preserve">yukiyama168@gmail.com</t>
  </si>
  <si>
    <t xml:space="preserve">2121 Murry Ave</t>
  </si>
  <si>
    <t xml:space="preserve">C51734</t>
  </si>
  <si>
    <t xml:space="preserve">658617</t>
  </si>
  <si>
    <t xml:space="preserve">499625</t>
  </si>
  <si>
    <t xml:space="preserve">213905</t>
  </si>
  <si>
    <t xml:space="preserve">Alex's 1 Stop LLC</t>
  </si>
  <si>
    <t xml:space="preserve">Alex Yakoly</t>
  </si>
  <si>
    <t xml:space="preserve">(215) 307-3305</t>
  </si>
  <si>
    <t xml:space="preserve">alex1stopllc@gmail.com</t>
  </si>
  <si>
    <t xml:space="preserve">6227 Woodland Ave</t>
  </si>
  <si>
    <t xml:space="preserve">19142</t>
  </si>
  <si>
    <t xml:space="preserve">C51732</t>
  </si>
  <si>
    <t xml:space="preserve">658495</t>
  </si>
  <si>
    <t xml:space="preserve">499509</t>
  </si>
  <si>
    <t xml:space="preserve">213892</t>
  </si>
  <si>
    <t xml:space="preserve">Mobile Go Texas LLC</t>
  </si>
  <si>
    <t xml:space="preserve">(956) 382-9198</t>
  </si>
  <si>
    <t xml:space="preserve">mobilegotexas@gmail.com</t>
  </si>
  <si>
    <t xml:space="preserve">6501 S Cage Blvd</t>
  </si>
  <si>
    <t xml:space="preserve">Pharr</t>
  </si>
  <si>
    <t xml:space="preserve">78577</t>
  </si>
  <si>
    <t xml:space="preserve">C51719</t>
  </si>
  <si>
    <t xml:space="preserve">658496</t>
  </si>
  <si>
    <t xml:space="preserve">499510</t>
  </si>
  <si>
    <t xml:space="preserve">213891</t>
  </si>
  <si>
    <t xml:space="preserve">(956) 865-3222</t>
  </si>
  <si>
    <t xml:space="preserve">2413 W Military Hwy</t>
  </si>
  <si>
    <t xml:space="preserve">Ste 1-B</t>
  </si>
  <si>
    <t xml:space="preserve">78503</t>
  </si>
  <si>
    <t xml:space="preserve">658538</t>
  </si>
  <si>
    <t xml:space="preserve">499544</t>
  </si>
  <si>
    <t xml:space="preserve">213881</t>
  </si>
  <si>
    <t xml:space="preserve">Cell Phone World LLC</t>
  </si>
  <si>
    <t xml:space="preserve">Cesar Claros</t>
  </si>
  <si>
    <t xml:space="preserve">(520) 719-7999</t>
  </si>
  <si>
    <t xml:space="preserve">cmclaros74@gmail.com</t>
  </si>
  <si>
    <t xml:space="preserve">1835 S Alvernon Way</t>
  </si>
  <si>
    <t xml:space="preserve">206</t>
  </si>
  <si>
    <t xml:space="preserve">Tucson</t>
  </si>
  <si>
    <t xml:space="preserve">85711</t>
  </si>
  <si>
    <t xml:space="preserve">C51724</t>
  </si>
  <si>
    <t xml:space="preserve">658513</t>
  </si>
  <si>
    <t xml:space="preserve">499530</t>
  </si>
  <si>
    <t xml:space="preserve">213880</t>
  </si>
  <si>
    <t xml:space="preserve">All Cellphone Repair</t>
  </si>
  <si>
    <t xml:space="preserve">Isaac Castro</t>
  </si>
  <si>
    <t xml:space="preserve">(520) 231-3111</t>
  </si>
  <si>
    <t xml:space="preserve">info@allcellphone.repair</t>
  </si>
  <si>
    <t xml:space="preserve">918 W Irvington Road</t>
  </si>
  <si>
    <t xml:space="preserve">126</t>
  </si>
  <si>
    <t xml:space="preserve">85714</t>
  </si>
  <si>
    <t xml:space="preserve">C51723</t>
  </si>
  <si>
    <t xml:space="preserve">658502</t>
  </si>
  <si>
    <t xml:space="preserve">499517</t>
  </si>
  <si>
    <t xml:space="preserve">213876</t>
  </si>
  <si>
    <t xml:space="preserve">Mobile Planet</t>
  </si>
  <si>
    <t xml:space="preserve">Krishna Mamidi</t>
  </si>
  <si>
    <t xml:space="preserve">(442) 284-9785</t>
  </si>
  <si>
    <t xml:space="preserve">azmobileplanet@gmail.com</t>
  </si>
  <si>
    <t xml:space="preserve">1269 N Promenade Pkwy</t>
  </si>
  <si>
    <t xml:space="preserve">Ste 109</t>
  </si>
  <si>
    <t xml:space="preserve">Casa Grande</t>
  </si>
  <si>
    <t xml:space="preserve">85194</t>
  </si>
  <si>
    <t xml:space="preserve">C51721</t>
  </si>
  <si>
    <t xml:space="preserve">658585</t>
  </si>
  <si>
    <t xml:space="preserve">499593</t>
  </si>
  <si>
    <t xml:space="preserve">213875</t>
  </si>
  <si>
    <t xml:space="preserve">Celltronics Global Inc</t>
  </si>
  <si>
    <t xml:space="preserve">Mohammad Iqbal</t>
  </si>
  <si>
    <t xml:space="preserve">(347) 368-6265</t>
  </si>
  <si>
    <t xml:space="preserve">celltronicsglobal@gmail.com</t>
  </si>
  <si>
    <t xml:space="preserve">7312 37th Rd</t>
  </si>
  <si>
    <t xml:space="preserve">C51726</t>
  </si>
  <si>
    <t xml:space="preserve">658509</t>
  </si>
  <si>
    <t xml:space="preserve">499526</t>
  </si>
  <si>
    <t xml:space="preserve">213874</t>
  </si>
  <si>
    <t xml:space="preserve">Sullivant Wireless LLC</t>
  </si>
  <si>
    <t xml:space="preserve">Mohamud Osman</t>
  </si>
  <si>
    <t xml:space="preserve">(614) 272-2936</t>
  </si>
  <si>
    <t xml:space="preserve">sullivantwireless@gmail.com</t>
  </si>
  <si>
    <t xml:space="preserve">729 Georgesville Rd</t>
  </si>
  <si>
    <t xml:space="preserve">43228</t>
  </si>
  <si>
    <t xml:space="preserve">C51722</t>
  </si>
  <si>
    <t xml:space="preserve">658547</t>
  </si>
  <si>
    <t xml:space="preserve">499554</t>
  </si>
  <si>
    <t xml:space="preserve">213871</t>
  </si>
  <si>
    <t xml:space="preserve">Culiacan Wireless</t>
  </si>
  <si>
    <t xml:space="preserve">Martin Gutierrez Jr</t>
  </si>
  <si>
    <t xml:space="preserve">(323) 457-9897</t>
  </si>
  <si>
    <t xml:space="preserve">culiacanwireless@gmail.com</t>
  </si>
  <si>
    <t xml:space="preserve">3516 Firestone Blvd</t>
  </si>
  <si>
    <t xml:space="preserve">C50500</t>
  </si>
  <si>
    <t xml:space="preserve">658476</t>
  </si>
  <si>
    <t xml:space="preserve">499488</t>
  </si>
  <si>
    <t xml:space="preserve">213868</t>
  </si>
  <si>
    <t xml:space="preserve">D &amp; M Mobile Wholesale LLC</t>
  </si>
  <si>
    <t xml:space="preserve">Miguel Angel Preciado Galindo</t>
  </si>
  <si>
    <t xml:space="preserve">(956) 651-0486</t>
  </si>
  <si>
    <t xml:space="preserve">1993mapg@gmail.com</t>
  </si>
  <si>
    <t xml:space="preserve">108 State Hwy 495</t>
  </si>
  <si>
    <t xml:space="preserve">San Juan</t>
  </si>
  <si>
    <t xml:space="preserve">78589</t>
  </si>
  <si>
    <t xml:space="preserve">C51717</t>
  </si>
  <si>
    <t xml:space="preserve">660156</t>
  </si>
  <si>
    <t xml:space="preserve">501164</t>
  </si>
  <si>
    <t xml:space="preserve">213867</t>
  </si>
  <si>
    <t xml:space="preserve">(956) 762-0836</t>
  </si>
  <si>
    <t xml:space="preserve">215 W Main Ave</t>
  </si>
  <si>
    <t xml:space="preserve">Ste L</t>
  </si>
  <si>
    <t xml:space="preserve">Alton</t>
  </si>
  <si>
    <t xml:space="preserve">78573</t>
  </si>
  <si>
    <t xml:space="preserve">658469</t>
  </si>
  <si>
    <t xml:space="preserve">499481</t>
  </si>
  <si>
    <t xml:space="preserve">213865</t>
  </si>
  <si>
    <t xml:space="preserve">A Plus Electronics</t>
  </si>
  <si>
    <t xml:space="preserve">Erik Aragon</t>
  </si>
  <si>
    <t xml:space="preserve">(919) 412-1742</t>
  </si>
  <si>
    <t xml:space="preserve">samtek15@gmail.com</t>
  </si>
  <si>
    <t xml:space="preserve">907 E Main St</t>
  </si>
  <si>
    <t xml:space="preserve">Clayton</t>
  </si>
  <si>
    <t xml:space="preserve">27520</t>
  </si>
  <si>
    <t xml:space="preserve">C51716</t>
  </si>
  <si>
    <t xml:space="preserve">658432</t>
  </si>
  <si>
    <t xml:space="preserve">499445</t>
  </si>
  <si>
    <t xml:space="preserve">213860</t>
  </si>
  <si>
    <t xml:space="preserve">Happy Wireless</t>
  </si>
  <si>
    <t xml:space="preserve">Lien Pham</t>
  </si>
  <si>
    <t xml:space="preserve">(714) 678-7979</t>
  </si>
  <si>
    <t xml:space="preserve">Happy_wireless@yahoo.com</t>
  </si>
  <si>
    <t xml:space="preserve">10872 Westminster Ave</t>
  </si>
  <si>
    <t xml:space="preserve">C51713</t>
  </si>
  <si>
    <t xml:space="preserve">658420</t>
  </si>
  <si>
    <t xml:space="preserve">499433</t>
  </si>
  <si>
    <t xml:space="preserve">213854</t>
  </si>
  <si>
    <t xml:space="preserve">IRepair Az</t>
  </si>
  <si>
    <t xml:space="preserve">Andres Julian Torres Pinzon</t>
  </si>
  <si>
    <t xml:space="preserve">(480) 619-8912</t>
  </si>
  <si>
    <t xml:space="preserve">customerserviceirepairaz@gmail.com</t>
  </si>
  <si>
    <t xml:space="preserve">2839 N 24th S</t>
  </si>
  <si>
    <t xml:space="preserve">85016</t>
  </si>
  <si>
    <t xml:space="preserve">C51712</t>
  </si>
  <si>
    <t xml:space="preserve">658196</t>
  </si>
  <si>
    <t xml:space="preserve">499200</t>
  </si>
  <si>
    <t xml:space="preserve">213821</t>
  </si>
  <si>
    <t xml:space="preserve">Mecca Wireless</t>
  </si>
  <si>
    <t xml:space="preserve">Rene Rodiles</t>
  </si>
  <si>
    <t xml:space="preserve">(310) 935-0320</t>
  </si>
  <si>
    <t xml:space="preserve">meccawirelessinc1@gmail.com</t>
  </si>
  <si>
    <t xml:space="preserve">2643 Santa Ana St</t>
  </si>
  <si>
    <t xml:space="preserve">C51609</t>
  </si>
  <si>
    <t xml:space="preserve">213820</t>
  </si>
  <si>
    <t xml:space="preserve">Sol Travel</t>
  </si>
  <si>
    <t xml:space="preserve">Mireya Bustamante</t>
  </si>
  <si>
    <t xml:space="preserve">224 W Lake St</t>
  </si>
  <si>
    <t xml:space="preserve">Minneapolis</t>
  </si>
  <si>
    <t xml:space="preserve">MN</t>
  </si>
  <si>
    <t xml:space="preserve">55408</t>
  </si>
  <si>
    <t xml:space="preserve">658271</t>
  </si>
  <si>
    <t xml:space="preserve">499285</t>
  </si>
  <si>
    <t xml:space="preserve">213812</t>
  </si>
  <si>
    <t xml:space="preserve">Dimyana and Marina Grocery Inc</t>
  </si>
  <si>
    <t xml:space="preserve">Hany Abadir</t>
  </si>
  <si>
    <t xml:space="preserve">(929) 220-6061</t>
  </si>
  <si>
    <t xml:space="preserve">hanyabadir4@gmail.com</t>
  </si>
  <si>
    <t xml:space="preserve">1227 Springfield Ave</t>
  </si>
  <si>
    <t xml:space="preserve">Irvington</t>
  </si>
  <si>
    <t xml:space="preserve">07111</t>
  </si>
  <si>
    <t xml:space="preserve">C51705</t>
  </si>
  <si>
    <t xml:space="preserve">658262</t>
  </si>
  <si>
    <t xml:space="preserve">499273</t>
  </si>
  <si>
    <t xml:space="preserve">213811</t>
  </si>
  <si>
    <t xml:space="preserve">Power Wireless</t>
  </si>
  <si>
    <t xml:space="preserve">Hassan Hamid</t>
  </si>
  <si>
    <t xml:space="preserve">(612) 222-2724</t>
  </si>
  <si>
    <t xml:space="preserve">abdul177@yahoo.com</t>
  </si>
  <si>
    <t xml:space="preserve">2526 Central Ave NE</t>
  </si>
  <si>
    <t xml:space="preserve">55418</t>
  </si>
  <si>
    <t xml:space="preserve">C51701</t>
  </si>
  <si>
    <t xml:space="preserve">660281</t>
  </si>
  <si>
    <t xml:space="preserve">501289</t>
  </si>
  <si>
    <t xml:space="preserve">213804</t>
  </si>
  <si>
    <t xml:space="preserve">San Ramon Music Shop</t>
  </si>
  <si>
    <t xml:space="preserve">Fernando Mata</t>
  </si>
  <si>
    <t xml:space="preserve">(956) 237-6463</t>
  </si>
  <si>
    <t xml:space="preserve">fmata650@gmail.com</t>
  </si>
  <si>
    <t xml:space="preserve">512 Guadalupe St</t>
  </si>
  <si>
    <t xml:space="preserve">C53661</t>
  </si>
  <si>
    <t xml:space="preserve">658169</t>
  </si>
  <si>
    <t xml:space="preserve">499173</t>
  </si>
  <si>
    <t xml:space="preserve">213787</t>
  </si>
  <si>
    <t xml:space="preserve">Plaza Technologies, Inc</t>
  </si>
  <si>
    <t xml:space="preserve">David Martinez</t>
  </si>
  <si>
    <t xml:space="preserve">(479) 751-2055</t>
  </si>
  <si>
    <t xml:space="preserve">david@plazatechnologies.com</t>
  </si>
  <si>
    <t xml:space="preserve">1528 W Sunset Ave</t>
  </si>
  <si>
    <t xml:space="preserve">Springdale</t>
  </si>
  <si>
    <t xml:space="preserve">72764</t>
  </si>
  <si>
    <t xml:space="preserve">C51695</t>
  </si>
  <si>
    <t xml:space="preserve">658272</t>
  </si>
  <si>
    <t xml:space="preserve">499286</t>
  </si>
  <si>
    <t xml:space="preserve">213785</t>
  </si>
  <si>
    <t xml:space="preserve">Cellphone Repair &amp; More, Limited Liability Company</t>
  </si>
  <si>
    <t xml:space="preserve">Oscar Alvarez Velasquez</t>
  </si>
  <si>
    <t xml:space="preserve">(631) 415-2103</t>
  </si>
  <si>
    <t xml:space="preserve">oalvarez9665@gmail.com</t>
  </si>
  <si>
    <t xml:space="preserve">1423 Islip</t>
  </si>
  <si>
    <t xml:space="preserve">C51707</t>
  </si>
  <si>
    <t xml:space="preserve">658073</t>
  </si>
  <si>
    <t xml:space="preserve">499076</t>
  </si>
  <si>
    <t xml:space="preserve">213776</t>
  </si>
  <si>
    <t xml:space="preserve">Himalayas KNH LLC</t>
  </si>
  <si>
    <t xml:space="preserve">Krishna Kumar Karki</t>
  </si>
  <si>
    <t xml:space="preserve">(972) 523-9991</t>
  </si>
  <si>
    <t xml:space="preserve">krishnakarki5656@gmail.com</t>
  </si>
  <si>
    <t xml:space="preserve">2233 N Prairie Creek Rd</t>
  </si>
  <si>
    <t xml:space="preserve">75227</t>
  </si>
  <si>
    <t xml:space="preserve">C51687</t>
  </si>
  <si>
    <t xml:space="preserve">658041</t>
  </si>
  <si>
    <t xml:space="preserve">499044</t>
  </si>
  <si>
    <t xml:space="preserve">213773</t>
  </si>
  <si>
    <t xml:space="preserve">Nasir Cell Phone, USA Inc</t>
  </si>
  <si>
    <t xml:space="preserve">Mohammed Uddin</t>
  </si>
  <si>
    <t xml:space="preserve">(929) 393-2585</t>
  </si>
  <si>
    <t xml:space="preserve">nasircellphoneusa@gmail.com</t>
  </si>
  <si>
    <t xml:space="preserve">87-58 168th St</t>
  </si>
  <si>
    <t xml:space="preserve">C51683</t>
  </si>
  <si>
    <t xml:space="preserve">658043</t>
  </si>
  <si>
    <t xml:space="preserve">499046</t>
  </si>
  <si>
    <t xml:space="preserve">213772</t>
  </si>
  <si>
    <t xml:space="preserve">New Access Wireless Inc.</t>
  </si>
  <si>
    <t xml:space="preserve">Mustak Islam</t>
  </si>
  <si>
    <t xml:space="preserve">(718) 450-3248</t>
  </si>
  <si>
    <t xml:space="preserve">mislam2233@gmail.com</t>
  </si>
  <si>
    <t xml:space="preserve">576 E 187th St</t>
  </si>
  <si>
    <t xml:space="preserve">10458</t>
  </si>
  <si>
    <t xml:space="preserve">C51677</t>
  </si>
  <si>
    <t xml:space="preserve">658166</t>
  </si>
  <si>
    <t xml:space="preserve">499170</t>
  </si>
  <si>
    <t xml:space="preserve">213768</t>
  </si>
  <si>
    <t xml:space="preserve">Smart Tech Solutions LLC</t>
  </si>
  <si>
    <t xml:space="preserve">Rashid Mamoon</t>
  </si>
  <si>
    <t xml:space="preserve">(972) 510-4078</t>
  </si>
  <si>
    <t xml:space="preserve">smarttechsulutions@gmail.com</t>
  </si>
  <si>
    <t xml:space="preserve">2546 N Belt Line Rd</t>
  </si>
  <si>
    <t xml:space="preserve">C51694</t>
  </si>
  <si>
    <t xml:space="preserve">658022</t>
  </si>
  <si>
    <t xml:space="preserve">499026</t>
  </si>
  <si>
    <t xml:space="preserve">213762</t>
  </si>
  <si>
    <t xml:space="preserve">(909) 345-1000</t>
  </si>
  <si>
    <t xml:space="preserve">9775 Base Line Rd</t>
  </si>
  <si>
    <t xml:space="preserve">Rancho Cucamonga</t>
  </si>
  <si>
    <t xml:space="preserve">91730</t>
  </si>
  <si>
    <t xml:space="preserve">658021</t>
  </si>
  <si>
    <t xml:space="preserve">499025</t>
  </si>
  <si>
    <t xml:space="preserve">213760</t>
  </si>
  <si>
    <t xml:space="preserve">(626) 600-8090</t>
  </si>
  <si>
    <t xml:space="preserve">101 E Huntington Dr</t>
  </si>
  <si>
    <t xml:space="preserve">Arcadia</t>
  </si>
  <si>
    <t xml:space="preserve">91006</t>
  </si>
  <si>
    <t xml:space="preserve">658019</t>
  </si>
  <si>
    <t xml:space="preserve">499023</t>
  </si>
  <si>
    <t xml:space="preserve">213759</t>
  </si>
  <si>
    <t xml:space="preserve">(909) 789-0999</t>
  </si>
  <si>
    <t xml:space="preserve">1330 Fullerton Rd</t>
  </si>
  <si>
    <t xml:space="preserve">Industry</t>
  </si>
  <si>
    <t xml:space="preserve">658018</t>
  </si>
  <si>
    <t xml:space="preserve">499022</t>
  </si>
  <si>
    <t xml:space="preserve">213755</t>
  </si>
  <si>
    <t xml:space="preserve">(949) 550-8000</t>
  </si>
  <si>
    <t xml:space="preserve">15333 Culver Dr</t>
  </si>
  <si>
    <t xml:space="preserve">800</t>
  </si>
  <si>
    <t xml:space="preserve">Irvine</t>
  </si>
  <si>
    <t xml:space="preserve">92604</t>
  </si>
  <si>
    <t xml:space="preserve">658000</t>
  </si>
  <si>
    <t xml:space="preserve">499005</t>
  </si>
  <si>
    <t xml:space="preserve">213752</t>
  </si>
  <si>
    <t xml:space="preserve">Jiss 3 Enterprise , llc</t>
  </si>
  <si>
    <t xml:space="preserve">Shayan Amlani</t>
  </si>
  <si>
    <t xml:space="preserve">(210) 257-0925</t>
  </si>
  <si>
    <t xml:space="preserve">wirelesstechtx@gmail.com</t>
  </si>
  <si>
    <t xml:space="preserve">3935 Eisenhauer Rd</t>
  </si>
  <si>
    <t xml:space="preserve">78218</t>
  </si>
  <si>
    <t xml:space="preserve">C51708</t>
  </si>
  <si>
    <t xml:space="preserve">213751</t>
  </si>
  <si>
    <t xml:space="preserve">Ariyan Inc DBA Discount Store</t>
  </si>
  <si>
    <t xml:space="preserve">Alireza Achichi</t>
  </si>
  <si>
    <t xml:space="preserve">8733 S Claiborne Ave</t>
  </si>
  <si>
    <t xml:space="preserve">70118</t>
  </si>
  <si>
    <t xml:space="preserve">657807</t>
  </si>
  <si>
    <t xml:space="preserve">498815</t>
  </si>
  <si>
    <t xml:space="preserve">213746</t>
  </si>
  <si>
    <t xml:space="preserve">Qban-It-Solution LLC</t>
  </si>
  <si>
    <t xml:space="preserve">Alejandro Rivero</t>
  </si>
  <si>
    <t xml:space="preserve">(386) 212-9934</t>
  </si>
  <si>
    <t xml:space="preserve">qban.it.solution@hotmail.com</t>
  </si>
  <si>
    <t xml:space="preserve">205 Seabreeze Blvd</t>
  </si>
  <si>
    <t xml:space="preserve">Daytona Beach</t>
  </si>
  <si>
    <t xml:space="preserve">32118</t>
  </si>
  <si>
    <t xml:space="preserve">C51630</t>
  </si>
  <si>
    <t xml:space="preserve">657983</t>
  </si>
  <si>
    <t xml:space="preserve">498988</t>
  </si>
  <si>
    <t xml:space="preserve">213739</t>
  </si>
  <si>
    <t xml:space="preserve">AB OVO LLC</t>
  </si>
  <si>
    <t xml:space="preserve">Christopher Mora</t>
  </si>
  <si>
    <t xml:space="preserve">(210) 589-5460</t>
  </si>
  <si>
    <t xml:space="preserve">gomobileup@gmail.com</t>
  </si>
  <si>
    <t xml:space="preserve">4518 Walzem Rd</t>
  </si>
  <si>
    <t xml:space="preserve">1</t>
  </si>
  <si>
    <t xml:space="preserve">C51666</t>
  </si>
  <si>
    <t xml:space="preserve">657986</t>
  </si>
  <si>
    <t xml:space="preserve">498991</t>
  </si>
  <si>
    <t xml:space="preserve">213738</t>
  </si>
  <si>
    <t xml:space="preserve">Iphone Market LLC</t>
  </si>
  <si>
    <t xml:space="preserve">Cheikh Lo</t>
  </si>
  <si>
    <t xml:space="preserve">(502) 269-5177</t>
  </si>
  <si>
    <t xml:space="preserve">Iphonemarket2025@icloud.com</t>
  </si>
  <si>
    <t xml:space="preserve">2201 W Broadway</t>
  </si>
  <si>
    <t xml:space="preserve">Louisville</t>
  </si>
  <si>
    <t xml:space="preserve">KY</t>
  </si>
  <si>
    <t xml:space="preserve">40211</t>
  </si>
  <si>
    <t xml:space="preserve">C51670</t>
  </si>
  <si>
    <t xml:space="preserve">657978</t>
  </si>
  <si>
    <t xml:space="preserve">498983</t>
  </si>
  <si>
    <t xml:space="preserve">213736</t>
  </si>
  <si>
    <t xml:space="preserve">Electronics Quick Fix LLC</t>
  </si>
  <si>
    <t xml:space="preserve">Bernabe Ruiz Jarquin</t>
  </si>
  <si>
    <t xml:space="preserve">3875 Wadsworth Blvd</t>
  </si>
  <si>
    <t xml:space="preserve">Wheat Ridge</t>
  </si>
  <si>
    <t xml:space="preserve">80033</t>
  </si>
  <si>
    <t xml:space="preserve">213735</t>
  </si>
  <si>
    <t xml:space="preserve">Sell 4 Less</t>
  </si>
  <si>
    <t xml:space="preserve">Elliott Rosa</t>
  </si>
  <si>
    <t xml:space="preserve">(610) 849-2661</t>
  </si>
  <si>
    <t xml:space="preserve">bestdealsaround2008@gmail.com</t>
  </si>
  <si>
    <t xml:space="preserve">735 E 4th Street</t>
  </si>
  <si>
    <t xml:space="preserve">Bethlehem</t>
  </si>
  <si>
    <t xml:space="preserve">18015</t>
  </si>
  <si>
    <t xml:space="preserve">C51665</t>
  </si>
  <si>
    <t xml:space="preserve">658150</t>
  </si>
  <si>
    <t xml:space="preserve">499154</t>
  </si>
  <si>
    <t xml:space="preserve">213734</t>
  </si>
  <si>
    <t xml:space="preserve">Cell Tech Phone Repair LLC</t>
  </si>
  <si>
    <t xml:space="preserve">Mazhdi Dridi</t>
  </si>
  <si>
    <t xml:space="preserve">(502) 716-3604</t>
  </si>
  <si>
    <t xml:space="preserve">mejdidridi@yahoo.com</t>
  </si>
  <si>
    <t xml:space="preserve">2909 Preston Highway</t>
  </si>
  <si>
    <t xml:space="preserve">2</t>
  </si>
  <si>
    <t xml:space="preserve">40217</t>
  </si>
  <si>
    <t xml:space="preserve">C51692</t>
  </si>
  <si>
    <t xml:space="preserve">657960</t>
  </si>
  <si>
    <t xml:space="preserve">498965</t>
  </si>
  <si>
    <t xml:space="preserve">213733</t>
  </si>
  <si>
    <t xml:space="preserve">Fast Phone Repair LLC</t>
  </si>
  <si>
    <t xml:space="preserve">Naoufel Zoghbi</t>
  </si>
  <si>
    <t xml:space="preserve">(502) 447-7767</t>
  </si>
  <si>
    <t xml:space="preserve">fastphonerepair5131@hotmail.com</t>
  </si>
  <si>
    <t xml:space="preserve">5131 Dixie Highway</t>
  </si>
  <si>
    <t xml:space="preserve">Suite B</t>
  </si>
  <si>
    <t xml:space="preserve">40216</t>
  </si>
  <si>
    <t xml:space="preserve">C51660</t>
  </si>
  <si>
    <t xml:space="preserve">657972</t>
  </si>
  <si>
    <t xml:space="preserve">498977</t>
  </si>
  <si>
    <t xml:space="preserve">213732</t>
  </si>
  <si>
    <t xml:space="preserve">I-Talk &amp; Repairs of IL, Inc</t>
  </si>
  <si>
    <t xml:space="preserve">Manoj Joshi</t>
  </si>
  <si>
    <t xml:space="preserve">(630) 331-4714</t>
  </si>
  <si>
    <t xml:space="preserve">italknrepairs@gmail.com</t>
  </si>
  <si>
    <t xml:space="preserve">1661 N Illinois Rte 59</t>
  </si>
  <si>
    <t xml:space="preserve">Naperville</t>
  </si>
  <si>
    <t xml:space="preserve">60563</t>
  </si>
  <si>
    <t xml:space="preserve">C51656</t>
  </si>
  <si>
    <t xml:space="preserve">657954</t>
  </si>
  <si>
    <t xml:space="preserve">498959</t>
  </si>
  <si>
    <t xml:space="preserve">213727</t>
  </si>
  <si>
    <t xml:space="preserve">I Wireless Plus Inc DBA Family Wireless</t>
  </si>
  <si>
    <t xml:space="preserve">Jehad Zidan</t>
  </si>
  <si>
    <t xml:space="preserve">(318) 746-0061</t>
  </si>
  <si>
    <t xml:space="preserve">Jehad.zidan88@gmail.com</t>
  </si>
  <si>
    <t xml:space="preserve">3111 E Texas St</t>
  </si>
  <si>
    <t xml:space="preserve">Bossier City</t>
  </si>
  <si>
    <t xml:space="preserve">71111</t>
  </si>
  <si>
    <t xml:space="preserve">C51661</t>
  </si>
  <si>
    <t xml:space="preserve">657945</t>
  </si>
  <si>
    <t xml:space="preserve">498950</t>
  </si>
  <si>
    <t xml:space="preserve">213725</t>
  </si>
  <si>
    <t xml:space="preserve">I&amp;J Quick Stop Inc DBA Tech Solutions</t>
  </si>
  <si>
    <t xml:space="preserve">(318) 588-5080</t>
  </si>
  <si>
    <t xml:space="preserve">techsolutionsla@icloud.com</t>
  </si>
  <si>
    <t xml:space="preserve">1131 Airline Dr</t>
  </si>
  <si>
    <t xml:space="preserve">71112</t>
  </si>
  <si>
    <t xml:space="preserve">C51659</t>
  </si>
  <si>
    <t xml:space="preserve">657913</t>
  </si>
  <si>
    <t xml:space="preserve">498917</t>
  </si>
  <si>
    <t xml:space="preserve">213724</t>
  </si>
  <si>
    <t xml:space="preserve">Buddy Friends Corp</t>
  </si>
  <si>
    <t xml:space="preserve">Abdel Salam Rahman Halim</t>
  </si>
  <si>
    <t xml:space="preserve">(760) 329-8026</t>
  </si>
  <si>
    <t xml:space="preserve">99plusdiscount@gmail.com</t>
  </si>
  <si>
    <t xml:space="preserve">13313 Palm Dr</t>
  </si>
  <si>
    <t xml:space="preserve">Desert Hot Springs</t>
  </si>
  <si>
    <t xml:space="preserve">92240</t>
  </si>
  <si>
    <t xml:space="preserve">C51650</t>
  </si>
  <si>
    <t xml:space="preserve">657932</t>
  </si>
  <si>
    <t xml:space="preserve">498937</t>
  </si>
  <si>
    <t xml:space="preserve">213723</t>
  </si>
  <si>
    <t xml:space="preserve">Smart Trading LLC</t>
  </si>
  <si>
    <t xml:space="preserve">lasmarttrading@gmail.com</t>
  </si>
  <si>
    <t xml:space="preserve">1670 Barataria Blvd</t>
  </si>
  <si>
    <t xml:space="preserve">B-1</t>
  </si>
  <si>
    <t xml:space="preserve">Marrero</t>
  </si>
  <si>
    <t xml:space="preserve">70072</t>
  </si>
  <si>
    <t xml:space="preserve">C51654</t>
  </si>
  <si>
    <t xml:space="preserve">657928</t>
  </si>
  <si>
    <t xml:space="preserve">498932</t>
  </si>
  <si>
    <t xml:space="preserve">213718</t>
  </si>
  <si>
    <t xml:space="preserve">La Fe Group LLC</t>
  </si>
  <si>
    <t xml:space="preserve">Ingrid Mendez</t>
  </si>
  <si>
    <t xml:space="preserve">(631) 524-5166</t>
  </si>
  <si>
    <t xml:space="preserve">aaron@lafegroup.com</t>
  </si>
  <si>
    <t xml:space="preserve">74 Carleton Ave</t>
  </si>
  <si>
    <t xml:space="preserve">C51652</t>
  </si>
  <si>
    <t xml:space="preserve">213716</t>
  </si>
  <si>
    <t xml:space="preserve">Las Palma Express LLC</t>
  </si>
  <si>
    <t xml:space="preserve">Miriam Rodriguez</t>
  </si>
  <si>
    <t xml:space="preserve">1509 Center St</t>
  </si>
  <si>
    <t xml:space="preserve">New Iberia</t>
  </si>
  <si>
    <t xml:space="preserve">70560</t>
  </si>
  <si>
    <t xml:space="preserve">213715</t>
  </si>
  <si>
    <t xml:space="preserve">Quick Wireless INC</t>
  </si>
  <si>
    <t xml:space="preserve">Ouadia Kharbach</t>
  </si>
  <si>
    <t xml:space="preserve">1512 Center St</t>
  </si>
  <si>
    <t xml:space="preserve">657985</t>
  </si>
  <si>
    <t xml:space="preserve">498990</t>
  </si>
  <si>
    <t xml:space="preserve">213713</t>
  </si>
  <si>
    <t xml:space="preserve">WirelessTree Consulting Corp</t>
  </si>
  <si>
    <t xml:space="preserve">David Kong</t>
  </si>
  <si>
    <t xml:space="preserve">(626) 232-9950</t>
  </si>
  <si>
    <t xml:space="preserve">thegenmobile@gmail.com</t>
  </si>
  <si>
    <t xml:space="preserve">3018 Durfee Ave</t>
  </si>
  <si>
    <t xml:space="preserve">STE B</t>
  </si>
  <si>
    <t xml:space="preserve">C51669</t>
  </si>
  <si>
    <t xml:space="preserve">213710</t>
  </si>
  <si>
    <t xml:space="preserve">Sams Wireless</t>
  </si>
  <si>
    <t xml:space="preserve">Adam Mohammed</t>
  </si>
  <si>
    <t xml:space="preserve">908 Charity St</t>
  </si>
  <si>
    <t xml:space="preserve">Abbeville</t>
  </si>
  <si>
    <t xml:space="preserve">70510</t>
  </si>
  <si>
    <t xml:space="preserve">658008</t>
  </si>
  <si>
    <t xml:space="preserve">499013</t>
  </si>
  <si>
    <t xml:space="preserve">213705</t>
  </si>
  <si>
    <t xml:space="preserve">Cel Tell LLC</t>
  </si>
  <si>
    <t xml:space="preserve">Rafael Mejia</t>
  </si>
  <si>
    <t xml:space="preserve">(225) 442-2233</t>
  </si>
  <si>
    <t xml:space="preserve">11455f@gmail.com</t>
  </si>
  <si>
    <t xml:space="preserve">2244 N Sherwood Forest Dr</t>
  </si>
  <si>
    <t xml:space="preserve">C51671</t>
  </si>
  <si>
    <t xml:space="preserve">213704</t>
  </si>
  <si>
    <t xml:space="preserve">Master Identity LLC</t>
  </si>
  <si>
    <t xml:space="preserve">Soufiane Boussid</t>
  </si>
  <si>
    <t xml:space="preserve">4611 St John Ave</t>
  </si>
  <si>
    <t xml:space="preserve">64123</t>
  </si>
  <si>
    <t xml:space="preserve">657887</t>
  </si>
  <si>
    <t xml:space="preserve">498891</t>
  </si>
  <si>
    <t xml:space="preserve">213703</t>
  </si>
  <si>
    <t xml:space="preserve">Universal Phone Repair LLC</t>
  </si>
  <si>
    <t xml:space="preserve">Teofilo Borja</t>
  </si>
  <si>
    <t xml:space="preserve">(631) 624-2126</t>
  </si>
  <si>
    <t xml:space="preserve">147envios@gmail.com</t>
  </si>
  <si>
    <t xml:space="preserve">147 E Main St</t>
  </si>
  <si>
    <t xml:space="preserve">C51644</t>
  </si>
  <si>
    <t xml:space="preserve">657869</t>
  </si>
  <si>
    <t xml:space="preserve">498873</t>
  </si>
  <si>
    <t xml:space="preserve">213701</t>
  </si>
  <si>
    <t xml:space="preserve">Top Tech Wireless INC</t>
  </si>
  <si>
    <t xml:space="preserve">Youness Benkabbou</t>
  </si>
  <si>
    <t xml:space="preserve">(484) 494-0315</t>
  </si>
  <si>
    <t xml:space="preserve">toptechwirelessplus@gmail.com</t>
  </si>
  <si>
    <t xml:space="preserve">943 Macdade Blvd</t>
  </si>
  <si>
    <t xml:space="preserve">Collingdale</t>
  </si>
  <si>
    <t xml:space="preserve">19023</t>
  </si>
  <si>
    <t xml:space="preserve">C51642</t>
  </si>
  <si>
    <t xml:space="preserve">657901</t>
  </si>
  <si>
    <t xml:space="preserve">498905</t>
  </si>
  <si>
    <t xml:space="preserve">213700</t>
  </si>
  <si>
    <t xml:space="preserve">My Phone LLC</t>
  </si>
  <si>
    <t xml:space="preserve">Hamdan Mohammad</t>
  </si>
  <si>
    <t xml:space="preserve">(267) 282-3451</t>
  </si>
  <si>
    <t xml:space="preserve">myphoneus7042@gmail.com</t>
  </si>
  <si>
    <t xml:space="preserve">7042 Terminal Square</t>
  </si>
  <si>
    <t xml:space="preserve">Upper Darby</t>
  </si>
  <si>
    <t xml:space="preserve">19082</t>
  </si>
  <si>
    <t xml:space="preserve">C51646</t>
  </si>
  <si>
    <t xml:space="preserve">657900</t>
  </si>
  <si>
    <t xml:space="preserve">498904</t>
  </si>
  <si>
    <t xml:space="preserve">213697</t>
  </si>
  <si>
    <t xml:space="preserve">All Cellular LLC</t>
  </si>
  <si>
    <t xml:space="preserve">Tabassum Tahmina</t>
  </si>
  <si>
    <t xml:space="preserve">(469) 449-6556</t>
  </si>
  <si>
    <t xml:space="preserve">irvingcellular25@gmail.com</t>
  </si>
  <si>
    <t xml:space="preserve">4455 Northgate Dr</t>
  </si>
  <si>
    <t xml:space="preserve">75038</t>
  </si>
  <si>
    <t xml:space="preserve">C51647</t>
  </si>
  <si>
    <t xml:space="preserve">657860</t>
  </si>
  <si>
    <t xml:space="preserve">498864</t>
  </si>
  <si>
    <t xml:space="preserve">213689</t>
  </si>
  <si>
    <t xml:space="preserve">Yakety Yak Mile High Reapirs</t>
  </si>
  <si>
    <t xml:space="preserve">Sergio Quinto Sanchez</t>
  </si>
  <si>
    <t xml:space="preserve">(303) 751-9255</t>
  </si>
  <si>
    <t xml:space="preserve">yaketyyak061989@gmail.com</t>
  </si>
  <si>
    <t xml:space="preserve">14068 E Mississippi Ave</t>
  </si>
  <si>
    <t xml:space="preserve">80012</t>
  </si>
  <si>
    <t xml:space="preserve">C51640</t>
  </si>
  <si>
    <t xml:space="preserve">657845</t>
  </si>
  <si>
    <t xml:space="preserve">498849</t>
  </si>
  <si>
    <t xml:space="preserve">213673</t>
  </si>
  <si>
    <t xml:space="preserve">Digimobile</t>
  </si>
  <si>
    <t xml:space="preserve">Rafael Quiroz</t>
  </si>
  <si>
    <t xml:space="preserve">(631) 619-6511</t>
  </si>
  <si>
    <t xml:space="preserve">digimobileus@gmail.com</t>
  </si>
  <si>
    <t xml:space="preserve">401 Hawkins ave</t>
  </si>
  <si>
    <t xml:space="preserve">Ronkonkoma</t>
  </si>
  <si>
    <t xml:space="preserve">11779</t>
  </si>
  <si>
    <t xml:space="preserve">C51637</t>
  </si>
  <si>
    <t xml:space="preserve">657808</t>
  </si>
  <si>
    <t xml:space="preserve">498816</t>
  </si>
  <si>
    <t xml:space="preserve">213661</t>
  </si>
  <si>
    <t xml:space="preserve">Best Phone Repair Corp</t>
  </si>
  <si>
    <t xml:space="preserve">Eduardo Saucedo</t>
  </si>
  <si>
    <t xml:space="preserve">(760) 315-0701</t>
  </si>
  <si>
    <t xml:space="preserve">onlyphones123@gmail.com</t>
  </si>
  <si>
    <t xml:space="preserve">1530 Main St</t>
  </si>
  <si>
    <t xml:space="preserve">Ramona</t>
  </si>
  <si>
    <t xml:space="preserve">92065</t>
  </si>
  <si>
    <t xml:space="preserve">C51632</t>
  </si>
  <si>
    <t xml:space="preserve">657835</t>
  </si>
  <si>
    <t xml:space="preserve">498839</t>
  </si>
  <si>
    <t xml:space="preserve">213658</t>
  </si>
  <si>
    <t xml:space="preserve">Ignite Corporation LLC</t>
  </si>
  <si>
    <t xml:space="preserve">Astrid Garcia</t>
  </si>
  <si>
    <t xml:space="preserve">(956) 545-0115</t>
  </si>
  <si>
    <t xml:space="preserve">ignitecorporationllc@gmail.com</t>
  </si>
  <si>
    <t xml:space="preserve">4402 Paredes Line Rd</t>
  </si>
  <si>
    <t xml:space="preserve">Brownsville</t>
  </si>
  <si>
    <t xml:space="preserve">78526</t>
  </si>
  <si>
    <t xml:space="preserve">C51636</t>
  </si>
  <si>
    <t xml:space="preserve">213649</t>
  </si>
  <si>
    <t xml:space="preserve">Walkman Enterprises Inc</t>
  </si>
  <si>
    <t xml:space="preserve">657947</t>
  </si>
  <si>
    <t xml:space="preserve">498952</t>
  </si>
  <si>
    <t xml:space="preserve">213652</t>
  </si>
  <si>
    <t xml:space="preserve">Cell Phone and Computer Repair LLC</t>
  </si>
  <si>
    <t xml:space="preserve">Imad UI Haq</t>
  </si>
  <si>
    <t xml:space="preserve">(972) 656-9341</t>
  </si>
  <si>
    <t xml:space="preserve">imadulhaq93@gmail.com</t>
  </si>
  <si>
    <t xml:space="preserve">9191 Forest Ln</t>
  </si>
  <si>
    <t xml:space="preserve">Ste A3</t>
  </si>
  <si>
    <t xml:space="preserve">75243</t>
  </si>
  <si>
    <t xml:space="preserve">C51658</t>
  </si>
  <si>
    <t xml:space="preserve">657733</t>
  </si>
  <si>
    <t xml:space="preserve">498768</t>
  </si>
  <si>
    <t xml:space="preserve">213643</t>
  </si>
  <si>
    <t xml:space="preserve">The Lucky Phone Inc</t>
  </si>
  <si>
    <t xml:space="preserve">Angelo Arruela</t>
  </si>
  <si>
    <t xml:space="preserve">(312) 763-1940</t>
  </si>
  <si>
    <t xml:space="preserve">luckyphoneshop606@gmail.com</t>
  </si>
  <si>
    <t xml:space="preserve">5029 W Montrose Ave</t>
  </si>
  <si>
    <t xml:space="preserve">60641</t>
  </si>
  <si>
    <t xml:space="preserve">C51624</t>
  </si>
  <si>
    <t xml:space="preserve">657747</t>
  </si>
  <si>
    <t xml:space="preserve">498782</t>
  </si>
  <si>
    <t xml:space="preserve">213642</t>
  </si>
  <si>
    <t xml:space="preserve">A&amp;J Unlimited Cells LLC</t>
  </si>
  <si>
    <t xml:space="preserve">Mohamid Hemid</t>
  </si>
  <si>
    <t xml:space="preserve">(407) 730-4671</t>
  </si>
  <si>
    <t xml:space="preserve">Adam198247@yahoo.com</t>
  </si>
  <si>
    <t xml:space="preserve">5555 W Colonial Dr</t>
  </si>
  <si>
    <t xml:space="preserve">Orlando</t>
  </si>
  <si>
    <t xml:space="preserve">32808</t>
  </si>
  <si>
    <t xml:space="preserve">C51627</t>
  </si>
  <si>
    <t xml:space="preserve">657785</t>
  </si>
  <si>
    <t xml:space="preserve">498792</t>
  </si>
  <si>
    <t xml:space="preserve">213641</t>
  </si>
  <si>
    <t xml:space="preserve">New Generation Wireless LLC</t>
  </si>
  <si>
    <t xml:space="preserve">Frances Ojeda</t>
  </si>
  <si>
    <t xml:space="preserve">(214) 299-9272</t>
  </si>
  <si>
    <t xml:space="preserve">newgenerationwirelessllc@gmail.com</t>
  </si>
  <si>
    <t xml:space="preserve">1750 Northwest Hwy</t>
  </si>
  <si>
    <t xml:space="preserve">75041</t>
  </si>
  <si>
    <t xml:space="preserve">C51626</t>
  </si>
  <si>
    <t xml:space="preserve">655776</t>
  </si>
  <si>
    <t xml:space="preserve">496904</t>
  </si>
  <si>
    <t xml:space="preserve">213639</t>
  </si>
  <si>
    <t xml:space="preserve">RMZ Business LLC</t>
  </si>
  <si>
    <t xml:space="preserve">Marco A Ramirez Delgado</t>
  </si>
  <si>
    <t xml:space="preserve">(956) 679-1694</t>
  </si>
  <si>
    <t xml:space="preserve">rmzphoneaccessories@gmail.com</t>
  </si>
  <si>
    <t xml:space="preserve">812 E Saunders st</t>
  </si>
  <si>
    <t xml:space="preserve">78041</t>
  </si>
  <si>
    <t xml:space="preserve">C51336</t>
  </si>
  <si>
    <t xml:space="preserve">657716</t>
  </si>
  <si>
    <t xml:space="preserve">498751</t>
  </si>
  <si>
    <t xml:space="preserve">213635</t>
  </si>
  <si>
    <t xml:space="preserve">Soli Supermarket LLC</t>
  </si>
  <si>
    <t xml:space="preserve">Ahmed Soliman</t>
  </si>
  <si>
    <t xml:space="preserve">(314) 528-8596</t>
  </si>
  <si>
    <t xml:space="preserve">soliwireless2013@gmail.com</t>
  </si>
  <si>
    <t xml:space="preserve">13240 New Halls Ferry Road</t>
  </si>
  <si>
    <t xml:space="preserve">Florissant</t>
  </si>
  <si>
    <t xml:space="preserve">63033</t>
  </si>
  <si>
    <t xml:space="preserve">C51623</t>
  </si>
  <si>
    <t xml:space="preserve">657709</t>
  </si>
  <si>
    <t xml:space="preserve">498743</t>
  </si>
  <si>
    <t xml:space="preserve">213634</t>
  </si>
  <si>
    <t xml:space="preserve">Ghanameh Trading Inc</t>
  </si>
  <si>
    <t xml:space="preserve">Abdul Ghanameh</t>
  </si>
  <si>
    <t xml:space="preserve">(904) 454-1178</t>
  </si>
  <si>
    <t xml:space="preserve">ka8mus@yahoo.com</t>
  </si>
  <si>
    <t xml:space="preserve">1250 S Walnut St</t>
  </si>
  <si>
    <t xml:space="preserve">Starke</t>
  </si>
  <si>
    <t xml:space="preserve">32091</t>
  </si>
  <si>
    <t xml:space="preserve">C51622</t>
  </si>
  <si>
    <t xml:space="preserve">657659</t>
  </si>
  <si>
    <t xml:space="preserve">498693</t>
  </si>
  <si>
    <t xml:space="preserve">213633</t>
  </si>
  <si>
    <t xml:space="preserve">Manyror Ayom</t>
  </si>
  <si>
    <t xml:space="preserve">(904) 651-3477</t>
  </si>
  <si>
    <t xml:space="preserve">manyror84@yahoo.com</t>
  </si>
  <si>
    <t xml:space="preserve">7646 Lem Turner Rd</t>
  </si>
  <si>
    <t xml:space="preserve">Jacksonville</t>
  </si>
  <si>
    <t xml:space="preserve">32208</t>
  </si>
  <si>
    <t xml:space="preserve">C51618</t>
  </si>
  <si>
    <t xml:space="preserve">657589</t>
  </si>
  <si>
    <t xml:space="preserve">498619</t>
  </si>
  <si>
    <t xml:space="preserve">213628</t>
  </si>
  <si>
    <t xml:space="preserve">Azure N Estates LLC</t>
  </si>
  <si>
    <t xml:space="preserve">Suryakiran Navath</t>
  </si>
  <si>
    <t xml:space="preserve">(520) 812-9361</t>
  </si>
  <si>
    <t xml:space="preserve">Suryakiran.navath@gmail.com</t>
  </si>
  <si>
    <t xml:space="preserve">2002 HWY 66</t>
  </si>
  <si>
    <t xml:space="preserve">75040</t>
  </si>
  <si>
    <t xml:space="preserve">C51603</t>
  </si>
  <si>
    <t xml:space="preserve">657702</t>
  </si>
  <si>
    <t xml:space="preserve">498736</t>
  </si>
  <si>
    <t xml:space="preserve">213627</t>
  </si>
  <si>
    <t xml:space="preserve">DR Multiservices LLC</t>
  </si>
  <si>
    <t xml:space="preserve">Danny Rojas</t>
  </si>
  <si>
    <t xml:space="preserve">(617) 908-4897</t>
  </si>
  <si>
    <t xml:space="preserve">drmultiservices02130@gmail.com</t>
  </si>
  <si>
    <t xml:space="preserve">3156 Washington St</t>
  </si>
  <si>
    <t xml:space="preserve">Jamaica Plain</t>
  </si>
  <si>
    <t xml:space="preserve">02130</t>
  </si>
  <si>
    <t xml:space="preserve">C51620</t>
  </si>
  <si>
    <t xml:space="preserve">657621</t>
  </si>
  <si>
    <t xml:space="preserve">498655</t>
  </si>
  <si>
    <t xml:space="preserve">213625</t>
  </si>
  <si>
    <t xml:space="preserve">Mecca Wireless Inc</t>
  </si>
  <si>
    <t xml:space="preserve">950 N Avalon Blvd</t>
  </si>
  <si>
    <t xml:space="preserve">90744</t>
  </si>
  <si>
    <t xml:space="preserve">213624</t>
  </si>
  <si>
    <t xml:space="preserve">OSL Retail Services Corporation</t>
  </si>
  <si>
    <t xml:space="preserve">Brett Farren</t>
  </si>
  <si>
    <t xml:space="preserve">8901 Wisconsin Ave</t>
  </si>
  <si>
    <t xml:space="preserve">Bethesda</t>
  </si>
  <si>
    <t xml:space="preserve">20889</t>
  </si>
  <si>
    <t xml:space="preserve">213623</t>
  </si>
  <si>
    <t xml:space="preserve">506 Larcher Blvd</t>
  </si>
  <si>
    <t xml:space="preserve">Biloxi</t>
  </si>
  <si>
    <t xml:space="preserve">MS</t>
  </si>
  <si>
    <t xml:space="preserve">39534</t>
  </si>
  <si>
    <t xml:space="preserve">213622</t>
  </si>
  <si>
    <t xml:space="preserve">5405 Granite St</t>
  </si>
  <si>
    <t xml:space="preserve">Tuscon</t>
  </si>
  <si>
    <t xml:space="preserve">85708</t>
  </si>
  <si>
    <t xml:space="preserve">657697</t>
  </si>
  <si>
    <t xml:space="preserve">498731</t>
  </si>
  <si>
    <t xml:space="preserve">213621</t>
  </si>
  <si>
    <t xml:space="preserve">Computer Store LLC</t>
  </si>
  <si>
    <t xml:space="preserve">Dwane Thompson</t>
  </si>
  <si>
    <t xml:space="preserve">(915) 886-7098</t>
  </si>
  <si>
    <t xml:space="preserve">ostopcomputerz@gmail.com</t>
  </si>
  <si>
    <t xml:space="preserve">816 Franklin St</t>
  </si>
  <si>
    <t xml:space="preserve">Anthony</t>
  </si>
  <si>
    <t xml:space="preserve">79821</t>
  </si>
  <si>
    <t xml:space="preserve">C51619</t>
  </si>
  <si>
    <t xml:space="preserve">657619</t>
  </si>
  <si>
    <t xml:space="preserve">498653</t>
  </si>
  <si>
    <t xml:space="preserve">213616</t>
  </si>
  <si>
    <t xml:space="preserve">P Wireless Inc</t>
  </si>
  <si>
    <t xml:space="preserve">Leidy Polanco</t>
  </si>
  <si>
    <t xml:space="preserve">(508) 363-2393</t>
  </si>
  <si>
    <t xml:space="preserve">bolivioexpress@gmail.com</t>
  </si>
  <si>
    <t xml:space="preserve">689 Main St</t>
  </si>
  <si>
    <t xml:space="preserve">01610</t>
  </si>
  <si>
    <t xml:space="preserve">C51608</t>
  </si>
  <si>
    <t xml:space="preserve">657617</t>
  </si>
  <si>
    <t xml:space="preserve">498649</t>
  </si>
  <si>
    <t xml:space="preserve">213614</t>
  </si>
  <si>
    <t xml:space="preserve">Straight Repair</t>
  </si>
  <si>
    <t xml:space="preserve">Yahya Hindi</t>
  </si>
  <si>
    <t xml:space="preserve">(216) 307-9794</t>
  </si>
  <si>
    <t xml:space="preserve">straightrepair@yahoo.com</t>
  </si>
  <si>
    <t xml:space="preserve">3363 E 93rd Street</t>
  </si>
  <si>
    <t xml:space="preserve">44104</t>
  </si>
  <si>
    <t xml:space="preserve">C51607</t>
  </si>
  <si>
    <t xml:space="preserve">657603</t>
  </si>
  <si>
    <t xml:space="preserve">498633</t>
  </si>
  <si>
    <t xml:space="preserve">213610</t>
  </si>
  <si>
    <t xml:space="preserve">sales@kmelectronicscorp.com</t>
  </si>
  <si>
    <t xml:space="preserve">659 N Green St</t>
  </si>
  <si>
    <t xml:space="preserve">Brownsburg</t>
  </si>
  <si>
    <t xml:space="preserve">46112</t>
  </si>
  <si>
    <t xml:space="preserve">C51606</t>
  </si>
  <si>
    <t xml:space="preserve">657590</t>
  </si>
  <si>
    <t xml:space="preserve">498620</t>
  </si>
  <si>
    <t xml:space="preserve">213605</t>
  </si>
  <si>
    <t xml:space="preserve">Phonexperts LLC</t>
  </si>
  <si>
    <t xml:space="preserve">Babar Saeed</t>
  </si>
  <si>
    <t xml:space="preserve">(918) 835-3308</t>
  </si>
  <si>
    <t xml:space="preserve">info@phonexperts.net</t>
  </si>
  <si>
    <t xml:space="preserve">3308 E Pine Rd</t>
  </si>
  <si>
    <t xml:space="preserve">Tulsa</t>
  </si>
  <si>
    <t xml:space="preserve">74115</t>
  </si>
  <si>
    <t xml:space="preserve">C51604</t>
  </si>
  <si>
    <t xml:space="preserve">658101</t>
  </si>
  <si>
    <t xml:space="preserve">499104</t>
  </si>
  <si>
    <t xml:space="preserve">213603</t>
  </si>
  <si>
    <t xml:space="preserve">Ly Wireless 1 LLC</t>
  </si>
  <si>
    <t xml:space="preserve">Alhadi A Altower</t>
  </si>
  <si>
    <t xml:space="preserve">(317) 742-7101</t>
  </si>
  <si>
    <t xml:space="preserve">lywireless1@gmail.com</t>
  </si>
  <si>
    <t xml:space="preserve">2326 E Main St</t>
  </si>
  <si>
    <t xml:space="preserve">Plainfield</t>
  </si>
  <si>
    <t xml:space="preserve">46168</t>
  </si>
  <si>
    <t xml:space="preserve">C51688</t>
  </si>
  <si>
    <t xml:space="preserve">657560</t>
  </si>
  <si>
    <t xml:space="preserve">498589</t>
  </si>
  <si>
    <t xml:space="preserve">213599</t>
  </si>
  <si>
    <t xml:space="preserve">Reyr Corporation</t>
  </si>
  <si>
    <t xml:space="preserve">Yosendy Almanza-Reyes</t>
  </si>
  <si>
    <t xml:space="preserve">(323) 457-9006</t>
  </si>
  <si>
    <t xml:space="preserve">ezphonerepair4@gmail.com</t>
  </si>
  <si>
    <t xml:space="preserve">4522 Slauson Ave</t>
  </si>
  <si>
    <t xml:space="preserve">Maywood</t>
  </si>
  <si>
    <t xml:space="preserve">90270</t>
  </si>
  <si>
    <t xml:space="preserve">C51576</t>
  </si>
  <si>
    <t xml:space="preserve">655812</t>
  </si>
  <si>
    <t xml:space="preserve">496940</t>
  </si>
  <si>
    <t xml:space="preserve">213598</t>
  </si>
  <si>
    <t xml:space="preserve">DND UNITED, LLC</t>
  </si>
  <si>
    <t xml:space="preserve">DELRICK WILLIAMS</t>
  </si>
  <si>
    <t xml:space="preserve">(210) 449-6001</t>
  </si>
  <si>
    <t xml:space="preserve">lifelinemobile01@gmail.com</t>
  </si>
  <si>
    <t xml:space="preserve">1139 S WW White Rd</t>
  </si>
  <si>
    <t xml:space="preserve">C51615</t>
  </si>
  <si>
    <t xml:space="preserve">657580</t>
  </si>
  <si>
    <t xml:space="preserve">498610</t>
  </si>
  <si>
    <t xml:space="preserve">213592</t>
  </si>
  <si>
    <t xml:space="preserve">Plug-Nick LLC</t>
  </si>
  <si>
    <t xml:space="preserve">Jannick Balladares Illescas</t>
  </si>
  <si>
    <t xml:space="preserve">(516) 601-5544</t>
  </si>
  <si>
    <t xml:space="preserve">nickplug01@gmail.com</t>
  </si>
  <si>
    <t xml:space="preserve">7506 Roosevelt Ave</t>
  </si>
  <si>
    <t xml:space="preserve">C51600</t>
  </si>
  <si>
    <t xml:space="preserve">657547</t>
  </si>
  <si>
    <t xml:space="preserve">498576</t>
  </si>
  <si>
    <t xml:space="preserve">213591</t>
  </si>
  <si>
    <t xml:space="preserve">Gibe Electronics LLC</t>
  </si>
  <si>
    <t xml:space="preserve">Shafi Kero</t>
  </si>
  <si>
    <t xml:space="preserve">(614) 500-9991</t>
  </si>
  <si>
    <t xml:space="preserve">gibeelectronics@yahoo.com</t>
  </si>
  <si>
    <t xml:space="preserve">157 Fairway Blvd</t>
  </si>
  <si>
    <t xml:space="preserve">43213</t>
  </si>
  <si>
    <t xml:space="preserve">C51597</t>
  </si>
  <si>
    <t xml:space="preserve">657535</t>
  </si>
  <si>
    <t xml:space="preserve">498564</t>
  </si>
  <si>
    <t xml:space="preserve">213589</t>
  </si>
  <si>
    <t xml:space="preserve">Cell Phone RX LLC</t>
  </si>
  <si>
    <t xml:space="preserve">Carl Caudell</t>
  </si>
  <si>
    <t xml:space="preserve">(321) 203-9023</t>
  </si>
  <si>
    <t xml:space="preserve">cellphonerxllc@gmail.com</t>
  </si>
  <si>
    <t xml:space="preserve">222 Cheney Hwy</t>
  </si>
  <si>
    <t xml:space="preserve">Titusville</t>
  </si>
  <si>
    <t xml:space="preserve">32780</t>
  </si>
  <si>
    <t xml:space="preserve">C51598</t>
  </si>
  <si>
    <t xml:space="preserve">657545</t>
  </si>
  <si>
    <t xml:space="preserve">498574</t>
  </si>
  <si>
    <t xml:space="preserve">213588</t>
  </si>
  <si>
    <t xml:space="preserve">Hi Venus Wireless Inc</t>
  </si>
  <si>
    <t xml:space="preserve">Harpreet Pahwa</t>
  </si>
  <si>
    <t xml:space="preserve">(718) 533-0303</t>
  </si>
  <si>
    <t xml:space="preserve">hivenuswireless@yahoo.com</t>
  </si>
  <si>
    <t xml:space="preserve">3559 77th St</t>
  </si>
  <si>
    <t xml:space="preserve">C51596</t>
  </si>
  <si>
    <t xml:space="preserve">657529</t>
  </si>
  <si>
    <t xml:space="preserve">498558</t>
  </si>
  <si>
    <t xml:space="preserve">213577</t>
  </si>
  <si>
    <t xml:space="preserve">Shafi Terefe Kero</t>
  </si>
  <si>
    <t xml:space="preserve">3317 E Broad St</t>
  </si>
  <si>
    <t xml:space="preserve">657496</t>
  </si>
  <si>
    <t xml:space="preserve">498524</t>
  </si>
  <si>
    <t xml:space="preserve">213575</t>
  </si>
  <si>
    <t xml:space="preserve">3 Daughts Investments Inc</t>
  </si>
  <si>
    <t xml:space="preserve">Sohail Akhter</t>
  </si>
  <si>
    <t xml:space="preserve">(432) 246-2634</t>
  </si>
  <si>
    <t xml:space="preserve">rexphonerepair@gmail.com</t>
  </si>
  <si>
    <t xml:space="preserve">4555 E University Blvd</t>
  </si>
  <si>
    <t xml:space="preserve">79762</t>
  </si>
  <si>
    <t xml:space="preserve">C51595</t>
  </si>
  <si>
    <t xml:space="preserve">213566</t>
  </si>
  <si>
    <t xml:space="preserve">Express Repairs 1</t>
  </si>
  <si>
    <t xml:space="preserve">Juan Osvaldo Reyes Pedroza</t>
  </si>
  <si>
    <t xml:space="preserve">8387 Alameda Ave</t>
  </si>
  <si>
    <t xml:space="preserve">El Paso</t>
  </si>
  <si>
    <t xml:space="preserve">79907</t>
  </si>
  <si>
    <t xml:space="preserve">657378</t>
  </si>
  <si>
    <t xml:space="preserve">498411</t>
  </si>
  <si>
    <t xml:space="preserve">213565</t>
  </si>
  <si>
    <t xml:space="preserve">Cellvirepair</t>
  </si>
  <si>
    <t xml:space="preserve">Donald W Mena Sobalvarro</t>
  </si>
  <si>
    <t xml:space="preserve">(443) 682-7207</t>
  </si>
  <si>
    <t xml:space="preserve">cellvirepairwireless@gmail.com</t>
  </si>
  <si>
    <t xml:space="preserve">3902 Eastern Ave</t>
  </si>
  <si>
    <t xml:space="preserve">C51589</t>
  </si>
  <si>
    <t xml:space="preserve">213564</t>
  </si>
  <si>
    <t xml:space="preserve">Ataulfo Ambris Mendoza</t>
  </si>
  <si>
    <t xml:space="preserve">10000 N Loop Dr</t>
  </si>
  <si>
    <t xml:space="preserve">79927</t>
  </si>
  <si>
    <t xml:space="preserve">213562</t>
  </si>
  <si>
    <t xml:space="preserve">Ultra Cell Phone Repair</t>
  </si>
  <si>
    <t xml:space="preserve">Cesar Augusto Huizar Perez</t>
  </si>
  <si>
    <t xml:space="preserve">102 NW Davis St</t>
  </si>
  <si>
    <t xml:space="preserve">Fabens</t>
  </si>
  <si>
    <t xml:space="preserve">79838</t>
  </si>
  <si>
    <t xml:space="preserve">213559</t>
  </si>
  <si>
    <t xml:space="preserve">Jay's Affordable Computer Service, LLC</t>
  </si>
  <si>
    <t xml:space="preserve">Roger Keith Jordan Jr</t>
  </si>
  <si>
    <t xml:space="preserve">2855 Tobacco Rd</t>
  </si>
  <si>
    <t xml:space="preserve">Hephzibah</t>
  </si>
  <si>
    <t xml:space="preserve">30815</t>
  </si>
  <si>
    <t xml:space="preserve">657459</t>
  </si>
  <si>
    <t xml:space="preserve">498487</t>
  </si>
  <si>
    <t xml:space="preserve">213557</t>
  </si>
  <si>
    <t xml:space="preserve">Fuller Joe Floyd Jr</t>
  </si>
  <si>
    <t xml:space="preserve">(816) 214-6100</t>
  </si>
  <si>
    <t xml:space="preserve">tjsliquors08@gmail.com</t>
  </si>
  <si>
    <t xml:space="preserve">1509 Main St</t>
  </si>
  <si>
    <t xml:space="preserve">Grandview</t>
  </si>
  <si>
    <t xml:space="preserve">64030</t>
  </si>
  <si>
    <t xml:space="preserve">C51591</t>
  </si>
  <si>
    <t xml:space="preserve">657337</t>
  </si>
  <si>
    <t xml:space="preserve">498370</t>
  </si>
  <si>
    <t xml:space="preserve">213542</t>
  </si>
  <si>
    <t xml:space="preserve">Etele LLC</t>
  </si>
  <si>
    <t xml:space="preserve">Kulwinder Kaur</t>
  </si>
  <si>
    <t xml:space="preserve">(985) 503-3782</t>
  </si>
  <si>
    <t xml:space="preserve">s.karno@cellularsource.net</t>
  </si>
  <si>
    <t xml:space="preserve">4637 Pank Road</t>
  </si>
  <si>
    <t xml:space="preserve">C51581</t>
  </si>
  <si>
    <t xml:space="preserve">657371</t>
  </si>
  <si>
    <t xml:space="preserve">498404</t>
  </si>
  <si>
    <t xml:space="preserve">213537</t>
  </si>
  <si>
    <t xml:space="preserve">Ten 10 Cellular and Computer Repair Inc</t>
  </si>
  <si>
    <t xml:space="preserve">Abdul Malik Popal</t>
  </si>
  <si>
    <t xml:space="preserve">(951) 225-8026</t>
  </si>
  <si>
    <t xml:space="preserve">21535 Palomar St</t>
  </si>
  <si>
    <t xml:space="preserve">Wildomar</t>
  </si>
  <si>
    <t xml:space="preserve">92592</t>
  </si>
  <si>
    <t xml:space="preserve">213525</t>
  </si>
  <si>
    <t xml:space="preserve">Phone Repair &amp; More Carrollwood LLC</t>
  </si>
  <si>
    <t xml:space="preserve">Mohamed Ibrahem Mohamed Samy Hassanen</t>
  </si>
  <si>
    <t xml:space="preserve">10019 N Dale Mabry Hwy</t>
  </si>
  <si>
    <t xml:space="preserve">Ste 600</t>
  </si>
  <si>
    <t xml:space="preserve">Tampa</t>
  </si>
  <si>
    <t xml:space="preserve">33618</t>
  </si>
  <si>
    <t xml:space="preserve">213523</t>
  </si>
  <si>
    <t xml:space="preserve">PHONE REPAIR &amp; MORE, SPRING HILL LLC</t>
  </si>
  <si>
    <t xml:space="preserve">(813) 999-6677</t>
  </si>
  <si>
    <t xml:space="preserve">info@phonerepairmore.com</t>
  </si>
  <si>
    <t xml:space="preserve">12991 Cortez Blvd</t>
  </si>
  <si>
    <t xml:space="preserve">Spring Hill</t>
  </si>
  <si>
    <t xml:space="preserve">34613</t>
  </si>
  <si>
    <t xml:space="preserve">C51513</t>
  </si>
  <si>
    <t xml:space="preserve">213522</t>
  </si>
  <si>
    <t xml:space="preserve">Phone Repair &amp; More, Davenport LLC</t>
  </si>
  <si>
    <t xml:space="preserve">(407) 271-9276</t>
  </si>
  <si>
    <t xml:space="preserve">236 Kersey St</t>
  </si>
  <si>
    <t xml:space="preserve">Davenport</t>
  </si>
  <si>
    <t xml:space="preserve">33897</t>
  </si>
  <si>
    <t xml:space="preserve">C51510</t>
  </si>
  <si>
    <t xml:space="preserve">213521</t>
  </si>
  <si>
    <t xml:space="preserve">Phone Repair &amp; More, Wesley Chapel LLC</t>
  </si>
  <si>
    <t xml:space="preserve">(813) 591-9575</t>
  </si>
  <si>
    <t xml:space="preserve">5339 Village Mkt</t>
  </si>
  <si>
    <t xml:space="preserve">Wesley Chapel</t>
  </si>
  <si>
    <t xml:space="preserve">33543</t>
  </si>
  <si>
    <t xml:space="preserve">C51508</t>
  </si>
  <si>
    <t xml:space="preserve">213520</t>
  </si>
  <si>
    <t xml:space="preserve">PHONE REPAIR &amp; MORE, LAND O' LAKES LLC</t>
  </si>
  <si>
    <t xml:space="preserve">(813) 345-8815</t>
  </si>
  <si>
    <t xml:space="preserve">2436 Land O' Lakes Blvd</t>
  </si>
  <si>
    <t xml:space="preserve">Land O' Lakes</t>
  </si>
  <si>
    <t xml:space="preserve">34639</t>
  </si>
  <si>
    <t xml:space="preserve">C51501</t>
  </si>
  <si>
    <t xml:space="preserve">213519</t>
  </si>
  <si>
    <t xml:space="preserve">PHONE REPAIR &amp; MORE, ST. PETERSBURG LLC</t>
  </si>
  <si>
    <t xml:space="preserve">(727) 350-4413</t>
  </si>
  <si>
    <t xml:space="preserve">2870 34TH ST N</t>
  </si>
  <si>
    <t xml:space="preserve">ST PETERSBURG</t>
  </si>
  <si>
    <t xml:space="preserve">33713</t>
  </si>
  <si>
    <t xml:space="preserve">C51504</t>
  </si>
  <si>
    <t xml:space="preserve">213517</t>
  </si>
  <si>
    <t xml:space="preserve">Phone Repair &amp; More, Zephyrillis LLC</t>
  </si>
  <si>
    <t xml:space="preserve">(813) 395-5581</t>
  </si>
  <si>
    <t xml:space="preserve">info@PhoneRepairMore.com</t>
  </si>
  <si>
    <t xml:space="preserve">7352 Gall Blvd</t>
  </si>
  <si>
    <t xml:space="preserve">Zephyrhills</t>
  </si>
  <si>
    <t xml:space="preserve">33541</t>
  </si>
  <si>
    <t xml:space="preserve">C51395</t>
  </si>
  <si>
    <t xml:space="preserve">657234</t>
  </si>
  <si>
    <t xml:space="preserve">498267</t>
  </si>
  <si>
    <t xml:space="preserve">213510</t>
  </si>
  <si>
    <t xml:space="preserve">Yosendy E Almazan-Reyes</t>
  </si>
  <si>
    <t xml:space="preserve">(626) 406-4745</t>
  </si>
  <si>
    <t xml:space="preserve">1611 Durfee Ave</t>
  </si>
  <si>
    <t xml:space="preserve">Ste 6</t>
  </si>
  <si>
    <t xml:space="preserve">South El Monte</t>
  </si>
  <si>
    <t xml:space="preserve">658037</t>
  </si>
  <si>
    <t xml:space="preserve">499040</t>
  </si>
  <si>
    <t xml:space="preserve">213506</t>
  </si>
  <si>
    <t xml:space="preserve">BreakNfixed</t>
  </si>
  <si>
    <t xml:space="preserve">Micheal Reyes</t>
  </si>
  <si>
    <t xml:space="preserve">(702) 570-0444</t>
  </si>
  <si>
    <t xml:space="preserve">breakNfixed@gmail.com</t>
  </si>
  <si>
    <t xml:space="preserve">565 Marks St</t>
  </si>
  <si>
    <t xml:space="preserve">Ste #110</t>
  </si>
  <si>
    <t xml:space="preserve">Henderson</t>
  </si>
  <si>
    <t xml:space="preserve">89002</t>
  </si>
  <si>
    <t xml:space="preserve">C51682</t>
  </si>
  <si>
    <t xml:space="preserve">657189</t>
  </si>
  <si>
    <t xml:space="preserve">498221</t>
  </si>
  <si>
    <t xml:space="preserve">213496</t>
  </si>
  <si>
    <t xml:space="preserve">Smoke N Cell LLC</t>
  </si>
  <si>
    <t xml:space="preserve">Qamar Cheema</t>
  </si>
  <si>
    <t xml:space="preserve">(951) 924-4651</t>
  </si>
  <si>
    <t xml:space="preserve">qamarcheema786@yahoo.com</t>
  </si>
  <si>
    <t xml:space="preserve">23819 Sunnymead Blvd</t>
  </si>
  <si>
    <t xml:space="preserve">Moreno Valley</t>
  </si>
  <si>
    <t xml:space="preserve">92553</t>
  </si>
  <si>
    <t xml:space="preserve">C51573</t>
  </si>
  <si>
    <t xml:space="preserve">657137</t>
  </si>
  <si>
    <t xml:space="preserve">498171</t>
  </si>
  <si>
    <t xml:space="preserve">213493</t>
  </si>
  <si>
    <t xml:space="preserve">Phone Repairs &amp; Speakers Store, LLC</t>
  </si>
  <si>
    <t xml:space="preserve">Fernando Sanchez</t>
  </si>
  <si>
    <t xml:space="preserve">(760) 567-9561</t>
  </si>
  <si>
    <t xml:space="preserve">eeffsanchez1995@gmail.com</t>
  </si>
  <si>
    <t xml:space="preserve">4455 1/2 Maine Ave</t>
  </si>
  <si>
    <t xml:space="preserve">Baldwin Park</t>
  </si>
  <si>
    <t xml:space="preserve">91706</t>
  </si>
  <si>
    <t xml:space="preserve">C51583</t>
  </si>
  <si>
    <t xml:space="preserve">657149</t>
  </si>
  <si>
    <t xml:space="preserve">213486</t>
  </si>
  <si>
    <t xml:space="preserve">Wash City &amp; More LLC</t>
  </si>
  <si>
    <t xml:space="preserve">Sajid Boghani</t>
  </si>
  <si>
    <t xml:space="preserve">(865) 409-1213</t>
  </si>
  <si>
    <t xml:space="preserve">washcityandmore@gmail.com</t>
  </si>
  <si>
    <t xml:space="preserve">2702 N Central St</t>
  </si>
  <si>
    <t xml:space="preserve">Knoxville</t>
  </si>
  <si>
    <t xml:space="preserve">37917</t>
  </si>
  <si>
    <t xml:space="preserve">C51569</t>
  </si>
  <si>
    <t xml:space="preserve">657121</t>
  </si>
  <si>
    <t xml:space="preserve">498155</t>
  </si>
  <si>
    <t xml:space="preserve">213484</t>
  </si>
  <si>
    <t xml:space="preserve">PHONE REPAIRS &amp; SPEAKERS STORE, LLC</t>
  </si>
  <si>
    <t xml:space="preserve">15715 Amar Rd</t>
  </si>
  <si>
    <t xml:space="preserve">657114</t>
  </si>
  <si>
    <t xml:space="preserve">498149</t>
  </si>
  <si>
    <t xml:space="preserve">213479</t>
  </si>
  <si>
    <t xml:space="preserve">WIRELESS FAM LLC</t>
  </si>
  <si>
    <t xml:space="preserve">MANUEL MENDEZ</t>
  </si>
  <si>
    <t xml:space="preserve">(626) 731-4400</t>
  </si>
  <si>
    <t xml:space="preserve">wirelessfamcellular@gmail.com</t>
  </si>
  <si>
    <t xml:space="preserve">322 N AZUSA AVE</t>
  </si>
  <si>
    <t xml:space="preserve">LA PUENTE</t>
  </si>
  <si>
    <t xml:space="preserve">C48756</t>
  </si>
  <si>
    <t xml:space="preserve">657112</t>
  </si>
  <si>
    <t xml:space="preserve">498147</t>
  </si>
  <si>
    <t xml:space="preserve">213478</t>
  </si>
  <si>
    <t xml:space="preserve">Jazaa Consolidate LLC</t>
  </si>
  <si>
    <t xml:space="preserve">Muniza Noman</t>
  </si>
  <si>
    <t xml:space="preserve">(210) 454-4248</t>
  </si>
  <si>
    <t xml:space="preserve">wirelessdepotsales@gmail.com</t>
  </si>
  <si>
    <t xml:space="preserve">610 SW Military Dr</t>
  </si>
  <si>
    <t xml:space="preserve">C51587</t>
  </si>
  <si>
    <t xml:space="preserve">657151</t>
  </si>
  <si>
    <t xml:space="preserve">498183</t>
  </si>
  <si>
    <t xml:space="preserve">213471</t>
  </si>
  <si>
    <t xml:space="preserve">Lake Tahoe Computers LLC</t>
  </si>
  <si>
    <t xml:space="preserve">Julio Arrue</t>
  </si>
  <si>
    <t xml:space="preserve">(530) 544-3782</t>
  </si>
  <si>
    <t xml:space="preserve">laketahoe.computers@gmail.com</t>
  </si>
  <si>
    <t xml:space="preserve">1169 Ski Run Blvd</t>
  </si>
  <si>
    <t xml:space="preserve">Lake Tahoe</t>
  </si>
  <si>
    <t xml:space="preserve">96150</t>
  </si>
  <si>
    <t xml:space="preserve">C51564</t>
  </si>
  <si>
    <t xml:space="preserve">657086</t>
  </si>
  <si>
    <t xml:space="preserve">498121</t>
  </si>
  <si>
    <t xml:space="preserve">213470</t>
  </si>
  <si>
    <t xml:space="preserve">KLK Multiservice LLC</t>
  </si>
  <si>
    <t xml:space="preserve">Susana Orquidea</t>
  </si>
  <si>
    <t xml:space="preserve">(203) 393-1039</t>
  </si>
  <si>
    <t xml:space="preserve">klkmultiservicellc@gmail.com</t>
  </si>
  <si>
    <t xml:space="preserve">300 Grand Ave</t>
  </si>
  <si>
    <t xml:space="preserve">06513</t>
  </si>
  <si>
    <t xml:space="preserve">C51565</t>
  </si>
  <si>
    <t xml:space="preserve">213468</t>
  </si>
  <si>
    <t xml:space="preserve">Wholesale Screen Masters</t>
  </si>
  <si>
    <t xml:space="preserve">Rodolfo Alcario Jr Jaso</t>
  </si>
  <si>
    <t xml:space="preserve">1104 N Meadow Ave</t>
  </si>
  <si>
    <t xml:space="preserve">657009</t>
  </si>
  <si>
    <t xml:space="preserve">498054</t>
  </si>
  <si>
    <t xml:space="preserve">213457</t>
  </si>
  <si>
    <t xml:space="preserve">Dukan Convenience Corp</t>
  </si>
  <si>
    <t xml:space="preserve">AMMR, Faisal Alharbi</t>
  </si>
  <si>
    <t xml:space="preserve">(315) 991-8202</t>
  </si>
  <si>
    <t xml:space="preserve">dukanstore001@gmail.com</t>
  </si>
  <si>
    <t xml:space="preserve">500 Butternut St</t>
  </si>
  <si>
    <t xml:space="preserve">Syracuse</t>
  </si>
  <si>
    <t xml:space="preserve">13208</t>
  </si>
  <si>
    <t xml:space="preserve">C51563</t>
  </si>
  <si>
    <t xml:space="preserve">656994</t>
  </si>
  <si>
    <t xml:space="preserve">498037</t>
  </si>
  <si>
    <t xml:space="preserve">213453</t>
  </si>
  <si>
    <t xml:space="preserve">E-Z Fix Wireless LLC</t>
  </si>
  <si>
    <t xml:space="preserve">ERMIAS WONDIMU</t>
  </si>
  <si>
    <t xml:space="preserve">(720) 372-7901</t>
  </si>
  <si>
    <t xml:space="preserve">ezfixwirelessllc@gmail.com</t>
  </si>
  <si>
    <t xml:space="preserve">13694 E Alameda Ave</t>
  </si>
  <si>
    <t xml:space="preserve">C51558</t>
  </si>
  <si>
    <t xml:space="preserve">656945</t>
  </si>
  <si>
    <t xml:space="preserve">497988</t>
  </si>
  <si>
    <t xml:space="preserve">213444</t>
  </si>
  <si>
    <t xml:space="preserve">Express Wireless LLC</t>
  </si>
  <si>
    <t xml:space="preserve">JARA KADIR</t>
  </si>
  <si>
    <t xml:space="preserve">(720) 949-1614</t>
  </si>
  <si>
    <t xml:space="preserve">jarakadir20@gmail.com</t>
  </si>
  <si>
    <t xml:space="preserve">10 S Havana St</t>
  </si>
  <si>
    <t xml:space="preserve">113</t>
  </si>
  <si>
    <t xml:space="preserve">C51557</t>
  </si>
  <si>
    <t xml:space="preserve">655736</t>
  </si>
  <si>
    <t xml:space="preserve">496864</t>
  </si>
  <si>
    <t xml:space="preserve">213431</t>
  </si>
  <si>
    <t xml:space="preserve">US MOBILE PHONE REPAIR</t>
  </si>
  <si>
    <t xml:space="preserve">Masum Ahamed</t>
  </si>
  <si>
    <t xml:space="preserve">(313) 775-0589</t>
  </si>
  <si>
    <t xml:space="preserve">usmobile392@gmail.com</t>
  </si>
  <si>
    <t xml:space="preserve">12111 Conant St</t>
  </si>
  <si>
    <t xml:space="preserve">Hamtramck</t>
  </si>
  <si>
    <t xml:space="preserve">48213</t>
  </si>
  <si>
    <t xml:space="preserve">C51586</t>
  </si>
  <si>
    <t xml:space="preserve">213430</t>
  </si>
  <si>
    <t xml:space="preserve">CELL-TECH EXPRESS</t>
  </si>
  <si>
    <t xml:space="preserve">Michael Bilich</t>
  </si>
  <si>
    <t xml:space="preserve">2410 Argillite Rd</t>
  </si>
  <si>
    <t xml:space="preserve">Flatwoods</t>
  </si>
  <si>
    <t xml:space="preserve">41139</t>
  </si>
  <si>
    <t xml:space="preserve">213429</t>
  </si>
  <si>
    <t xml:space="preserve">USA CELL</t>
  </si>
  <si>
    <t xml:space="preserve">German Lopez</t>
  </si>
  <si>
    <t xml:space="preserve">308 S Hambrick St</t>
  </si>
  <si>
    <t xml:space="preserve">Albertville</t>
  </si>
  <si>
    <t xml:space="preserve">AL</t>
  </si>
  <si>
    <t xml:space="preserve">35950</t>
  </si>
  <si>
    <t xml:space="preserve">655774</t>
  </si>
  <si>
    <t xml:space="preserve">496902</t>
  </si>
  <si>
    <t xml:space="preserve">213425</t>
  </si>
  <si>
    <t xml:space="preserve">Marco Ramirez</t>
  </si>
  <si>
    <t xml:space="preserve">102 Camino Nuevo</t>
  </si>
  <si>
    <t xml:space="preserve">C4-9</t>
  </si>
  <si>
    <t xml:space="preserve">213422</t>
  </si>
  <si>
    <t xml:space="preserve">Cell &amp; Computer Repair</t>
  </si>
  <si>
    <t xml:space="preserve">Jahanzaib Lakhani</t>
  </si>
  <si>
    <t xml:space="preserve">12579 Richmond Ave</t>
  </si>
  <si>
    <t xml:space="preserve">77082</t>
  </si>
  <si>
    <t xml:space="preserve">213421</t>
  </si>
  <si>
    <t xml:space="preserve">Texas Wireless</t>
  </si>
  <si>
    <t xml:space="preserve">2040 Richey St</t>
  </si>
  <si>
    <t xml:space="preserve">Pasadena</t>
  </si>
  <si>
    <t xml:space="preserve">77502</t>
  </si>
  <si>
    <t xml:space="preserve">213419</t>
  </si>
  <si>
    <t xml:space="preserve">Computer &amp; Cellphone Repair</t>
  </si>
  <si>
    <t xml:space="preserve">101 Calhoun Plaza</t>
  </si>
  <si>
    <t xml:space="preserve">Port Lavaca</t>
  </si>
  <si>
    <t xml:space="preserve">77979</t>
  </si>
  <si>
    <t xml:space="preserve">213418</t>
  </si>
  <si>
    <t xml:space="preserve">Phone Repair Shop</t>
  </si>
  <si>
    <t xml:space="preserve">10602 Perrin Beitel</t>
  </si>
  <si>
    <t xml:space="preserve">78217</t>
  </si>
  <si>
    <t xml:space="preserve">213417</t>
  </si>
  <si>
    <t xml:space="preserve">The Fix</t>
  </si>
  <si>
    <t xml:space="preserve">310 Overcreek Wy</t>
  </si>
  <si>
    <t xml:space="preserve">Sealy</t>
  </si>
  <si>
    <t xml:space="preserve">7747</t>
  </si>
  <si>
    <t xml:space="preserve">213416</t>
  </si>
  <si>
    <t xml:space="preserve">9451 Farm to Market 1960 Bypass</t>
  </si>
  <si>
    <t xml:space="preserve">213415</t>
  </si>
  <si>
    <t xml:space="preserve">Mobile Max Wireless</t>
  </si>
  <si>
    <t xml:space="preserve">4313 Broadway St</t>
  </si>
  <si>
    <t xml:space="preserve">Peqarland</t>
  </si>
  <si>
    <t xml:space="preserve">77581</t>
  </si>
  <si>
    <t xml:space="preserve">655864</t>
  </si>
  <si>
    <t xml:space="preserve">496994</t>
  </si>
  <si>
    <t xml:space="preserve">213414</t>
  </si>
  <si>
    <t xml:space="preserve">Urban Cell Repair LLC</t>
  </si>
  <si>
    <t xml:space="preserve">Pablo Garcia</t>
  </si>
  <si>
    <t xml:space="preserve">(801) 590-9667</t>
  </si>
  <si>
    <t xml:space="preserve">info@urbancellrepairs.com</t>
  </si>
  <si>
    <t xml:space="preserve">715 South 900 W</t>
  </si>
  <si>
    <t xml:space="preserve">Salt Lake City</t>
  </si>
  <si>
    <t xml:space="preserve">UT</t>
  </si>
  <si>
    <t xml:space="preserve">84104</t>
  </si>
  <si>
    <t xml:space="preserve">C51572</t>
  </si>
  <si>
    <t xml:space="preserve">213412</t>
  </si>
  <si>
    <t xml:space="preserve">6322 Old Seguin Rd</t>
  </si>
  <si>
    <t xml:space="preserve">Ste 114</t>
  </si>
  <si>
    <t xml:space="preserve">78244</t>
  </si>
  <si>
    <t xml:space="preserve">213405</t>
  </si>
  <si>
    <t xml:space="preserve">THE POWER TO KONNECT CORPORATION</t>
  </si>
  <si>
    <t xml:space="preserve">Jihad Samir Said Elatabeh</t>
  </si>
  <si>
    <t xml:space="preserve">6902 Federal Blvd</t>
  </si>
  <si>
    <t xml:space="preserve">655811</t>
  </si>
  <si>
    <t xml:space="preserve">496939</t>
  </si>
  <si>
    <t xml:space="preserve">213400</t>
  </si>
  <si>
    <t xml:space="preserve">SRJ SERVICES LLC</t>
  </si>
  <si>
    <t xml:space="preserve">SALVADOR NIETO</t>
  </si>
  <si>
    <t xml:space="preserve">(337) 852-7584</t>
  </si>
  <si>
    <t xml:space="preserve">searchwireless@gmail.com</t>
  </si>
  <si>
    <t xml:space="preserve">2308 Ambassador Caffery Pkwy</t>
  </si>
  <si>
    <t xml:space="preserve">Lafayette</t>
  </si>
  <si>
    <t xml:space="preserve">70506</t>
  </si>
  <si>
    <t xml:space="preserve">C51625</t>
  </si>
  <si>
    <t xml:space="preserve">655800</t>
  </si>
  <si>
    <t xml:space="preserve">496928</t>
  </si>
  <si>
    <t xml:space="preserve">213398</t>
  </si>
  <si>
    <t xml:space="preserve">Super Power Wireless Inc</t>
  </si>
  <si>
    <t xml:space="preserve">Ali Ahmed</t>
  </si>
  <si>
    <t xml:space="preserve">(716) 322-5555</t>
  </si>
  <si>
    <t xml:space="preserve">superpowerwireless716@gmail.com</t>
  </si>
  <si>
    <t xml:space="preserve">2756 Bailey Ave</t>
  </si>
  <si>
    <t xml:space="preserve">C51548</t>
  </si>
  <si>
    <t xml:space="preserve">655784</t>
  </si>
  <si>
    <t xml:space="preserve">496912</t>
  </si>
  <si>
    <t xml:space="preserve">213390</t>
  </si>
  <si>
    <t xml:space="preserve">Mandvia Brothers Inc</t>
  </si>
  <si>
    <t xml:space="preserve">RUBINA MANDVIA</t>
  </si>
  <si>
    <t xml:space="preserve">(713) 482-9347</t>
  </si>
  <si>
    <t xml:space="preserve">3133 S Alameda St</t>
  </si>
  <si>
    <t xml:space="preserve">Corpus Christi</t>
  </si>
  <si>
    <t xml:space="preserve">78404</t>
  </si>
  <si>
    <t xml:space="preserve">213389</t>
  </si>
  <si>
    <t xml:space="preserve">111 N TIMBERLAND DR</t>
  </si>
  <si>
    <t xml:space="preserve">LUFKIN</t>
  </si>
  <si>
    <t xml:space="preserve">75901</t>
  </si>
  <si>
    <t xml:space="preserve">655829</t>
  </si>
  <si>
    <t xml:space="preserve">496957</t>
  </si>
  <si>
    <t xml:space="preserve">213403</t>
  </si>
  <si>
    <t xml:space="preserve">HOAN HAO DRINKING WATER</t>
  </si>
  <si>
    <t xml:space="preserve">Dat Tien Tran</t>
  </si>
  <si>
    <t xml:space="preserve">(619) 280-1935</t>
  </si>
  <si>
    <t xml:space="preserve">Briandtt202@yahoo.com</t>
  </si>
  <si>
    <t xml:space="preserve">4660 El Cajon Blvd</t>
  </si>
  <si>
    <t xml:space="preserve">C51570</t>
  </si>
  <si>
    <t xml:space="preserve">655778</t>
  </si>
  <si>
    <t xml:space="preserve">496906</t>
  </si>
  <si>
    <t xml:space="preserve">213388</t>
  </si>
  <si>
    <t xml:space="preserve">4320 S Alameda St</t>
  </si>
  <si>
    <t xml:space="preserve">78412</t>
  </si>
  <si>
    <t xml:space="preserve">655814</t>
  </si>
  <si>
    <t xml:space="preserve">496942</t>
  </si>
  <si>
    <t xml:space="preserve">213401</t>
  </si>
  <si>
    <t xml:space="preserve">SA Wireless</t>
  </si>
  <si>
    <t xml:space="preserve">Jimmy Michael Elizondo</t>
  </si>
  <si>
    <t xml:space="preserve">(210) 264-6116</t>
  </si>
  <si>
    <t xml:space="preserve">jmegroup1@gmail.com</t>
  </si>
  <si>
    <t xml:space="preserve">1815 Goliad Rd</t>
  </si>
  <si>
    <t xml:space="preserve">78223</t>
  </si>
  <si>
    <t xml:space="preserve">C51585</t>
  </si>
  <si>
    <t xml:space="preserve">655764</t>
  </si>
  <si>
    <t xml:space="preserve">496892</t>
  </si>
  <si>
    <t xml:space="preserve">213385</t>
  </si>
  <si>
    <t xml:space="preserve">Get It Right Repair LLC</t>
  </si>
  <si>
    <t xml:space="preserve">EMMILL FONGUH</t>
  </si>
  <si>
    <t xml:space="preserve">(682) 307-3813</t>
  </si>
  <si>
    <t xml:space="preserve">Rgetitright@gmail.com</t>
  </si>
  <si>
    <t xml:space="preserve">3638 Matlock Rd</t>
  </si>
  <si>
    <t xml:space="preserve">76015</t>
  </si>
  <si>
    <t xml:space="preserve">C51544</t>
  </si>
  <si>
    <t xml:space="preserve">655728</t>
  </si>
  <si>
    <t xml:space="preserve">496856</t>
  </si>
  <si>
    <t xml:space="preserve">213379</t>
  </si>
  <si>
    <t xml:space="preserve">Phoneology</t>
  </si>
  <si>
    <t xml:space="preserve">Jean Palencia</t>
  </si>
  <si>
    <t xml:space="preserve">(702) 673-8508</t>
  </si>
  <si>
    <t xml:space="preserve">Chriztian_94@yahoo.com</t>
  </si>
  <si>
    <t xml:space="preserve">4530 E Charleston Blvd</t>
  </si>
  <si>
    <t xml:space="preserve">Ste F2</t>
  </si>
  <si>
    <t xml:space="preserve">89104</t>
  </si>
  <si>
    <t xml:space="preserve">C51536</t>
  </si>
  <si>
    <t xml:space="preserve">655725</t>
  </si>
  <si>
    <t xml:space="preserve">496853</t>
  </si>
  <si>
    <t xml:space="preserve">213368</t>
  </si>
  <si>
    <t xml:space="preserve">AK MOBILE CARE CORPORATION</t>
  </si>
  <si>
    <t xml:space="preserve">(803) 795-6688</t>
  </si>
  <si>
    <t xml:space="preserve">1221 E McNeese St</t>
  </si>
  <si>
    <t xml:space="preserve">655717</t>
  </si>
  <si>
    <t xml:space="preserve">496845</t>
  </si>
  <si>
    <t xml:space="preserve">213364</t>
  </si>
  <si>
    <t xml:space="preserve">JQ Communication Corporation</t>
  </si>
  <si>
    <t xml:space="preserve">Gilberto Jimenez</t>
  </si>
  <si>
    <t xml:space="preserve">(978) 208-0604</t>
  </si>
  <si>
    <t xml:space="preserve">JQCommunication@gmail.com</t>
  </si>
  <si>
    <t xml:space="preserve">191 Broadway</t>
  </si>
  <si>
    <t xml:space="preserve">Lawrence</t>
  </si>
  <si>
    <t xml:space="preserve">01840</t>
  </si>
  <si>
    <t xml:space="preserve">C51535</t>
  </si>
  <si>
    <t xml:space="preserve">655708</t>
  </si>
  <si>
    <t xml:space="preserve">496835</t>
  </si>
  <si>
    <t xml:space="preserve">213362</t>
  </si>
  <si>
    <t xml:space="preserve">H &amp; M HANSOTI LLC</t>
  </si>
  <si>
    <t xml:space="preserve">MOHAMMEDIDRISH JAMADAR</t>
  </si>
  <si>
    <t xml:space="preserve">(409) 729-3786</t>
  </si>
  <si>
    <t xml:space="preserve">universalcommunication07@gmail.com</t>
  </si>
  <si>
    <t xml:space="preserve">3100 Highway 365</t>
  </si>
  <si>
    <t xml:space="preserve">Port Arthur</t>
  </si>
  <si>
    <t xml:space="preserve">77642</t>
  </si>
  <si>
    <t xml:space="preserve">C51543</t>
  </si>
  <si>
    <t xml:space="preserve">655704</t>
  </si>
  <si>
    <t xml:space="preserve">496831</t>
  </si>
  <si>
    <t xml:space="preserve">213358</t>
  </si>
  <si>
    <t xml:space="preserve">814 Phones Inc</t>
  </si>
  <si>
    <t xml:space="preserve">Rajpreet Kaur</t>
  </si>
  <si>
    <t xml:space="preserve">(231) 563-6242</t>
  </si>
  <si>
    <t xml:space="preserve">manasmultani86@icloud.com</t>
  </si>
  <si>
    <t xml:space="preserve">415 E Laketon Ave</t>
  </si>
  <si>
    <t xml:space="preserve">Muskegon</t>
  </si>
  <si>
    <t xml:space="preserve">49442</t>
  </si>
  <si>
    <t xml:space="preserve">C51531</t>
  </si>
  <si>
    <t xml:space="preserve">655681</t>
  </si>
  <si>
    <t xml:space="preserve">496808</t>
  </si>
  <si>
    <t xml:space="preserve">213353</t>
  </si>
  <si>
    <t xml:space="preserve">Informax Services INC</t>
  </si>
  <si>
    <t xml:space="preserve">MAX PINEDA</t>
  </si>
  <si>
    <t xml:space="preserve">(301) 445-3930</t>
  </si>
  <si>
    <t xml:space="preserve">informaxservicesinc@gmail.com</t>
  </si>
  <si>
    <t xml:space="preserve">1360 Holton Ln</t>
  </si>
  <si>
    <t xml:space="preserve">Takoma Park</t>
  </si>
  <si>
    <t xml:space="preserve">20912</t>
  </si>
  <si>
    <t xml:space="preserve">C51532</t>
  </si>
  <si>
    <t xml:space="preserve">655650</t>
  </si>
  <si>
    <t xml:space="preserve">496777</t>
  </si>
  <si>
    <t xml:space="preserve">213344</t>
  </si>
  <si>
    <t xml:space="preserve">Android Planet Perez</t>
  </si>
  <si>
    <t xml:space="preserve">Jesus Perez</t>
  </si>
  <si>
    <t xml:space="preserve">(661) 304-2177</t>
  </si>
  <si>
    <t xml:space="preserve">jesus2547@yahoo.com</t>
  </si>
  <si>
    <t xml:space="preserve">2415 Brundage Ln</t>
  </si>
  <si>
    <t xml:space="preserve">Bakersfield</t>
  </si>
  <si>
    <t xml:space="preserve">93304</t>
  </si>
  <si>
    <t xml:space="preserve">C51539</t>
  </si>
  <si>
    <t xml:space="preserve">655648</t>
  </si>
  <si>
    <t xml:space="preserve">496775</t>
  </si>
  <si>
    <t xml:space="preserve">213343</t>
  </si>
  <si>
    <t xml:space="preserve">Smart Phone Solutions INC</t>
  </si>
  <si>
    <t xml:space="preserve">Haroon Ali Haimed</t>
  </si>
  <si>
    <t xml:space="preserve">(901) 509-3552</t>
  </si>
  <si>
    <t xml:space="preserve">Smartphonewinchester@gmail.com</t>
  </si>
  <si>
    <t xml:space="preserve">4641 WINCHESTER RD</t>
  </si>
  <si>
    <t xml:space="preserve">101</t>
  </si>
  <si>
    <t xml:space="preserve">MEMPHIS</t>
  </si>
  <si>
    <t xml:space="preserve">38118</t>
  </si>
  <si>
    <t xml:space="preserve">C51521</t>
  </si>
  <si>
    <t xml:space="preserve">655646</t>
  </si>
  <si>
    <t xml:space="preserve">496773</t>
  </si>
  <si>
    <t xml:space="preserve">213342</t>
  </si>
  <si>
    <t xml:space="preserve">ER Wireless INC</t>
  </si>
  <si>
    <t xml:space="preserve">SALAHALDDIN ODEH</t>
  </si>
  <si>
    <t xml:space="preserve">(901) 267-6356</t>
  </si>
  <si>
    <t xml:space="preserve">frpsalah3@gmail.com</t>
  </si>
  <si>
    <t xml:space="preserve">1275 Getwell Rd</t>
  </si>
  <si>
    <t xml:space="preserve">C51526</t>
  </si>
  <si>
    <t xml:space="preserve">655635</t>
  </si>
  <si>
    <t xml:space="preserve">496765</t>
  </si>
  <si>
    <t xml:space="preserve">213335</t>
  </si>
  <si>
    <t xml:space="preserve">Estrella V Stores, LLC</t>
  </si>
  <si>
    <t xml:space="preserve">Maribel Villalon Sanchez</t>
  </si>
  <si>
    <t xml:space="preserve">(979) 270-5151</t>
  </si>
  <si>
    <t xml:space="preserve">mary06estrella@gmail.com</t>
  </si>
  <si>
    <t xml:space="preserve">1420 S Front St</t>
  </si>
  <si>
    <t xml:space="preserve">Bellville</t>
  </si>
  <si>
    <t xml:space="preserve">77418</t>
  </si>
  <si>
    <t xml:space="preserve">C51561</t>
  </si>
  <si>
    <t xml:space="preserve">655634</t>
  </si>
  <si>
    <t xml:space="preserve">496764</t>
  </si>
  <si>
    <t xml:space="preserve">213333</t>
  </si>
  <si>
    <t xml:space="preserve">Estrella V Stores LLC</t>
  </si>
  <si>
    <t xml:space="preserve">MARIBEL VILLALON SANCHEZ</t>
  </si>
  <si>
    <t xml:space="preserve">(979) 885-3030</t>
  </si>
  <si>
    <t xml:space="preserve">418 Highway 90 W</t>
  </si>
  <si>
    <t xml:space="preserve">Ste 11</t>
  </si>
  <si>
    <t xml:space="preserve">77474</t>
  </si>
  <si>
    <t xml:space="preserve">655627</t>
  </si>
  <si>
    <t xml:space="preserve">496757</t>
  </si>
  <si>
    <t xml:space="preserve">213332</t>
  </si>
  <si>
    <t xml:space="preserve">811 Avenue D</t>
  </si>
  <si>
    <t xml:space="preserve">77493</t>
  </si>
  <si>
    <t xml:space="preserve">655624</t>
  </si>
  <si>
    <t xml:space="preserve">496754</t>
  </si>
  <si>
    <t xml:space="preserve">213331</t>
  </si>
  <si>
    <t xml:space="preserve">Cell-Touch</t>
  </si>
  <si>
    <t xml:space="preserve">Melina Padilla</t>
  </si>
  <si>
    <t xml:space="preserve">(559) 265-2328</t>
  </si>
  <si>
    <t xml:space="preserve">melinapadilla168@yahoo.com</t>
  </si>
  <si>
    <t xml:space="preserve">3641 E Cesar Chavez Blvd</t>
  </si>
  <si>
    <t xml:space="preserve">Fresno</t>
  </si>
  <si>
    <t xml:space="preserve">93702</t>
  </si>
  <si>
    <t xml:space="preserve">C51550</t>
  </si>
  <si>
    <t xml:space="preserve">655416</t>
  </si>
  <si>
    <t xml:space="preserve">496565</t>
  </si>
  <si>
    <t xml:space="preserve">213321</t>
  </si>
  <si>
    <t xml:space="preserve">(979) 224-7216</t>
  </si>
  <si>
    <t xml:space="preserve">2700 7th St</t>
  </si>
  <si>
    <t xml:space="preserve">Bay City</t>
  </si>
  <si>
    <t xml:space="preserve">77414</t>
  </si>
  <si>
    <t xml:space="preserve">655581</t>
  </si>
  <si>
    <t xml:space="preserve">496710</t>
  </si>
  <si>
    <t xml:space="preserve">213312</t>
  </si>
  <si>
    <t xml:space="preserve">Peterson African Market LLC</t>
  </si>
  <si>
    <t xml:space="preserve">PITER GBIDUM ALELO</t>
  </si>
  <si>
    <t xml:space="preserve">(602) 554-5926</t>
  </si>
  <si>
    <t xml:space="preserve">Alelopeter@yahoo.com</t>
  </si>
  <si>
    <t xml:space="preserve">2647 W Bethany Home Rd</t>
  </si>
  <si>
    <t xml:space="preserve">85017</t>
  </si>
  <si>
    <t xml:space="preserve">C51753</t>
  </si>
  <si>
    <t xml:space="preserve">496726</t>
  </si>
  <si>
    <t xml:space="preserve">213317</t>
  </si>
  <si>
    <t xml:space="preserve">Chiquilin Wireless #2</t>
  </si>
  <si>
    <t xml:space="preserve">CHRISTIAN ESCARREGA</t>
  </si>
  <si>
    <t xml:space="preserve">(323) 897-5530</t>
  </si>
  <si>
    <t xml:space="preserve">christianrichi@hotmail.com</t>
  </si>
  <si>
    <t xml:space="preserve">4339 1/2 Long Beach Ave</t>
  </si>
  <si>
    <t xml:space="preserve">90058</t>
  </si>
  <si>
    <t xml:space="preserve">C43655</t>
  </si>
  <si>
    <t xml:space="preserve">655524</t>
  </si>
  <si>
    <t xml:space="preserve">496662</t>
  </si>
  <si>
    <t xml:space="preserve">213302</t>
  </si>
  <si>
    <t xml:space="preserve">Tienda La Bendicia</t>
  </si>
  <si>
    <t xml:space="preserve">HECTOR DAVID VASQUEZ</t>
  </si>
  <si>
    <t xml:space="preserve">(713) 434-6661</t>
  </si>
  <si>
    <t xml:space="preserve">variedades2018@yahoo.com</t>
  </si>
  <si>
    <t xml:space="preserve">1302 Allen Genoa Rd</t>
  </si>
  <si>
    <t xml:space="preserve">77017</t>
  </si>
  <si>
    <t xml:space="preserve">C51499</t>
  </si>
  <si>
    <t xml:space="preserve">655552</t>
  </si>
  <si>
    <t xml:space="preserve">496690</t>
  </si>
  <si>
    <t xml:space="preserve">213301</t>
  </si>
  <si>
    <t xml:space="preserve">Salah's Store</t>
  </si>
  <si>
    <t xml:space="preserve">Salahaldeen Abdo Alrowhanni</t>
  </si>
  <si>
    <t xml:space="preserve">(661) 854-3781</t>
  </si>
  <si>
    <t xml:space="preserve">salahstores@gmail.com</t>
  </si>
  <si>
    <t xml:space="preserve">319 BEAR MOUNTAIN BLVD</t>
  </si>
  <si>
    <t xml:space="preserve">ARVIN</t>
  </si>
  <si>
    <t xml:space="preserve">93203</t>
  </si>
  <si>
    <t xml:space="preserve">C51528</t>
  </si>
  <si>
    <t xml:space="preserve">655549</t>
  </si>
  <si>
    <t xml:space="preserve">496687</t>
  </si>
  <si>
    <t xml:space="preserve">213296</t>
  </si>
  <si>
    <t xml:space="preserve">Outlet #2</t>
  </si>
  <si>
    <t xml:space="preserve">Bryan Omar Chuy</t>
  </si>
  <si>
    <t xml:space="preserve">(323) 316-3638</t>
  </si>
  <si>
    <t xml:space="preserve">outlet47st@gmail.com</t>
  </si>
  <si>
    <t xml:space="preserve">4500 S Vermont Ave</t>
  </si>
  <si>
    <t xml:space="preserve">C51228</t>
  </si>
  <si>
    <t xml:space="preserve">655509</t>
  </si>
  <si>
    <t xml:space="preserve">496648</t>
  </si>
  <si>
    <t xml:space="preserve">213287</t>
  </si>
  <si>
    <t xml:space="preserve">Falcon Mobile</t>
  </si>
  <si>
    <t xml:space="preserve">Koray Sahinyilmaz</t>
  </si>
  <si>
    <t xml:space="preserve">(657) 334-9329</t>
  </si>
  <si>
    <t xml:space="preserve">Sahinyilmazkoray@gmail.com</t>
  </si>
  <si>
    <t xml:space="preserve">1180 S Bristol St</t>
  </si>
  <si>
    <t xml:space="preserve">Unit C8</t>
  </si>
  <si>
    <t xml:space="preserve">C51497</t>
  </si>
  <si>
    <t xml:space="preserve">213283</t>
  </si>
  <si>
    <t xml:space="preserve">The Gold Cell</t>
  </si>
  <si>
    <t xml:space="preserve">ROBERTO CARMONA</t>
  </si>
  <si>
    <t xml:space="preserve">(805) 509-8993</t>
  </si>
  <si>
    <t xml:space="preserve">Robycarmona25@yahoo.com</t>
  </si>
  <si>
    <t xml:space="preserve">2820 E Vineyard Ave</t>
  </si>
  <si>
    <t xml:space="preserve">Oxnard</t>
  </si>
  <si>
    <t xml:space="preserve">93036</t>
  </si>
  <si>
    <t xml:space="preserve">C51498</t>
  </si>
  <si>
    <t xml:space="preserve">655423</t>
  </si>
  <si>
    <t xml:space="preserve">496572</t>
  </si>
  <si>
    <t xml:space="preserve">213273</t>
  </si>
  <si>
    <t xml:space="preserve">Happys Market</t>
  </si>
  <si>
    <t xml:space="preserve">HARPREET SINGH</t>
  </si>
  <si>
    <t xml:space="preserve">(805) 314-2141</t>
  </si>
  <si>
    <t xml:space="preserve">Central.wireless@yahoo.com</t>
  </si>
  <si>
    <t xml:space="preserve">807 W MAIN ST</t>
  </si>
  <si>
    <t xml:space="preserve">SANTA MARIA</t>
  </si>
  <si>
    <t xml:space="preserve">C51562</t>
  </si>
  <si>
    <t xml:space="preserve">655412</t>
  </si>
  <si>
    <t xml:space="preserve">496561</t>
  </si>
  <si>
    <t xml:space="preserve">213266</t>
  </si>
  <si>
    <t xml:space="preserve">SPARK CELLULAR LLC</t>
  </si>
  <si>
    <t xml:space="preserve">RENISH ALI MERANI</t>
  </si>
  <si>
    <t xml:space="preserve">(631) 290-1121</t>
  </si>
  <si>
    <t xml:space="preserve">cellphonerepairfoodtown@gmail.com</t>
  </si>
  <si>
    <t xml:space="preserve">501 EL DORADO BLVD</t>
  </si>
  <si>
    <t xml:space="preserve">C51358</t>
  </si>
  <si>
    <t xml:space="preserve">213256</t>
  </si>
  <si>
    <t xml:space="preserve">Compucell Express Repair Inc</t>
  </si>
  <si>
    <t xml:space="preserve">Ivania Parrales</t>
  </si>
  <si>
    <t xml:space="preserve">2111 W Flagler St</t>
  </si>
  <si>
    <t xml:space="preserve">33135</t>
  </si>
  <si>
    <t xml:space="preserve">655350</t>
  </si>
  <si>
    <t xml:space="preserve">496497</t>
  </si>
  <si>
    <t xml:space="preserve">213235</t>
  </si>
  <si>
    <t xml:space="preserve">Phone Physician Inc</t>
  </si>
  <si>
    <t xml:space="preserve">Mahmuad Mustafa</t>
  </si>
  <si>
    <t xml:space="preserve">(941) 993-4468</t>
  </si>
  <si>
    <t xml:space="preserve">fixyourphone813@gmail.com</t>
  </si>
  <si>
    <t xml:space="preserve">4403 14th St W</t>
  </si>
  <si>
    <t xml:space="preserve">Bradenton</t>
  </si>
  <si>
    <t xml:space="preserve">34207</t>
  </si>
  <si>
    <t xml:space="preserve">C51481</t>
  </si>
  <si>
    <t xml:space="preserve">655323</t>
  </si>
  <si>
    <t xml:space="preserve">496471</t>
  </si>
  <si>
    <t xml:space="preserve">213214</t>
  </si>
  <si>
    <t xml:space="preserve">IN SITU ELECTRONICS, INC.</t>
  </si>
  <si>
    <t xml:space="preserve">Cristian Caseres</t>
  </si>
  <si>
    <t xml:space="preserve">(786) 443-1687</t>
  </si>
  <si>
    <t xml:space="preserve">info@insituelectronics.com</t>
  </si>
  <si>
    <t xml:space="preserve">1926 HOLLYWOOD BLVD</t>
  </si>
  <si>
    <t xml:space="preserve">HOLLYWOOD</t>
  </si>
  <si>
    <t xml:space="preserve">33020</t>
  </si>
  <si>
    <t xml:space="preserve">C51479</t>
  </si>
  <si>
    <t xml:space="preserve">655314</t>
  </si>
  <si>
    <t xml:space="preserve">496462</t>
  </si>
  <si>
    <t xml:space="preserve">213205</t>
  </si>
  <si>
    <t xml:space="preserve">CHICKASS INC</t>
  </si>
  <si>
    <t xml:space="preserve">Juan Bellido Martinez</t>
  </si>
  <si>
    <t xml:space="preserve">(571) 259-8751</t>
  </si>
  <si>
    <t xml:space="preserve">juanjobell@hotmail.com</t>
  </si>
  <si>
    <t xml:space="preserve">3533 14th St NW</t>
  </si>
  <si>
    <t xml:space="preserve">C50654</t>
  </si>
  <si>
    <t xml:space="preserve">655295</t>
  </si>
  <si>
    <t xml:space="preserve">496443</t>
  </si>
  <si>
    <t xml:space="preserve">213196</t>
  </si>
  <si>
    <t xml:space="preserve">PHONEBROS LLC</t>
  </si>
  <si>
    <t xml:space="preserve">Jeremy Ring-Hecht</t>
  </si>
  <si>
    <t xml:space="preserve">(413) 496-4787</t>
  </si>
  <si>
    <t xml:space="preserve">Contact@phone-bros.com</t>
  </si>
  <si>
    <t xml:space="preserve">1575 W HOUSATONIC ST</t>
  </si>
  <si>
    <t xml:space="preserve">PITTSFIELD</t>
  </si>
  <si>
    <t xml:space="preserve">01201</t>
  </si>
  <si>
    <t xml:space="preserve">C51478</t>
  </si>
  <si>
    <t xml:space="preserve">655212</t>
  </si>
  <si>
    <t xml:space="preserve">496360</t>
  </si>
  <si>
    <t xml:space="preserve">213183</t>
  </si>
  <si>
    <t xml:space="preserve">Gadgets Pro LLC</t>
  </si>
  <si>
    <t xml:space="preserve">Mohammed Hasan Shaikh</t>
  </si>
  <si>
    <t xml:space="preserve">(903) 753-3911</t>
  </si>
  <si>
    <t xml:space="preserve">cprs903@gmail.com</t>
  </si>
  <si>
    <t xml:space="preserve">301 E Marshall Ave</t>
  </si>
  <si>
    <t xml:space="preserve">Longview</t>
  </si>
  <si>
    <t xml:space="preserve">75601</t>
  </si>
  <si>
    <t xml:space="preserve">C51471</t>
  </si>
  <si>
    <t xml:space="preserve">655211</t>
  </si>
  <si>
    <t xml:space="preserve">496359</t>
  </si>
  <si>
    <t xml:space="preserve">213181</t>
  </si>
  <si>
    <t xml:space="preserve">Cellphone Tech LLC</t>
  </si>
  <si>
    <t xml:space="preserve">Mohamed Batliwala</t>
  </si>
  <si>
    <t xml:space="preserve">(903) 653-4787</t>
  </si>
  <si>
    <t xml:space="preserve">cpr903@gmail.com</t>
  </si>
  <si>
    <t xml:space="preserve">2149 Gilmer Rd</t>
  </si>
  <si>
    <t xml:space="preserve">75604</t>
  </si>
  <si>
    <t xml:space="preserve">C51476</t>
  </si>
  <si>
    <t xml:space="preserve">655192</t>
  </si>
  <si>
    <t xml:space="preserve">496340</t>
  </si>
  <si>
    <t xml:space="preserve">213173</t>
  </si>
  <si>
    <t xml:space="preserve">Nas Services LLC</t>
  </si>
  <si>
    <t xml:space="preserve">Nassir Ogoudare</t>
  </si>
  <si>
    <t xml:space="preserve">(267) 298-0421</t>
  </si>
  <si>
    <t xml:space="preserve">nascoco1@yahoo.fr</t>
  </si>
  <si>
    <t xml:space="preserve">7250 Elmwood Ave</t>
  </si>
  <si>
    <t xml:space="preserve">C51529</t>
  </si>
  <si>
    <t xml:space="preserve">655151</t>
  </si>
  <si>
    <t xml:space="preserve">496301</t>
  </si>
  <si>
    <t xml:space="preserve">213148</t>
  </si>
  <si>
    <t xml:space="preserve">Cell Phones &amp; More LLC</t>
  </si>
  <si>
    <t xml:space="preserve">Jay White</t>
  </si>
  <si>
    <t xml:space="preserve">(412) 819-4923</t>
  </si>
  <si>
    <t xml:space="preserve">thephoneguypa@gmail.com</t>
  </si>
  <si>
    <t xml:space="preserve">2604 Brownsville Rd</t>
  </si>
  <si>
    <t xml:space="preserve">15227</t>
  </si>
  <si>
    <t xml:space="preserve">C51468</t>
  </si>
  <si>
    <t xml:space="preserve">655157</t>
  </si>
  <si>
    <t xml:space="preserve">496307</t>
  </si>
  <si>
    <t xml:space="preserve">213138</t>
  </si>
  <si>
    <t xml:space="preserve">Spark Cellular, LLC</t>
  </si>
  <si>
    <t xml:space="preserve">Renish Merani</t>
  </si>
  <si>
    <t xml:space="preserve">9860 Windmill Lakes Blvd</t>
  </si>
  <si>
    <t xml:space="preserve">651896</t>
  </si>
  <si>
    <t xml:space="preserve">493133</t>
  </si>
  <si>
    <t xml:space="preserve">213128</t>
  </si>
  <si>
    <t xml:space="preserve">Telefonos Y Variedades</t>
  </si>
  <si>
    <t xml:space="preserve">Nury Gomez</t>
  </si>
  <si>
    <t xml:space="preserve">(281) 712-7032</t>
  </si>
  <si>
    <t xml:space="preserve">telefonosyvariedades@gmail.com</t>
  </si>
  <si>
    <t xml:space="preserve">914 Purdy St</t>
  </si>
  <si>
    <t xml:space="preserve">Brookshire</t>
  </si>
  <si>
    <t xml:space="preserve">77423</t>
  </si>
  <si>
    <t xml:space="preserve">C51363</t>
  </si>
  <si>
    <t xml:space="preserve">654912</t>
  </si>
  <si>
    <t xml:space="preserve">496062</t>
  </si>
  <si>
    <t xml:space="preserve">213127</t>
  </si>
  <si>
    <t xml:space="preserve">Partner Cell Phone Solution Limited Liability Comp</t>
  </si>
  <si>
    <t xml:space="preserve">Emmanuel De La Rosa</t>
  </si>
  <si>
    <t xml:space="preserve">(956) 600-9779</t>
  </si>
  <si>
    <t xml:space="preserve">partnercellphonesolutionllc@gmail.com</t>
  </si>
  <si>
    <t xml:space="preserve">4031 E Us Highway 83</t>
  </si>
  <si>
    <t xml:space="preserve">Rio Grande City</t>
  </si>
  <si>
    <t xml:space="preserve">78582</t>
  </si>
  <si>
    <t xml:space="preserve">C51490</t>
  </si>
  <si>
    <t xml:space="preserve">119808</t>
  </si>
  <si>
    <t xml:space="preserve">133038</t>
  </si>
  <si>
    <t xml:space="preserve">213126</t>
  </si>
  <si>
    <t xml:space="preserve">Wireless Hook Up</t>
  </si>
  <si>
    <t xml:space="preserve">Kenneth Mayers</t>
  </si>
  <si>
    <t xml:space="preserve">(323) 292-0080</t>
  </si>
  <si>
    <t xml:space="preserve">stvincent54@yahoo.com</t>
  </si>
  <si>
    <t xml:space="preserve">1511 W Martin Luther King Jr Blvd</t>
  </si>
  <si>
    <t xml:space="preserve">90062</t>
  </si>
  <si>
    <t xml:space="preserve">C3375</t>
  </si>
  <si>
    <t xml:space="preserve">654828</t>
  </si>
  <si>
    <t xml:space="preserve">495978</t>
  </si>
  <si>
    <t xml:space="preserve">213092</t>
  </si>
  <si>
    <t xml:space="preserve">Sara Cell Phone Katy</t>
  </si>
  <si>
    <t xml:space="preserve">(346) 775-8757</t>
  </si>
  <si>
    <t xml:space="preserve">5701 Franz Rd</t>
  </si>
  <si>
    <t xml:space="preserve">654668</t>
  </si>
  <si>
    <t xml:space="preserve">495820</t>
  </si>
  <si>
    <t xml:space="preserve">213083</t>
  </si>
  <si>
    <t xml:space="preserve">Juan Angel Garcia Elizondo</t>
  </si>
  <si>
    <t xml:space="preserve">(956) 224-4330</t>
  </si>
  <si>
    <t xml:space="preserve">2565 E GRANT ST</t>
  </si>
  <si>
    <t xml:space="preserve">ROMA</t>
  </si>
  <si>
    <t xml:space="preserve">213073</t>
  </si>
  <si>
    <t xml:space="preserve">MARLOW SERVICES LLC</t>
  </si>
  <si>
    <t xml:space="preserve">Eddie Marlow</t>
  </si>
  <si>
    <t xml:space="preserve">129 Hither Ln</t>
  </si>
  <si>
    <t xml:space="preserve">Dry Fork</t>
  </si>
  <si>
    <t xml:space="preserve">24549</t>
  </si>
  <si>
    <t xml:space="preserve">654787</t>
  </si>
  <si>
    <t xml:space="preserve">495938</t>
  </si>
  <si>
    <t xml:space="preserve">213068</t>
  </si>
  <si>
    <t xml:space="preserve">La nanita variety store, Inc</t>
  </si>
  <si>
    <t xml:space="preserve">Fanny Criollo</t>
  </si>
  <si>
    <t xml:space="preserve">(401) 941-5494</t>
  </si>
  <si>
    <t xml:space="preserve">nanitorecord@hotmail.com</t>
  </si>
  <si>
    <t xml:space="preserve">1220 Broad St</t>
  </si>
  <si>
    <t xml:space="preserve">02905</t>
  </si>
  <si>
    <t xml:space="preserve">C51458</t>
  </si>
  <si>
    <t xml:space="preserve">654766</t>
  </si>
  <si>
    <t xml:space="preserve">495918</t>
  </si>
  <si>
    <t xml:space="preserve">213060</t>
  </si>
  <si>
    <t xml:space="preserve">Elctro Gifts &amp; Novelties</t>
  </si>
  <si>
    <t xml:space="preserve">Mir Ali</t>
  </si>
  <si>
    <t xml:space="preserve">(470) 965-9421</t>
  </si>
  <si>
    <t xml:space="preserve">elctrogiftsandnovelties@gmail.com</t>
  </si>
  <si>
    <t xml:space="preserve">3201 Tucker Norcross Rd</t>
  </si>
  <si>
    <t xml:space="preserve">Tucker</t>
  </si>
  <si>
    <t xml:space="preserve">30084</t>
  </si>
  <si>
    <t xml:space="preserve">C51454</t>
  </si>
  <si>
    <t xml:space="preserve">654761</t>
  </si>
  <si>
    <t xml:space="preserve">495913</t>
  </si>
  <si>
    <t xml:space="preserve">213059</t>
  </si>
  <si>
    <t xml:space="preserve">Tienda Hernandez</t>
  </si>
  <si>
    <t xml:space="preserve">Paulino Perez Hernandez</t>
  </si>
  <si>
    <t xml:space="preserve">(213) 440-7201</t>
  </si>
  <si>
    <t xml:space="preserve">paulino.perez2018@gmail.com</t>
  </si>
  <si>
    <t xml:space="preserve">3331 S Main St</t>
  </si>
  <si>
    <t xml:space="preserve">90007</t>
  </si>
  <si>
    <t xml:space="preserve">C51464</t>
  </si>
  <si>
    <t xml:space="preserve">654757</t>
  </si>
  <si>
    <t xml:space="preserve">495909</t>
  </si>
  <si>
    <t xml:space="preserve">213058</t>
  </si>
  <si>
    <t xml:space="preserve">A. Zaidi LLC</t>
  </si>
  <si>
    <t xml:space="preserve">Syed Zaidi</t>
  </si>
  <si>
    <t xml:space="preserve">(936) 827-8062</t>
  </si>
  <si>
    <t xml:space="preserve">aleabbaszaidi@hotmail.com</t>
  </si>
  <si>
    <t xml:space="preserve">2108 N Frazier St</t>
  </si>
  <si>
    <t xml:space="preserve">Conroe</t>
  </si>
  <si>
    <t xml:space="preserve">77301</t>
  </si>
  <si>
    <t xml:space="preserve">C51221</t>
  </si>
  <si>
    <t xml:space="preserve">654758</t>
  </si>
  <si>
    <t xml:space="preserve">495910</t>
  </si>
  <si>
    <t xml:space="preserve">213055</t>
  </si>
  <si>
    <t xml:space="preserve">Fannie May Enterprise Inc</t>
  </si>
  <si>
    <t xml:space="preserve">nidal alhow</t>
  </si>
  <si>
    <t xml:space="preserve">(312) 978-0978</t>
  </si>
  <si>
    <t xml:space="preserve">Cjackofalltrades1@gmail.com</t>
  </si>
  <si>
    <t xml:space="preserve">208 E 35th St</t>
  </si>
  <si>
    <t xml:space="preserve">60616</t>
  </si>
  <si>
    <t xml:space="preserve">C51475</t>
  </si>
  <si>
    <t xml:space="preserve">654751</t>
  </si>
  <si>
    <t xml:space="preserve">495903</t>
  </si>
  <si>
    <t xml:space="preserve">213053</t>
  </si>
  <si>
    <t xml:space="preserve">(832) 420-0042</t>
  </si>
  <si>
    <t xml:space="preserve">507 S Danville St</t>
  </si>
  <si>
    <t xml:space="preserve">Willis</t>
  </si>
  <si>
    <t xml:space="preserve">77378</t>
  </si>
  <si>
    <t xml:space="preserve">654743</t>
  </si>
  <si>
    <t xml:space="preserve">495895</t>
  </si>
  <si>
    <t xml:space="preserve">213046</t>
  </si>
  <si>
    <t xml:space="preserve">Hello Inc</t>
  </si>
  <si>
    <t xml:space="preserve">Victor Arrocha</t>
  </si>
  <si>
    <t xml:space="preserve">(773) 351-2840</t>
  </si>
  <si>
    <t xml:space="preserve">aldho89@hotmail.com</t>
  </si>
  <si>
    <t xml:space="preserve">3911 W 26th st</t>
  </si>
  <si>
    <t xml:space="preserve">C51449</t>
  </si>
  <si>
    <t xml:space="preserve">654664</t>
  </si>
  <si>
    <t xml:space="preserve">495816</t>
  </si>
  <si>
    <t xml:space="preserve">213035</t>
  </si>
  <si>
    <t xml:space="preserve">Juan Garcia</t>
  </si>
  <si>
    <t xml:space="preserve">567 E Grant St</t>
  </si>
  <si>
    <t xml:space="preserve">654658</t>
  </si>
  <si>
    <t xml:space="preserve">495810</t>
  </si>
  <si>
    <t xml:space="preserve">213032</t>
  </si>
  <si>
    <t xml:space="preserve">Roe Tech Services LLC dba Longhorn Phone Repair</t>
  </si>
  <si>
    <t xml:space="preserve">Reynaldo Aguilar</t>
  </si>
  <si>
    <t xml:space="preserve">(936) 900-8454</t>
  </si>
  <si>
    <t xml:space="preserve">longhornphonerepair@gmail.com</t>
  </si>
  <si>
    <t xml:space="preserve">812 W Dallas St</t>
  </si>
  <si>
    <t xml:space="preserve">C51450</t>
  </si>
  <si>
    <t xml:space="preserve">654657</t>
  </si>
  <si>
    <t xml:space="preserve">495809</t>
  </si>
  <si>
    <t xml:space="preserve">213031</t>
  </si>
  <si>
    <t xml:space="preserve">JISS 2 Enterprise inc</t>
  </si>
  <si>
    <t xml:space="preserve">SHAYAN AMLANI</t>
  </si>
  <si>
    <t xml:space="preserve">(210) 317-3397</t>
  </si>
  <si>
    <t xml:space="preserve">8345 Perrin Beitel Rd</t>
  </si>
  <si>
    <t xml:space="preserve">C51293</t>
  </si>
  <si>
    <t xml:space="preserve">654599</t>
  </si>
  <si>
    <t xml:space="preserve">495753</t>
  </si>
  <si>
    <t xml:space="preserve">213012</t>
  </si>
  <si>
    <t xml:space="preserve">DEBORAH INVESTMENTS, LLC</t>
  </si>
  <si>
    <t xml:space="preserve">Emmanuel Adewale</t>
  </si>
  <si>
    <t xml:space="preserve">(240) 389-3203</t>
  </si>
  <si>
    <t xml:space="preserve">eadewale@yahoo.com</t>
  </si>
  <si>
    <t xml:space="preserve">11113 Baltimore Ave</t>
  </si>
  <si>
    <t xml:space="preserve">Beltsville</t>
  </si>
  <si>
    <t xml:space="preserve">20705</t>
  </si>
  <si>
    <t xml:space="preserve">C51443</t>
  </si>
  <si>
    <t xml:space="preserve">607193</t>
  </si>
  <si>
    <t xml:space="preserve">456785</t>
  </si>
  <si>
    <t xml:space="preserve">213005</t>
  </si>
  <si>
    <t xml:space="preserve">New Era Wireless</t>
  </si>
  <si>
    <t xml:space="preserve">Kaled Munassar</t>
  </si>
  <si>
    <t xml:space="preserve">(716) 322-0934</t>
  </si>
  <si>
    <t xml:space="preserve">newera1286@Yahoo.com</t>
  </si>
  <si>
    <t xml:space="preserve">1255 Bailey Ave</t>
  </si>
  <si>
    <t xml:space="preserve">14206</t>
  </si>
  <si>
    <t xml:space="preserve">C20928</t>
  </si>
  <si>
    <t xml:space="preserve">654422</t>
  </si>
  <si>
    <t xml:space="preserve">495575</t>
  </si>
  <si>
    <t xml:space="preserve">212999</t>
  </si>
  <si>
    <t xml:space="preserve">Main St Electronics Sales &amp; Repair</t>
  </si>
  <si>
    <t xml:space="preserve">Luis Villa</t>
  </si>
  <si>
    <t xml:space="preserve">(570) 817-7214</t>
  </si>
  <si>
    <t xml:space="preserve">mainstelectronics01@gmail.com</t>
  </si>
  <si>
    <t xml:space="preserve">74 Main St</t>
  </si>
  <si>
    <t xml:space="preserve">Luzerne</t>
  </si>
  <si>
    <t xml:space="preserve">18709</t>
  </si>
  <si>
    <t xml:space="preserve">C51439</t>
  </si>
  <si>
    <t xml:space="preserve">654267</t>
  </si>
  <si>
    <t xml:space="preserve">495419</t>
  </si>
  <si>
    <t xml:space="preserve">212991</t>
  </si>
  <si>
    <t xml:space="preserve">ANOTHER CHANCE PHONE AND TABLET REPAIR LLC</t>
  </si>
  <si>
    <t xml:space="preserve">Jeffery Chickering</t>
  </si>
  <si>
    <t xml:space="preserve">(541) 671-5294</t>
  </si>
  <si>
    <t xml:space="preserve">jeff@anotherchanceelectronics.com</t>
  </si>
  <si>
    <t xml:space="preserve">566 SE Jackson St</t>
  </si>
  <si>
    <t xml:space="preserve">Roseburg</t>
  </si>
  <si>
    <t xml:space="preserve">97470</t>
  </si>
  <si>
    <t xml:space="preserve">C51441</t>
  </si>
  <si>
    <t xml:space="preserve">654279</t>
  </si>
  <si>
    <t xml:space="preserve">495431</t>
  </si>
  <si>
    <t xml:space="preserve">212988</t>
  </si>
  <si>
    <t xml:space="preserve">RepairClinic</t>
  </si>
  <si>
    <t xml:space="preserve">David Rodriguez</t>
  </si>
  <si>
    <t xml:space="preserve">(424) 331-9047</t>
  </si>
  <si>
    <t xml:space="preserve">ir.inglewood@gmail.com</t>
  </si>
  <si>
    <t xml:space="preserve">18311 S Western Ave</t>
  </si>
  <si>
    <t xml:space="preserve">C51433</t>
  </si>
  <si>
    <t xml:space="preserve">654257</t>
  </si>
  <si>
    <t xml:space="preserve">495409</t>
  </si>
  <si>
    <t xml:space="preserve">212982</t>
  </si>
  <si>
    <t xml:space="preserve">Tecum Cellular Card</t>
  </si>
  <si>
    <t xml:space="preserve">(213) 210-1247</t>
  </si>
  <si>
    <t xml:space="preserve">2047 W 8th St</t>
  </si>
  <si>
    <t xml:space="preserve">652977</t>
  </si>
  <si>
    <t xml:space="preserve">494127</t>
  </si>
  <si>
    <t xml:space="preserve">212955</t>
  </si>
  <si>
    <t xml:space="preserve">IREPAIR CRACK MOBILE LLC</t>
  </si>
  <si>
    <t xml:space="preserve">Phap Dinh Tran</t>
  </si>
  <si>
    <t xml:space="preserve">(424) 247-7344</t>
  </si>
  <si>
    <t xml:space="preserve">irepaircrackmobile@gmail.com</t>
  </si>
  <si>
    <t xml:space="preserve">3451 Torrance Blvd</t>
  </si>
  <si>
    <t xml:space="preserve">Ste 203</t>
  </si>
  <si>
    <t xml:space="preserve">90503</t>
  </si>
  <si>
    <t xml:space="preserve">C51424</t>
  </si>
  <si>
    <t xml:space="preserve">652950</t>
  </si>
  <si>
    <t xml:space="preserve">494099</t>
  </si>
  <si>
    <t xml:space="preserve">212945</t>
  </si>
  <si>
    <t xml:space="preserve">Easy Mart LLC</t>
  </si>
  <si>
    <t xml:space="preserve">Zulfikar Virani</t>
  </si>
  <si>
    <t xml:space="preserve">(480) 248-6817</t>
  </si>
  <si>
    <t xml:space="preserve">zvirani@ymail.com</t>
  </si>
  <si>
    <t xml:space="preserve">1216 S 7th Ave</t>
  </si>
  <si>
    <t xml:space="preserve">85007</t>
  </si>
  <si>
    <t xml:space="preserve">C51427</t>
  </si>
  <si>
    <t xml:space="preserve">652924</t>
  </si>
  <si>
    <t xml:space="preserve">494073</t>
  </si>
  <si>
    <t xml:space="preserve">212923</t>
  </si>
  <si>
    <t xml:space="preserve">M&amp;M WIRELESS LLC</t>
  </si>
  <si>
    <t xml:space="preserve">Alejandro Venegas</t>
  </si>
  <si>
    <t xml:space="preserve">(323) 660-4622</t>
  </si>
  <si>
    <t xml:space="preserve">m.mwirelessllc@gmail.com</t>
  </si>
  <si>
    <t xml:space="preserve">4132 Beverly Blvd</t>
  </si>
  <si>
    <t xml:space="preserve">90004</t>
  </si>
  <si>
    <t xml:space="preserve">C50562</t>
  </si>
  <si>
    <t xml:space="preserve">212907</t>
  </si>
  <si>
    <t xml:space="preserve">Moctezuma Phones Corp</t>
  </si>
  <si>
    <t xml:space="preserve">Charles Agero</t>
  </si>
  <si>
    <t xml:space="preserve">283 NE 8 St</t>
  </si>
  <si>
    <t xml:space="preserve">Homestead</t>
  </si>
  <si>
    <t xml:space="preserve">33030</t>
  </si>
  <si>
    <t xml:space="preserve">652695</t>
  </si>
  <si>
    <t xml:space="preserve">493845</t>
  </si>
  <si>
    <t xml:space="preserve">212901</t>
  </si>
  <si>
    <t xml:space="preserve">Amigo Cell Repair LLC</t>
  </si>
  <si>
    <t xml:space="preserve">130 Irving Park Rd</t>
  </si>
  <si>
    <t xml:space="preserve">Bensenville</t>
  </si>
  <si>
    <t xml:space="preserve">60106</t>
  </si>
  <si>
    <t xml:space="preserve">C50457</t>
  </si>
  <si>
    <t xml:space="preserve">652732</t>
  </si>
  <si>
    <t xml:space="preserve">493882</t>
  </si>
  <si>
    <t xml:space="preserve">212897</t>
  </si>
  <si>
    <t xml:space="preserve">Danosa LLC</t>
  </si>
  <si>
    <t xml:space="preserve">Yuliana Noruega</t>
  </si>
  <si>
    <t xml:space="preserve">(305) 500-1659</t>
  </si>
  <si>
    <t xml:space="preserve">danosacell@gmail.com</t>
  </si>
  <si>
    <t xml:space="preserve">13790 SW 8th St</t>
  </si>
  <si>
    <t xml:space="preserve">MIAMI</t>
  </si>
  <si>
    <t xml:space="preserve">33184</t>
  </si>
  <si>
    <t xml:space="preserve">C51406</t>
  </si>
  <si>
    <t xml:space="preserve">652733</t>
  </si>
  <si>
    <t xml:space="preserve">493883</t>
  </si>
  <si>
    <t xml:space="preserve">212893</t>
  </si>
  <si>
    <t xml:space="preserve">Mitech Wireless Inc</t>
  </si>
  <si>
    <t xml:space="preserve">Mohamed Shafraaz</t>
  </si>
  <si>
    <t xml:space="preserve">(516) 515-8272</t>
  </si>
  <si>
    <t xml:space="preserve">mitechwireless@gmail.com</t>
  </si>
  <si>
    <t xml:space="preserve">18004 Hillside Ave</t>
  </si>
  <si>
    <t xml:space="preserve">C51401</t>
  </si>
  <si>
    <t xml:space="preserve">630806</t>
  </si>
  <si>
    <t xml:space="preserve">477273</t>
  </si>
  <si>
    <t xml:space="preserve">212880</t>
  </si>
  <si>
    <t xml:space="preserve">Wireless Experts Inc DBA Milky Travel Agency</t>
  </si>
  <si>
    <t xml:space="preserve">Selim Reza</t>
  </si>
  <si>
    <t xml:space="preserve">(718) 206-1234</t>
  </si>
  <si>
    <t xml:space="preserve">home8776@gmail.com</t>
  </si>
  <si>
    <t xml:space="preserve">8776 168th St</t>
  </si>
  <si>
    <t xml:space="preserve">C50573</t>
  </si>
  <si>
    <t xml:space="preserve">652706</t>
  </si>
  <si>
    <t xml:space="preserve">493856</t>
  </si>
  <si>
    <t xml:space="preserve">212878</t>
  </si>
  <si>
    <t xml:space="preserve">Volgun LLC dba Techy</t>
  </si>
  <si>
    <t xml:space="preserve">Swapna Chakkarwar</t>
  </si>
  <si>
    <t xml:space="preserve">(240) 422-8330</t>
  </si>
  <si>
    <t xml:space="preserve">frederick@techycompany.com</t>
  </si>
  <si>
    <t xml:space="preserve">2480 Osprey Way S</t>
  </si>
  <si>
    <t xml:space="preserve">Frederick</t>
  </si>
  <si>
    <t xml:space="preserve">21701</t>
  </si>
  <si>
    <t xml:space="preserve">C51407</t>
  </si>
  <si>
    <t xml:space="preserve">652683</t>
  </si>
  <si>
    <t xml:space="preserve">493833</t>
  </si>
  <si>
    <t xml:space="preserve">212873</t>
  </si>
  <si>
    <t xml:space="preserve">QUICKPICKS LLC</t>
  </si>
  <si>
    <t xml:space="preserve">Shampa Barua</t>
  </si>
  <si>
    <t xml:space="preserve">(202) 464-4745</t>
  </si>
  <si>
    <t xml:space="preserve">info@shepherd-market.com</t>
  </si>
  <si>
    <t xml:space="preserve">1247 Shepherd St NW</t>
  </si>
  <si>
    <t xml:space="preserve">20011</t>
  </si>
  <si>
    <t xml:space="preserve">C51415</t>
  </si>
  <si>
    <t xml:space="preserve">652686</t>
  </si>
  <si>
    <t xml:space="preserve">493835</t>
  </si>
  <si>
    <t xml:space="preserve">212872</t>
  </si>
  <si>
    <t xml:space="preserve">Ben's Wireless LLC</t>
  </si>
  <si>
    <t xml:space="preserve">(318) 885-4666</t>
  </si>
  <si>
    <t xml:space="preserve">130 S Randall Rd</t>
  </si>
  <si>
    <t xml:space="preserve">Algonquin</t>
  </si>
  <si>
    <t xml:space="preserve">60102</t>
  </si>
  <si>
    <t xml:space="preserve">651097</t>
  </si>
  <si>
    <t xml:space="preserve">492353</t>
  </si>
  <si>
    <t xml:space="preserve">212869</t>
  </si>
  <si>
    <t xml:space="preserve">ASMA Ventures, L.L.C</t>
  </si>
  <si>
    <t xml:space="preserve">Aftab Amir Ali</t>
  </si>
  <si>
    <t xml:space="preserve">(337) 217-1383</t>
  </si>
  <si>
    <t xml:space="preserve">4534 Nelson Rd</t>
  </si>
  <si>
    <t xml:space="preserve">70605</t>
  </si>
  <si>
    <t xml:space="preserve">652651</t>
  </si>
  <si>
    <t xml:space="preserve">493810</t>
  </si>
  <si>
    <t xml:space="preserve">212861</t>
  </si>
  <si>
    <t xml:space="preserve">Imonkeys LLC</t>
  </si>
  <si>
    <t xml:space="preserve">Aadil Ahmad</t>
  </si>
  <si>
    <t xml:space="preserve">(502) 443-5435</t>
  </si>
  <si>
    <t xml:space="preserve">imonkeys502@gmail.com</t>
  </si>
  <si>
    <t xml:space="preserve">2315 Bardstown Rd</t>
  </si>
  <si>
    <t xml:space="preserve">40205</t>
  </si>
  <si>
    <t xml:space="preserve">C51397</t>
  </si>
  <si>
    <t xml:space="preserve">652540</t>
  </si>
  <si>
    <t xml:space="preserve">493698</t>
  </si>
  <si>
    <t xml:space="preserve">212849</t>
  </si>
  <si>
    <t xml:space="preserve">Mandvia Brothers INC - DBA Mobile Spot</t>
  </si>
  <si>
    <t xml:space="preserve">507 S Timberland Dr</t>
  </si>
  <si>
    <t xml:space="preserve">Lufkin</t>
  </si>
  <si>
    <t xml:space="preserve">652589</t>
  </si>
  <si>
    <t xml:space="preserve">493747</t>
  </si>
  <si>
    <t xml:space="preserve">212848</t>
  </si>
  <si>
    <t xml:space="preserve">Joes Postal ETC</t>
  </si>
  <si>
    <t xml:space="preserve">Carlos JR Ojeda</t>
  </si>
  <si>
    <t xml:space="preserve">(956) 251-9198</t>
  </si>
  <si>
    <t xml:space="preserve">joespostaletc@gmail.com</t>
  </si>
  <si>
    <t xml:space="preserve">1215 Hidalgo St</t>
  </si>
  <si>
    <t xml:space="preserve">C51394</t>
  </si>
  <si>
    <t xml:space="preserve">652542</t>
  </si>
  <si>
    <t xml:space="preserve">493700</t>
  </si>
  <si>
    <t xml:space="preserve">212847</t>
  </si>
  <si>
    <t xml:space="preserve">DC Variedades Inc</t>
  </si>
  <si>
    <t xml:space="preserve">Edelmira De Los Climaco Garcia</t>
  </si>
  <si>
    <t xml:space="preserve">(202) 516-4185</t>
  </si>
  <si>
    <t xml:space="preserve">dcwirelesspay@gmail.com</t>
  </si>
  <si>
    <t xml:space="preserve">3114 Mount Pleasant ST NW</t>
  </si>
  <si>
    <t xml:space="preserve">C51410</t>
  </si>
  <si>
    <t xml:space="preserve">652629</t>
  </si>
  <si>
    <t xml:space="preserve">493788</t>
  </si>
  <si>
    <t xml:space="preserve">212839</t>
  </si>
  <si>
    <t xml:space="preserve">ITech Connections LLC</t>
  </si>
  <si>
    <t xml:space="preserve">Jose Cabrera</t>
  </si>
  <si>
    <t xml:space="preserve">103 N 12th St</t>
  </si>
  <si>
    <t xml:space="preserve">West Columbia</t>
  </si>
  <si>
    <t xml:space="preserve">29169</t>
  </si>
  <si>
    <t xml:space="preserve">652425</t>
  </si>
  <si>
    <t xml:space="preserve">493588</t>
  </si>
  <si>
    <t xml:space="preserve">212830</t>
  </si>
  <si>
    <t xml:space="preserve">CNS COMMUNICATIONS LLC</t>
  </si>
  <si>
    <t xml:space="preserve">Syed Jafri</t>
  </si>
  <si>
    <t xml:space="preserve">(972) 247-3976</t>
  </si>
  <si>
    <t xml:space="preserve">thewirelessexpo@gmail.com</t>
  </si>
  <si>
    <t xml:space="preserve">11360 Harry Hines Blvd</t>
  </si>
  <si>
    <t xml:space="preserve">C51416</t>
  </si>
  <si>
    <t xml:space="preserve">652366</t>
  </si>
  <si>
    <t xml:space="preserve">493528</t>
  </si>
  <si>
    <t xml:space="preserve">212805</t>
  </si>
  <si>
    <t xml:space="preserve">UNLIMITED WIRELESS 5.0 LLC</t>
  </si>
  <si>
    <t xml:space="preserve">William E Harris</t>
  </si>
  <si>
    <t xml:space="preserve">(475) 201-9071</t>
  </si>
  <si>
    <t xml:space="preserve">nwireless@netzero.net</t>
  </si>
  <si>
    <t xml:space="preserve">501 Dixwell Ave</t>
  </si>
  <si>
    <t xml:space="preserve">06511</t>
  </si>
  <si>
    <t xml:space="preserve">C51463</t>
  </si>
  <si>
    <t xml:space="preserve">652322</t>
  </si>
  <si>
    <t xml:space="preserve">493486</t>
  </si>
  <si>
    <t xml:space="preserve">212790</t>
  </si>
  <si>
    <t xml:space="preserve">Devote30</t>
  </si>
  <si>
    <t xml:space="preserve">Jarrett Lamont Bryant</t>
  </si>
  <si>
    <t xml:space="preserve">(541) 844-0560</t>
  </si>
  <si>
    <t xml:space="preserve">jarrett@d30wireless.com</t>
  </si>
  <si>
    <t xml:space="preserve">98 E 13th Ave</t>
  </si>
  <si>
    <t xml:space="preserve">Eugene</t>
  </si>
  <si>
    <t xml:space="preserve">97401</t>
  </si>
  <si>
    <t xml:space="preserve">C51402</t>
  </si>
  <si>
    <t xml:space="preserve">652307</t>
  </si>
  <si>
    <t xml:space="preserve">493471</t>
  </si>
  <si>
    <t xml:space="preserve">212786</t>
  </si>
  <si>
    <t xml:space="preserve">Electronics R Us</t>
  </si>
  <si>
    <t xml:space="preserve">Terrance Wayne Todd</t>
  </si>
  <si>
    <t xml:space="preserve">(210) 257-9009</t>
  </si>
  <si>
    <t xml:space="preserve">Terrancetodd210@gmail.com</t>
  </si>
  <si>
    <t xml:space="preserve">3155 Ackerman Rd</t>
  </si>
  <si>
    <t xml:space="preserve">Kirby</t>
  </si>
  <si>
    <t xml:space="preserve">78219</t>
  </si>
  <si>
    <t xml:space="preserve">C51389</t>
  </si>
  <si>
    <t xml:space="preserve">652174</t>
  </si>
  <si>
    <t xml:space="preserve">493341</t>
  </si>
  <si>
    <t xml:space="preserve">212763</t>
  </si>
  <si>
    <t xml:space="preserve">Gorilla Phone Repairs LLC</t>
  </si>
  <si>
    <t xml:space="preserve">Rafael Urena</t>
  </si>
  <si>
    <t xml:space="preserve">(559) 563-9915</t>
  </si>
  <si>
    <t xml:space="preserve">gorillaphonerepairs@gmail.com</t>
  </si>
  <si>
    <t xml:space="preserve">125 E Front St</t>
  </si>
  <si>
    <t xml:space="preserve">Farmersville</t>
  </si>
  <si>
    <t xml:space="preserve">93223</t>
  </si>
  <si>
    <t xml:space="preserve">C51376</t>
  </si>
  <si>
    <t xml:space="preserve">651920</t>
  </si>
  <si>
    <t xml:space="preserve">493155</t>
  </si>
  <si>
    <t xml:space="preserve">212708</t>
  </si>
  <si>
    <t xml:space="preserve">Azalea Wireless LLC</t>
  </si>
  <si>
    <t xml:space="preserve">Odai Alzghoul</t>
  </si>
  <si>
    <t xml:space="preserve">(804) 799-1133</t>
  </si>
  <si>
    <t xml:space="preserve">azaleawireless1206@gmail.com</t>
  </si>
  <si>
    <t xml:space="preserve">1206 Azalea Ave</t>
  </si>
  <si>
    <t xml:space="preserve">23227</t>
  </si>
  <si>
    <t xml:space="preserve">C51367</t>
  </si>
  <si>
    <t xml:space="preserve">651877</t>
  </si>
  <si>
    <t xml:space="preserve">493114</t>
  </si>
  <si>
    <t xml:space="preserve">212699</t>
  </si>
  <si>
    <t xml:space="preserve">Carlos Wireless LLC</t>
  </si>
  <si>
    <t xml:space="preserve">Nagy Aziz</t>
  </si>
  <si>
    <t xml:space="preserve">(615) 600-2380</t>
  </si>
  <si>
    <t xml:space="preserve">nathan.carloswireless@gmail.com</t>
  </si>
  <si>
    <t xml:space="preserve">818 Murfreesboro Pike</t>
  </si>
  <si>
    <t xml:space="preserve">37217</t>
  </si>
  <si>
    <t xml:space="preserve">C51144</t>
  </si>
  <si>
    <t xml:space="preserve">651758</t>
  </si>
  <si>
    <t xml:space="preserve">493006</t>
  </si>
  <si>
    <t xml:space="preserve">212667</t>
  </si>
  <si>
    <t xml:space="preserve">Cellular Clinic LLC</t>
  </si>
  <si>
    <t xml:space="preserve">Alain Roger Tamonoche</t>
  </si>
  <si>
    <t xml:space="preserve">(412) 626-0111</t>
  </si>
  <si>
    <t xml:space="preserve">Phonemaster2010@gmail.com</t>
  </si>
  <si>
    <t xml:space="preserve">713 PENN AVE</t>
  </si>
  <si>
    <t xml:space="preserve">WILKINSBURG</t>
  </si>
  <si>
    <t xml:space="preserve">15221</t>
  </si>
  <si>
    <t xml:space="preserve">C51355</t>
  </si>
  <si>
    <t xml:space="preserve">651590</t>
  </si>
  <si>
    <t xml:space="preserve">492845</t>
  </si>
  <si>
    <t xml:space="preserve">212595</t>
  </si>
  <si>
    <t xml:space="preserve">(346) 666-9663</t>
  </si>
  <si>
    <t xml:space="preserve">3316 Shaver St</t>
  </si>
  <si>
    <t xml:space="preserve">651481</t>
  </si>
  <si>
    <t xml:space="preserve">492740</t>
  </si>
  <si>
    <t xml:space="preserve">212575</t>
  </si>
  <si>
    <t xml:space="preserve">(630) 290-5630</t>
  </si>
  <si>
    <t xml:space="preserve">229 W Grand Ave</t>
  </si>
  <si>
    <t xml:space="preserve">650804</t>
  </si>
  <si>
    <t xml:space="preserve">492054</t>
  </si>
  <si>
    <t xml:space="preserve">212573</t>
  </si>
  <si>
    <t xml:space="preserve">21100 Dulles Town Cir</t>
  </si>
  <si>
    <t xml:space="preserve">Ste 139</t>
  </si>
  <si>
    <t xml:space="preserve">Sterling</t>
  </si>
  <si>
    <t xml:space="preserve">20166</t>
  </si>
  <si>
    <t xml:space="preserve">650776</t>
  </si>
  <si>
    <t xml:space="preserve">492026</t>
  </si>
  <si>
    <t xml:space="preserve">212571</t>
  </si>
  <si>
    <t xml:space="preserve">D And C Wireless LLC</t>
  </si>
  <si>
    <t xml:space="preserve">(915) 332-7556</t>
  </si>
  <si>
    <t xml:space="preserve">495 N 8th St</t>
  </si>
  <si>
    <t xml:space="preserve">92243</t>
  </si>
  <si>
    <t xml:space="preserve">650828</t>
  </si>
  <si>
    <t xml:space="preserve">492078</t>
  </si>
  <si>
    <t xml:space="preserve">212570</t>
  </si>
  <si>
    <t xml:space="preserve">Tinta LLC</t>
  </si>
  <si>
    <t xml:space="preserve">Giovani Magana Godoy</t>
  </si>
  <si>
    <t xml:space="preserve">(661) 610-0123</t>
  </si>
  <si>
    <t xml:space="preserve">gorillacellularusa@gmail.com</t>
  </si>
  <si>
    <t xml:space="preserve">829 7th ST</t>
  </si>
  <si>
    <t xml:space="preserve">Wasco</t>
  </si>
  <si>
    <t xml:space="preserve">93280</t>
  </si>
  <si>
    <t xml:space="preserve">C51282</t>
  </si>
  <si>
    <t xml:space="preserve">651399</t>
  </si>
  <si>
    <t xml:space="preserve">492658</t>
  </si>
  <si>
    <t xml:space="preserve">212556</t>
  </si>
  <si>
    <t xml:space="preserve">MailBox And More L.L.C.</t>
  </si>
  <si>
    <t xml:space="preserve">Masoud Heyratifar</t>
  </si>
  <si>
    <t xml:space="preserve">(512) 736-9966</t>
  </si>
  <si>
    <t xml:space="preserve">voicecom19@sbcglobal.net</t>
  </si>
  <si>
    <t xml:space="preserve">9500 US-290 HWY</t>
  </si>
  <si>
    <t xml:space="preserve">Booth 79</t>
  </si>
  <si>
    <t xml:space="preserve">78724</t>
  </si>
  <si>
    <t xml:space="preserve">C51350</t>
  </si>
  <si>
    <t xml:space="preserve">651360</t>
  </si>
  <si>
    <t xml:space="preserve">492618</t>
  </si>
  <si>
    <t xml:space="preserve">212550</t>
  </si>
  <si>
    <t xml:space="preserve">A Wireless Repair</t>
  </si>
  <si>
    <t xml:space="preserve">Irma Viviana Castillo Salas</t>
  </si>
  <si>
    <t xml:space="preserve">(956) 923-0333</t>
  </si>
  <si>
    <t xml:space="preserve">awirelessrepairs@gmail.com</t>
  </si>
  <si>
    <t xml:space="preserve">1601 N Texas Blvd</t>
  </si>
  <si>
    <t xml:space="preserve">Weslaco</t>
  </si>
  <si>
    <t xml:space="preserve">78599</t>
  </si>
  <si>
    <t xml:space="preserve">C51377</t>
  </si>
  <si>
    <t xml:space="preserve">212546</t>
  </si>
  <si>
    <t xml:space="preserve">RBC Technologies</t>
  </si>
  <si>
    <t xml:space="preserve">Rafael Bravo</t>
  </si>
  <si>
    <t xml:space="preserve">1932 W 7th St</t>
  </si>
  <si>
    <t xml:space="preserve">650774</t>
  </si>
  <si>
    <t xml:space="preserve">492024</t>
  </si>
  <si>
    <t xml:space="preserve">212545</t>
  </si>
  <si>
    <t xml:space="preserve">Outlet47St</t>
  </si>
  <si>
    <t xml:space="preserve">Bryan Chuy</t>
  </si>
  <si>
    <t xml:space="preserve">4705 S Vermont Ave</t>
  </si>
  <si>
    <t xml:space="preserve">FRNT</t>
  </si>
  <si>
    <t xml:space="preserve">650934</t>
  </si>
  <si>
    <t xml:space="preserve">492186</t>
  </si>
  <si>
    <t xml:space="preserve">212543</t>
  </si>
  <si>
    <t xml:space="preserve">Excel Innovations Limited Liability Company</t>
  </si>
  <si>
    <t xml:space="preserve">Sabeen Hasan</t>
  </si>
  <si>
    <t xml:space="preserve">(832) 643-4889</t>
  </si>
  <si>
    <t xml:space="preserve">sabeenmhasan@gmail.com</t>
  </si>
  <si>
    <t xml:space="preserve">811 W Comal St</t>
  </si>
  <si>
    <t xml:space="preserve">Pearsall</t>
  </si>
  <si>
    <t xml:space="preserve">78061</t>
  </si>
  <si>
    <t xml:space="preserve">C51315</t>
  </si>
  <si>
    <t xml:space="preserve">183752</t>
  </si>
  <si>
    <t xml:space="preserve">193656</t>
  </si>
  <si>
    <t xml:space="preserve">212534</t>
  </si>
  <si>
    <t xml:space="preserve">Metro Wireless</t>
  </si>
  <si>
    <t xml:space="preserve">Adrian Flores</t>
  </si>
  <si>
    <t xml:space="preserve">(956) 532-8850</t>
  </si>
  <si>
    <t xml:space="preserve">getmetrowireless@yahoo.com</t>
  </si>
  <si>
    <t xml:space="preserve">369 W Hidalgo Ave</t>
  </si>
  <si>
    <t xml:space="preserve">Raymondville</t>
  </si>
  <si>
    <t xml:space="preserve">78580</t>
  </si>
  <si>
    <t xml:space="preserve">C17280</t>
  </si>
  <si>
    <t xml:space="preserve">650767</t>
  </si>
  <si>
    <t xml:space="preserve">492017</t>
  </si>
  <si>
    <t xml:space="preserve">212533</t>
  </si>
  <si>
    <t xml:space="preserve">A. ZAIDI LLC</t>
  </si>
  <si>
    <t xml:space="preserve">(832) 430-0000</t>
  </si>
  <si>
    <t xml:space="preserve">1647 N FRAZIER ST</t>
  </si>
  <si>
    <t xml:space="preserve">CONROE</t>
  </si>
  <si>
    <t xml:space="preserve">651318</t>
  </si>
  <si>
    <t xml:space="preserve">492576</t>
  </si>
  <si>
    <t xml:space="preserve">212532</t>
  </si>
  <si>
    <t xml:space="preserve">Wenzhou Tongxin Inc</t>
  </si>
  <si>
    <t xml:space="preserve">Jianbo Cai</t>
  </si>
  <si>
    <t xml:space="preserve">wenzhoutongxin@gmail.com</t>
  </si>
  <si>
    <t xml:space="preserve">4626 Kissena Blvd BSMT</t>
  </si>
  <si>
    <t xml:space="preserve">C51338</t>
  </si>
  <si>
    <t xml:space="preserve">212507</t>
  </si>
  <si>
    <t xml:space="preserve">Supreme Mobile LLC</t>
  </si>
  <si>
    <t xml:space="preserve">Naseem Naseem</t>
  </si>
  <si>
    <t xml:space="preserve">1000 SOUTHLAKE CIR</t>
  </si>
  <si>
    <t xml:space="preserve">Morrow</t>
  </si>
  <si>
    <t xml:space="preserve">30260</t>
  </si>
  <si>
    <t xml:space="preserve">650805</t>
  </si>
  <si>
    <t xml:space="preserve">492055</t>
  </si>
  <si>
    <t xml:space="preserve">212498</t>
  </si>
  <si>
    <t xml:space="preserve">R&amp;R Mobility LLC</t>
  </si>
  <si>
    <t xml:space="preserve">Mark Rodriguez</t>
  </si>
  <si>
    <t xml:space="preserve">(972) 209-0053</t>
  </si>
  <si>
    <t xml:space="preserve">support@mobilephoneshop.com</t>
  </si>
  <si>
    <t xml:space="preserve">3659 Irving Mall</t>
  </si>
  <si>
    <t xml:space="preserve">C51259</t>
  </si>
  <si>
    <t xml:space="preserve">650811</t>
  </si>
  <si>
    <t xml:space="preserve">492061</t>
  </si>
  <si>
    <t xml:space="preserve">212487</t>
  </si>
  <si>
    <t xml:space="preserve">Pagecall Wireless LLC</t>
  </si>
  <si>
    <t xml:space="preserve">Zayra Idalia Delgado</t>
  </si>
  <si>
    <t xml:space="preserve">(972) 682-9600</t>
  </si>
  <si>
    <t xml:space="preserve">pagecallwireless4@yahoo.com</t>
  </si>
  <si>
    <t xml:space="preserve">1402 Northwest Hwy</t>
  </si>
  <si>
    <t xml:space="preserve">105B</t>
  </si>
  <si>
    <t xml:space="preserve">C51265</t>
  </si>
  <si>
    <t xml:space="preserve">651241</t>
  </si>
  <si>
    <t xml:space="preserve">492498</t>
  </si>
  <si>
    <t xml:space="preserve">212486</t>
  </si>
  <si>
    <t xml:space="preserve">AJ Wireless &amp; More LLC</t>
  </si>
  <si>
    <t xml:space="preserve">Ingrid Gonzalez</t>
  </si>
  <si>
    <t xml:space="preserve">(202) 938-6370</t>
  </si>
  <si>
    <t xml:space="preserve">ajwirelessmore@gmail.com</t>
  </si>
  <si>
    <t xml:space="preserve">1101 University Blvd</t>
  </si>
  <si>
    <t xml:space="preserve">Tacoma Park</t>
  </si>
  <si>
    <t xml:space="preserve">C51334</t>
  </si>
  <si>
    <t xml:space="preserve">650773</t>
  </si>
  <si>
    <t xml:space="preserve">492023</t>
  </si>
  <si>
    <t xml:space="preserve">212485</t>
  </si>
  <si>
    <t xml:space="preserve">Bash Wireless LLC</t>
  </si>
  <si>
    <t xml:space="preserve">Cesar Osorio</t>
  </si>
  <si>
    <t xml:space="preserve">(301) 933-4105</t>
  </si>
  <si>
    <t xml:space="preserve">bashwirelessllc@gmail.com</t>
  </si>
  <si>
    <t xml:space="preserve">13623 Georgia Ave</t>
  </si>
  <si>
    <t xml:space="preserve">C50557</t>
  </si>
  <si>
    <t xml:space="preserve">651235</t>
  </si>
  <si>
    <t xml:space="preserve">492492</t>
  </si>
  <si>
    <t xml:space="preserve">212481</t>
  </si>
  <si>
    <t xml:space="preserve">Prime Future Solutions LLC dba Phone Experts</t>
  </si>
  <si>
    <t xml:space="preserve">Syed Hassan Javed</t>
  </si>
  <si>
    <t xml:space="preserve">(281) 779-1940</t>
  </si>
  <si>
    <t xml:space="preserve">primefuturesolution@gmail.com</t>
  </si>
  <si>
    <t xml:space="preserve">8220 Louetta Rd</t>
  </si>
  <si>
    <t xml:space="preserve">Unit 140</t>
  </si>
  <si>
    <t xml:space="preserve">77379</t>
  </si>
  <si>
    <t xml:space="preserve">C51331</t>
  </si>
  <si>
    <t xml:space="preserve">661687</t>
  </si>
  <si>
    <t xml:space="preserve">502715</t>
  </si>
  <si>
    <t xml:space="preserve">212476</t>
  </si>
  <si>
    <t xml:space="preserve">JALLOW, INC</t>
  </si>
  <si>
    <t xml:space="preserve">Momodou Jallow</t>
  </si>
  <si>
    <t xml:space="preserve">jallowwest@gmail.com</t>
  </si>
  <si>
    <t xml:space="preserve">1122 Westchester Ave</t>
  </si>
  <si>
    <t xml:space="preserve">10459</t>
  </si>
  <si>
    <t xml:space="preserve">C53734</t>
  </si>
  <si>
    <t xml:space="preserve">650771</t>
  </si>
  <si>
    <t xml:space="preserve">492021</t>
  </si>
  <si>
    <t xml:space="preserve">212474</t>
  </si>
  <si>
    <t xml:space="preserve">Alvarez Network LLC</t>
  </si>
  <si>
    <t xml:space="preserve">Angel Gutierrez</t>
  </si>
  <si>
    <t xml:space="preserve">(240) 340-1404</t>
  </si>
  <si>
    <t xml:space="preserve">BESTWIRELESSUSA@YAHOO.COM</t>
  </si>
  <si>
    <t xml:space="preserve">2535 Ennalls Avenue</t>
  </si>
  <si>
    <t xml:space="preserve">Wheaton</t>
  </si>
  <si>
    <t xml:space="preserve">C51225</t>
  </si>
  <si>
    <t xml:space="preserve">650809</t>
  </si>
  <si>
    <t xml:space="preserve">492059</t>
  </si>
  <si>
    <t xml:space="preserve">212467</t>
  </si>
  <si>
    <t xml:space="preserve">Gadget Exchange, LLC</t>
  </si>
  <si>
    <t xml:space="preserve">Nareman Sood</t>
  </si>
  <si>
    <t xml:space="preserve">(209) 596-2390</t>
  </si>
  <si>
    <t xml:space="preserve">gadgetsexchange@yahoo.com</t>
  </si>
  <si>
    <t xml:space="preserve">3800 Mchenry Ave</t>
  </si>
  <si>
    <t xml:space="preserve">A-B</t>
  </si>
  <si>
    <t xml:space="preserve">Modesto</t>
  </si>
  <si>
    <t xml:space="preserve">95356</t>
  </si>
  <si>
    <t xml:space="preserve">C51263</t>
  </si>
  <si>
    <t xml:space="preserve">618868</t>
  </si>
  <si>
    <t xml:space="preserve">469315</t>
  </si>
  <si>
    <t xml:space="preserve">212453</t>
  </si>
  <si>
    <t xml:space="preserve">Walmo Comm</t>
  </si>
  <si>
    <t xml:space="preserve">Mohammad Gheith</t>
  </si>
  <si>
    <t xml:space="preserve">(760) 774-4270</t>
  </si>
  <si>
    <t xml:space="preserve">Canary25ug@hotmail.com</t>
  </si>
  <si>
    <t xml:space="preserve">4651 E Ramon Rd</t>
  </si>
  <si>
    <t xml:space="preserve">Palm Springs</t>
  </si>
  <si>
    <t xml:space="preserve">92264</t>
  </si>
  <si>
    <t xml:space="preserve">C50098</t>
  </si>
  <si>
    <t xml:space="preserve">651087</t>
  </si>
  <si>
    <t xml:space="preserve">492343</t>
  </si>
  <si>
    <t xml:space="preserve">212441</t>
  </si>
  <si>
    <t xml:space="preserve">Colombia Cell LLC</t>
  </si>
  <si>
    <t xml:space="preserve">Alexander Barreto</t>
  </si>
  <si>
    <t xml:space="preserve">(956) 600-2830</t>
  </si>
  <si>
    <t xml:space="preserve">colombiacel007@gmail.com</t>
  </si>
  <si>
    <t xml:space="preserve">2401 W US Highway 83</t>
  </si>
  <si>
    <t xml:space="preserve">Ste 20</t>
  </si>
  <si>
    <t xml:space="preserve">C51374</t>
  </si>
  <si>
    <t xml:space="preserve">651073</t>
  </si>
  <si>
    <t xml:space="preserve">492329</t>
  </si>
  <si>
    <t xml:space="preserve">212439</t>
  </si>
  <si>
    <t xml:space="preserve">Alex Wireless, Inc</t>
  </si>
  <si>
    <t xml:space="preserve">Robles Guadalupe</t>
  </si>
  <si>
    <t xml:space="preserve">(956) 551-3848</t>
  </si>
  <si>
    <t xml:space="preserve">lupitasperfumes@yahoo.com</t>
  </si>
  <si>
    <t xml:space="preserve">1231 E Elizabeth St</t>
  </si>
  <si>
    <t xml:space="preserve">78520</t>
  </si>
  <si>
    <t xml:space="preserve">C51318</t>
  </si>
  <si>
    <t xml:space="preserve">651058</t>
  </si>
  <si>
    <t xml:space="preserve">492313</t>
  </si>
  <si>
    <t xml:space="preserve">212433</t>
  </si>
  <si>
    <t xml:space="preserve">1520 Clark Blvd</t>
  </si>
  <si>
    <t xml:space="preserve">650831</t>
  </si>
  <si>
    <t xml:space="preserve">492081</t>
  </si>
  <si>
    <t xml:space="preserve">212424</t>
  </si>
  <si>
    <t xml:space="preserve">Chicken Fix Phones</t>
  </si>
  <si>
    <t xml:space="preserve">Victor Sierra</t>
  </si>
  <si>
    <t xml:space="preserve">(323) 604-3821</t>
  </si>
  <si>
    <t xml:space="preserve">chickenfix_phone@icloud.com</t>
  </si>
  <si>
    <t xml:space="preserve">1448 E Florence Ave</t>
  </si>
  <si>
    <t xml:space="preserve">C51285</t>
  </si>
  <si>
    <t xml:space="preserve">650777</t>
  </si>
  <si>
    <t xml:space="preserve">492027</t>
  </si>
  <si>
    <t xml:space="preserve">212412</t>
  </si>
  <si>
    <t xml:space="preserve">D Solutions Multi Services LLC</t>
  </si>
  <si>
    <t xml:space="preserve">Luis Feliz</t>
  </si>
  <si>
    <t xml:space="preserve">(732) 895-8237</t>
  </si>
  <si>
    <t xml:space="preserve">solutionsmultiservices398@gmail.com</t>
  </si>
  <si>
    <t xml:space="preserve">398 Comstock St</t>
  </si>
  <si>
    <t xml:space="preserve">New Brunswick</t>
  </si>
  <si>
    <t xml:space="preserve">08901</t>
  </si>
  <si>
    <t xml:space="preserve">C51231</t>
  </si>
  <si>
    <t xml:space="preserve">650782</t>
  </si>
  <si>
    <t xml:space="preserve">492032</t>
  </si>
  <si>
    <t xml:space="preserve">212395</t>
  </si>
  <si>
    <t xml:space="preserve">ENTREPRENEUR TECHNOLOGY LLC</t>
  </si>
  <si>
    <t xml:space="preserve">Anwar Bajes</t>
  </si>
  <si>
    <t xml:space="preserve">(205) 900-6001</t>
  </si>
  <si>
    <t xml:space="preserve">etc.technology@zohomail.com</t>
  </si>
  <si>
    <t xml:space="preserve">7001 CRESTWOOD BLVD</t>
  </si>
  <si>
    <t xml:space="preserve">STE 1208</t>
  </si>
  <si>
    <t xml:space="preserve">IRONDALE</t>
  </si>
  <si>
    <t xml:space="preserve">35210</t>
  </si>
  <si>
    <t xml:space="preserve">C51236</t>
  </si>
  <si>
    <t xml:space="preserve">650873</t>
  </si>
  <si>
    <t xml:space="preserve">492127</t>
  </si>
  <si>
    <t xml:space="preserve">212390</t>
  </si>
  <si>
    <t xml:space="preserve">JISS ENTERPRISE INC</t>
  </si>
  <si>
    <t xml:space="preserve">Shayan S Amlani</t>
  </si>
  <si>
    <t xml:space="preserve">3203 Nacogdoches Rd</t>
  </si>
  <si>
    <t xml:space="preserve">650770</t>
  </si>
  <si>
    <t xml:space="preserve">492020</t>
  </si>
  <si>
    <t xml:space="preserve">212377</t>
  </si>
  <si>
    <t xml:space="preserve">ALL WIRELESS GA LLC</t>
  </si>
  <si>
    <t xml:space="preserve">Steve Kim</t>
  </si>
  <si>
    <t xml:space="preserve">(770) 256-6135</t>
  </si>
  <si>
    <t xml:space="preserve">smartchoiceatl@gmail.com</t>
  </si>
  <si>
    <t xml:space="preserve">6146 Covington Hwy</t>
  </si>
  <si>
    <t xml:space="preserve">Lithonia</t>
  </si>
  <si>
    <t xml:space="preserve">30058</t>
  </si>
  <si>
    <t xml:space="preserve">C51224</t>
  </si>
  <si>
    <t xml:space="preserve">633875</t>
  </si>
  <si>
    <t xml:space="preserve">480373</t>
  </si>
  <si>
    <t xml:space="preserve">212359</t>
  </si>
  <si>
    <t xml:space="preserve">Zarif &amp; Zihan LLC</t>
  </si>
  <si>
    <t xml:space="preserve">Jahangir Alom</t>
  </si>
  <si>
    <t xml:space="preserve">(203) 301-0853</t>
  </si>
  <si>
    <t xml:space="preserve">Videobuttons2@gmail.com</t>
  </si>
  <si>
    <t xml:space="preserve">1201 Boston Post Rd</t>
  </si>
  <si>
    <t xml:space="preserve">Milford</t>
  </si>
  <si>
    <t xml:space="preserve">06460</t>
  </si>
  <si>
    <t xml:space="preserve">C50748</t>
  </si>
  <si>
    <t xml:space="preserve">212342</t>
  </si>
  <si>
    <t xml:space="preserve">Super Video</t>
  </si>
  <si>
    <t xml:space="preserve">Jacob Dominguez</t>
  </si>
  <si>
    <t xml:space="preserve">5310 S PLEASANT VALLEY RD</t>
  </si>
  <si>
    <t xml:space="preserve">AUSTIN</t>
  </si>
  <si>
    <t xml:space="preserve">78744</t>
  </si>
  <si>
    <t xml:space="preserve">650430</t>
  </si>
  <si>
    <t xml:space="preserve">491674</t>
  </si>
  <si>
    <t xml:space="preserve">212337</t>
  </si>
  <si>
    <t xml:space="preserve">Fix and Colors</t>
  </si>
  <si>
    <t xml:space="preserve">Rahana Akter</t>
  </si>
  <si>
    <t xml:space="preserve">(718) 483-9448</t>
  </si>
  <si>
    <t xml:space="preserve">fixncolors@gmail.com</t>
  </si>
  <si>
    <t xml:space="preserve">1251 Fulton St</t>
  </si>
  <si>
    <t xml:space="preserve">11216</t>
  </si>
  <si>
    <t xml:space="preserve">C51212</t>
  </si>
  <si>
    <t xml:space="preserve">650566</t>
  </si>
  <si>
    <t xml:space="preserve">491811</t>
  </si>
  <si>
    <t xml:space="preserve">212322</t>
  </si>
  <si>
    <t xml:space="preserve">Tech Fix Cell Phone Repair LLC</t>
  </si>
  <si>
    <t xml:space="preserve">Anirudh Sood</t>
  </si>
  <si>
    <t xml:space="preserve">(470) 657-3340</t>
  </si>
  <si>
    <t xml:space="preserve">decatur@techfixcellphonerepair.com</t>
  </si>
  <si>
    <t xml:space="preserve">2079 S HAIRSTON RD</t>
  </si>
  <si>
    <t xml:space="preserve">DECATUR</t>
  </si>
  <si>
    <t xml:space="preserve">30035</t>
  </si>
  <si>
    <t xml:space="preserve">C51215</t>
  </si>
  <si>
    <t xml:space="preserve">650578</t>
  </si>
  <si>
    <t xml:space="preserve">491823</t>
  </si>
  <si>
    <t xml:space="preserve">212321</t>
  </si>
  <si>
    <t xml:space="preserve">DC Phone Repair LLC</t>
  </si>
  <si>
    <t xml:space="preserve">Solaiman Kowser</t>
  </si>
  <si>
    <t xml:space="preserve">(202) 478-4799</t>
  </si>
  <si>
    <t xml:space="preserve">phonerepairdc@gmail.com</t>
  </si>
  <si>
    <t xml:space="preserve">2708 Marion Barry Ave SE</t>
  </si>
  <si>
    <t xml:space="preserve">20020</t>
  </si>
  <si>
    <t xml:space="preserve">C51214</t>
  </si>
  <si>
    <t xml:space="preserve">650474</t>
  </si>
  <si>
    <t xml:space="preserve">491719</t>
  </si>
  <si>
    <t xml:space="preserve">212281</t>
  </si>
  <si>
    <t xml:space="preserve">Odette Gittins</t>
  </si>
  <si>
    <t xml:space="preserve">Odette Gittins Ramirez</t>
  </si>
  <si>
    <t xml:space="preserve">(956) 800-2000</t>
  </si>
  <si>
    <t xml:space="preserve">iphonesosmission@gmail.com</t>
  </si>
  <si>
    <t xml:space="preserve">2521 E Griffin Pkwy</t>
  </si>
  <si>
    <t xml:space="preserve">C51211</t>
  </si>
  <si>
    <t xml:space="preserve">650428</t>
  </si>
  <si>
    <t xml:space="preserve">491672</t>
  </si>
  <si>
    <t xml:space="preserve">212279</t>
  </si>
  <si>
    <t xml:space="preserve">ES WIRELESS NETWORK INC</t>
  </si>
  <si>
    <t xml:space="preserve">Abu Siddique</t>
  </si>
  <si>
    <t xml:space="preserve">(646) 441-7979</t>
  </si>
  <si>
    <t xml:space="preserve">celltechbk@gmail.com</t>
  </si>
  <si>
    <t xml:space="preserve">81 Church Ave</t>
  </si>
  <si>
    <t xml:space="preserve">11218</t>
  </si>
  <si>
    <t xml:space="preserve">C51208</t>
  </si>
  <si>
    <t xml:space="preserve">650443</t>
  </si>
  <si>
    <t xml:space="preserve">491687</t>
  </si>
  <si>
    <t xml:space="preserve">212266</t>
  </si>
  <si>
    <t xml:space="preserve">Clarence W JR Testerman</t>
  </si>
  <si>
    <t xml:space="preserve">Wayne Testerman</t>
  </si>
  <si>
    <t xml:space="preserve">(956) 308-1592</t>
  </si>
  <si>
    <t xml:space="preserve">werowireless@gmail.com</t>
  </si>
  <si>
    <t xml:space="preserve">619 Guadalupe St</t>
  </si>
  <si>
    <t xml:space="preserve">C51209</t>
  </si>
  <si>
    <t xml:space="preserve">650293</t>
  </si>
  <si>
    <t xml:space="preserve">491536</t>
  </si>
  <si>
    <t xml:space="preserve">212257</t>
  </si>
  <si>
    <t xml:space="preserve">Fiesta's Wireless LLC</t>
  </si>
  <si>
    <t xml:space="preserve">Kareem Ahmed</t>
  </si>
  <si>
    <t xml:space="preserve">(661) 520-2414</t>
  </si>
  <si>
    <t xml:space="preserve">fiestaswireless@gmail.com</t>
  </si>
  <si>
    <t xml:space="preserve">1400 Padre St</t>
  </si>
  <si>
    <t xml:space="preserve">93307</t>
  </si>
  <si>
    <t xml:space="preserve">C51210</t>
  </si>
  <si>
    <t xml:space="preserve">649981</t>
  </si>
  <si>
    <t xml:space="preserve">491247</t>
  </si>
  <si>
    <t xml:space="preserve">212162</t>
  </si>
  <si>
    <t xml:space="preserve">D J &amp; J INVESTMENTS INC</t>
  </si>
  <si>
    <t xml:space="preserve">Darryl Lockard</t>
  </si>
  <si>
    <t xml:space="preserve">(210) 680-7222</t>
  </si>
  <si>
    <t xml:space="preserve">thrifty78238@yahoo.com</t>
  </si>
  <si>
    <t xml:space="preserve">5900 NW Industrial Dr</t>
  </si>
  <si>
    <t xml:space="preserve">Leon Valley</t>
  </si>
  <si>
    <t xml:space="preserve">78238</t>
  </si>
  <si>
    <t xml:space="preserve">C51200</t>
  </si>
  <si>
    <t xml:space="preserve">649236</t>
  </si>
  <si>
    <t xml:space="preserve">490542</t>
  </si>
  <si>
    <t xml:space="preserve">212134</t>
  </si>
  <si>
    <t xml:space="preserve">PMS Partners LLC</t>
  </si>
  <si>
    <t xml:space="preserve">Mehedy Hasan</t>
  </si>
  <si>
    <t xml:space="preserve">atnh25@gmail.com</t>
  </si>
  <si>
    <t xml:space="preserve">1175 Indian Trail Lilburn Rd NW</t>
  </si>
  <si>
    <t xml:space="preserve">C51197</t>
  </si>
  <si>
    <t xml:space="preserve">649491</t>
  </si>
  <si>
    <t xml:space="preserve">490761</t>
  </si>
  <si>
    <t xml:space="preserve">212122</t>
  </si>
  <si>
    <t xml:space="preserve">UDestroyed Iphone Repair INC</t>
  </si>
  <si>
    <t xml:space="preserve">Francisco Obregon</t>
  </si>
  <si>
    <t xml:space="preserve">(404) 971-2602</t>
  </si>
  <si>
    <t xml:space="preserve">udestroyedwefix@gmail.com</t>
  </si>
  <si>
    <t xml:space="preserve">1272 North Ave NW</t>
  </si>
  <si>
    <t xml:space="preserve">30318</t>
  </si>
  <si>
    <t xml:space="preserve">C51184</t>
  </si>
  <si>
    <t xml:space="preserve">649146</t>
  </si>
  <si>
    <t xml:space="preserve">490446</t>
  </si>
  <si>
    <t xml:space="preserve">212101</t>
  </si>
  <si>
    <t xml:space="preserve">1943 Wireless Inc</t>
  </si>
  <si>
    <t xml:space="preserve">Ho Poon</t>
  </si>
  <si>
    <t xml:space="preserve">(718) 666-6661</t>
  </si>
  <si>
    <t xml:space="preserve">1943wireless@gmail.com</t>
  </si>
  <si>
    <t xml:space="preserve">6718 Bay Pkwy</t>
  </si>
  <si>
    <t xml:space="preserve">C51190</t>
  </si>
  <si>
    <t xml:space="preserve">212080</t>
  </si>
  <si>
    <t xml:space="preserve">Promise Treasure Find Thriftstore</t>
  </si>
  <si>
    <t xml:space="preserve">Celestial Davis</t>
  </si>
  <si>
    <t xml:space="preserve">1164 Magnolia St</t>
  </si>
  <si>
    <t xml:space="preserve">Orangeburg</t>
  </si>
  <si>
    <t xml:space="preserve">29115</t>
  </si>
  <si>
    <t xml:space="preserve">648645</t>
  </si>
  <si>
    <t xml:space="preserve">489964</t>
  </si>
  <si>
    <t xml:space="preserve">212009</t>
  </si>
  <si>
    <t xml:space="preserve">EZ Communications</t>
  </si>
  <si>
    <t xml:space="preserve">Ezequiel Ramirez</t>
  </si>
  <si>
    <t xml:space="preserve">(956) 353-8191</t>
  </si>
  <si>
    <t xml:space="preserve">ezcommunication164@gmail.com</t>
  </si>
  <si>
    <t xml:space="preserve">603 E Main St</t>
  </si>
  <si>
    <t xml:space="preserve">C42742</t>
  </si>
  <si>
    <t xml:space="preserve">595610</t>
  </si>
  <si>
    <t xml:space="preserve">444181</t>
  </si>
  <si>
    <t xml:space="preserve">211998</t>
  </si>
  <si>
    <t xml:space="preserve">Ana &amp; Son Services Inc.</t>
  </si>
  <si>
    <t xml:space="preserve">Ana Aguirre</t>
  </si>
  <si>
    <t xml:space="preserve">(805) 966-0214</t>
  </si>
  <si>
    <t xml:space="preserve">ana_son.servicesinc@yahoo.com</t>
  </si>
  <si>
    <t xml:space="preserve">1511 San Andres St</t>
  </si>
  <si>
    <t xml:space="preserve">Santa Barbara</t>
  </si>
  <si>
    <t xml:space="preserve">93101</t>
  </si>
  <si>
    <t xml:space="preserve">C47564</t>
  </si>
  <si>
    <t xml:space="preserve">648028</t>
  </si>
  <si>
    <t xml:space="preserve">489336</t>
  </si>
  <si>
    <t xml:space="preserve">211911</t>
  </si>
  <si>
    <t xml:space="preserve">Phoneaholics LLC</t>
  </si>
  <si>
    <t xml:space="preserve">Ismail Sohel</t>
  </si>
  <si>
    <t xml:space="preserve">(404) 397-2273</t>
  </si>
  <si>
    <t xml:space="preserve">phoneaholicsatl2@gmail.com</t>
  </si>
  <si>
    <t xml:space="preserve">6000 Dawson BLVD</t>
  </si>
  <si>
    <t xml:space="preserve">C51134</t>
  </si>
  <si>
    <t xml:space="preserve">647995</t>
  </si>
  <si>
    <t xml:space="preserve">489301</t>
  </si>
  <si>
    <t xml:space="preserve">211879</t>
  </si>
  <si>
    <t xml:space="preserve">Beir Nabala Watch CO INC</t>
  </si>
  <si>
    <t xml:space="preserve">Ali S Rizek</t>
  </si>
  <si>
    <t xml:space="preserve">(716) 854-2700</t>
  </si>
  <si>
    <t xml:space="preserve">alisrizek@gmail.com</t>
  </si>
  <si>
    <t xml:space="preserve">450 Niagara St</t>
  </si>
  <si>
    <t xml:space="preserve">14201</t>
  </si>
  <si>
    <t xml:space="preserve">C51131</t>
  </si>
  <si>
    <t xml:space="preserve">647638</t>
  </si>
  <si>
    <t xml:space="preserve">488951</t>
  </si>
  <si>
    <t xml:space="preserve">211844</t>
  </si>
  <si>
    <t xml:space="preserve">Telasco</t>
  </si>
  <si>
    <t xml:space="preserve">ARMEN POGHOSYAN</t>
  </si>
  <si>
    <t xml:space="preserve">(818) 937-9696</t>
  </si>
  <si>
    <t xml:space="preserve">telascowireless@gmail.com</t>
  </si>
  <si>
    <t xml:space="preserve">1745 W GLENOAKS BLVD</t>
  </si>
  <si>
    <t xml:space="preserve">GLENDALE</t>
  </si>
  <si>
    <t xml:space="preserve">91201</t>
  </si>
  <si>
    <t xml:space="preserve">C51141</t>
  </si>
  <si>
    <t xml:space="preserve">647637</t>
  </si>
  <si>
    <t xml:space="preserve">488950</t>
  </si>
  <si>
    <t xml:space="preserve">211843</t>
  </si>
  <si>
    <t xml:space="preserve">Phoenix Marketing &amp; Advertising Inc</t>
  </si>
  <si>
    <t xml:space="preserve">Robert Rios</t>
  </si>
  <si>
    <t xml:space="preserve">(508) 755-6713</t>
  </si>
  <si>
    <t xml:space="preserve">robertr@phoenixmas.com</t>
  </si>
  <si>
    <t xml:space="preserve">69 MAIN ST</t>
  </si>
  <si>
    <t xml:space="preserve">OFC D4</t>
  </si>
  <si>
    <t xml:space="preserve">CHERRY VALLEY</t>
  </si>
  <si>
    <t xml:space="preserve">1611</t>
  </si>
  <si>
    <t xml:space="preserve">C51122</t>
  </si>
  <si>
    <t xml:space="preserve">647614</t>
  </si>
  <si>
    <t xml:space="preserve">488927</t>
  </si>
  <si>
    <t xml:space="preserve">211842</t>
  </si>
  <si>
    <t xml:space="preserve">Electronics Doctors</t>
  </si>
  <si>
    <t xml:space="preserve">Oscar Moncada</t>
  </si>
  <si>
    <t xml:space="preserve">(210) 918-0164</t>
  </si>
  <si>
    <t xml:space="preserve">Oscarmoncada50@yahoo.com</t>
  </si>
  <si>
    <t xml:space="preserve">3505 BLANCO RD</t>
  </si>
  <si>
    <t xml:space="preserve">SAN ANTONIO</t>
  </si>
  <si>
    <t xml:space="preserve">78212</t>
  </si>
  <si>
    <t xml:space="preserve">C51121</t>
  </si>
  <si>
    <t xml:space="preserve">647497</t>
  </si>
  <si>
    <t xml:space="preserve">488813</t>
  </si>
  <si>
    <t xml:space="preserve">211808</t>
  </si>
  <si>
    <t xml:space="preserve">Simplify Simple INC</t>
  </si>
  <si>
    <t xml:space="preserve">Christopher Sanford</t>
  </si>
  <si>
    <t xml:space="preserve">(541) 526-5490</t>
  </si>
  <si>
    <t xml:space="preserve">chris@simplifysimple.com</t>
  </si>
  <si>
    <t xml:space="preserve">944 SW 9th ST</t>
  </si>
  <si>
    <t xml:space="preserve">STE 103</t>
  </si>
  <si>
    <t xml:space="preserve">Redmond</t>
  </si>
  <si>
    <t xml:space="preserve">97756</t>
  </si>
  <si>
    <t xml:space="preserve">C51106</t>
  </si>
  <si>
    <t xml:space="preserve">647439</t>
  </si>
  <si>
    <t xml:space="preserve">488759</t>
  </si>
  <si>
    <t xml:space="preserve">211794</t>
  </si>
  <si>
    <t xml:space="preserve">Repair O Tech</t>
  </si>
  <si>
    <t xml:space="preserve">Richard Krueger</t>
  </si>
  <si>
    <t xml:space="preserve">(618) 206-5051</t>
  </si>
  <si>
    <t xml:space="preserve">repairrebellion@gmail.com</t>
  </si>
  <si>
    <t xml:space="preserve">535 Edwardsville Rd</t>
  </si>
  <si>
    <t xml:space="preserve">Suite 120</t>
  </si>
  <si>
    <t xml:space="preserve">Troy</t>
  </si>
  <si>
    <t xml:space="preserve">62294</t>
  </si>
  <si>
    <t xml:space="preserve">C51118</t>
  </si>
  <si>
    <t xml:space="preserve">647423</t>
  </si>
  <si>
    <t xml:space="preserve">488744</t>
  </si>
  <si>
    <t xml:space="preserve">211786</t>
  </si>
  <si>
    <t xml:space="preserve">Jan Wireless Plus LLC</t>
  </si>
  <si>
    <t xml:space="preserve">Muhammad Khan</t>
  </si>
  <si>
    <t xml:space="preserve">(469) 237-5147</t>
  </si>
  <si>
    <t xml:space="preserve">janwirelessplus@gmail.com</t>
  </si>
  <si>
    <t xml:space="preserve">2225 W Ledbetter Dr</t>
  </si>
  <si>
    <t xml:space="preserve">75224</t>
  </si>
  <si>
    <t xml:space="preserve">C51061</t>
  </si>
  <si>
    <t xml:space="preserve">647419</t>
  </si>
  <si>
    <t xml:space="preserve">488740</t>
  </si>
  <si>
    <t xml:space="preserve">211785</t>
  </si>
  <si>
    <t xml:space="preserve">El Charro Mexican Store</t>
  </si>
  <si>
    <t xml:space="preserve">ADRIANA BECERRA</t>
  </si>
  <si>
    <t xml:space="preserve">(205) 856-5070</t>
  </si>
  <si>
    <t xml:space="preserve">agomez490@yahoo.com</t>
  </si>
  <si>
    <t xml:space="preserve">1828 CENTER POINT PKWY</t>
  </si>
  <si>
    <t xml:space="preserve">BIRMINGHAM</t>
  </si>
  <si>
    <t xml:space="preserve">35215</t>
  </si>
  <si>
    <t xml:space="preserve">C51096</t>
  </si>
  <si>
    <t xml:space="preserve">647342</t>
  </si>
  <si>
    <t xml:space="preserve">488668</t>
  </si>
  <si>
    <t xml:space="preserve">211782</t>
  </si>
  <si>
    <t xml:space="preserve">BNM Investments Inc</t>
  </si>
  <si>
    <t xml:space="preserve">Mirza Ali</t>
  </si>
  <si>
    <t xml:space="preserve">(346) 843-2059</t>
  </si>
  <si>
    <t xml:space="preserve">5gphonesrepairs@gmail.com</t>
  </si>
  <si>
    <t xml:space="preserve">1009 JACKSON ST</t>
  </si>
  <si>
    <t xml:space="preserve">RICHMOND</t>
  </si>
  <si>
    <t xml:space="preserve">77469</t>
  </si>
  <si>
    <t xml:space="preserve">C51059</t>
  </si>
  <si>
    <t xml:space="preserve">211778</t>
  </si>
  <si>
    <t xml:space="preserve">HMB Cellular</t>
  </si>
  <si>
    <t xml:space="preserve">Mohammed Omar</t>
  </si>
  <si>
    <t xml:space="preserve">4101 El Cajon Blvd</t>
  </si>
  <si>
    <t xml:space="preserve">92105</t>
  </si>
  <si>
    <t xml:space="preserve">647330</t>
  </si>
  <si>
    <t xml:space="preserve">488656</t>
  </si>
  <si>
    <t xml:space="preserve">211766</t>
  </si>
  <si>
    <t xml:space="preserve">Gadgetneeds LLC</t>
  </si>
  <si>
    <t xml:space="preserve">HARUTYUN TAMAZYAN</t>
  </si>
  <si>
    <t xml:space="preserve">(626) 797-0303</t>
  </si>
  <si>
    <t xml:space="preserve">hartamazyan@gmail.com</t>
  </si>
  <si>
    <t xml:space="preserve">1330 N Lake Ave</t>
  </si>
  <si>
    <t xml:space="preserve">91104</t>
  </si>
  <si>
    <t xml:space="preserve">C51097</t>
  </si>
  <si>
    <t xml:space="preserve">647227</t>
  </si>
  <si>
    <t xml:space="preserve">488554</t>
  </si>
  <si>
    <t xml:space="preserve">211728</t>
  </si>
  <si>
    <t xml:space="preserve">Electrofix LLC</t>
  </si>
  <si>
    <t xml:space="preserve">Rocio Infante Lugones</t>
  </si>
  <si>
    <t xml:space="preserve">(239) 207-5648</t>
  </si>
  <si>
    <t xml:space="preserve">doctorfixflorida@gmail.com</t>
  </si>
  <si>
    <t xml:space="preserve">4912 Golden Gate PKWY</t>
  </si>
  <si>
    <t xml:space="preserve">Naples</t>
  </si>
  <si>
    <t xml:space="preserve">34116</t>
  </si>
  <si>
    <t xml:space="preserve">C51057</t>
  </si>
  <si>
    <t xml:space="preserve">647215</t>
  </si>
  <si>
    <t xml:space="preserve">488542</t>
  </si>
  <si>
    <t xml:space="preserve">211725</t>
  </si>
  <si>
    <t xml:space="preserve">Digital Phone Repair LLC</t>
  </si>
  <si>
    <t xml:space="preserve">Denis Hernandez</t>
  </si>
  <si>
    <t xml:space="preserve">(832) 483-9582</t>
  </si>
  <si>
    <t xml:space="preserve">digitalphonerepairshop@gmail.com</t>
  </si>
  <si>
    <t xml:space="preserve">16362 Highway 105 E</t>
  </si>
  <si>
    <t xml:space="preserve">77306</t>
  </si>
  <si>
    <t xml:space="preserve">C51055</t>
  </si>
  <si>
    <t xml:space="preserve">646777</t>
  </si>
  <si>
    <t xml:space="preserve">488110</t>
  </si>
  <si>
    <t xml:space="preserve">211612</t>
  </si>
  <si>
    <t xml:space="preserve">OBIH BROKERAGE &amp; SERVICES LLC</t>
  </si>
  <si>
    <t xml:space="preserve">Nicholas Obih</t>
  </si>
  <si>
    <t xml:space="preserve">(713) 270-7400</t>
  </si>
  <si>
    <t xml:space="preserve">obihbrokerage@sbcglobal.net</t>
  </si>
  <si>
    <t xml:space="preserve">9920 S GESSNER RD</t>
  </si>
  <si>
    <t xml:space="preserve">C51038</t>
  </si>
  <si>
    <t xml:space="preserve">646753</t>
  </si>
  <si>
    <t xml:space="preserve">488088</t>
  </si>
  <si>
    <t xml:space="preserve">211607</t>
  </si>
  <si>
    <t xml:space="preserve">W&amp;Z 98 Express Inc</t>
  </si>
  <si>
    <t xml:space="preserve">Kong Wang</t>
  </si>
  <si>
    <t xml:space="preserve">(917) 930-9704</t>
  </si>
  <si>
    <t xml:space="preserve">gnkinc98@gmail.com</t>
  </si>
  <si>
    <t xml:space="preserve">4301 Main St</t>
  </si>
  <si>
    <t xml:space="preserve">C51040</t>
  </si>
  <si>
    <t xml:space="preserve">646994</t>
  </si>
  <si>
    <t xml:space="preserve">488323</t>
  </si>
  <si>
    <t xml:space="preserve">211604</t>
  </si>
  <si>
    <t xml:space="preserve">Jale Multiservice</t>
  </si>
  <si>
    <t xml:space="preserve">Leidy Alcantara</t>
  </si>
  <si>
    <t xml:space="preserve">(857) 397-7413</t>
  </si>
  <si>
    <t xml:space="preserve">jalemulti@gmail.com</t>
  </si>
  <si>
    <t xml:space="preserve">139 Harvard St</t>
  </si>
  <si>
    <t xml:space="preserve">2121</t>
  </si>
  <si>
    <t xml:space="preserve">C51036</t>
  </si>
  <si>
    <t xml:space="preserve">646699</t>
  </si>
  <si>
    <t xml:space="preserve">488034</t>
  </si>
  <si>
    <t xml:space="preserve">211585</t>
  </si>
  <si>
    <t xml:space="preserve">TWINKLE STELLA INC</t>
  </si>
  <si>
    <t xml:space="preserve">Yihui Li</t>
  </si>
  <si>
    <t xml:space="preserve">(929) 788-9888</t>
  </si>
  <si>
    <t xml:space="preserve">startwinkleinc@gmail.com</t>
  </si>
  <si>
    <t xml:space="preserve">5812 8TH AVE</t>
  </si>
  <si>
    <t xml:space="preserve">C51015</t>
  </si>
  <si>
    <t xml:space="preserve">646419</t>
  </si>
  <si>
    <t xml:space="preserve">487774</t>
  </si>
  <si>
    <t xml:space="preserve">211578</t>
  </si>
  <si>
    <t xml:space="preserve">Hotspot Cell Of The Avenues INC</t>
  </si>
  <si>
    <t xml:space="preserve">Harmeet Singh</t>
  </si>
  <si>
    <t xml:space="preserve">(904) 252-0019</t>
  </si>
  <si>
    <t xml:space="preserve">hotspotsingh2@gmail.com</t>
  </si>
  <si>
    <t xml:space="preserve">10300 Southside Blvd</t>
  </si>
  <si>
    <t xml:space="preserve">Ste 2400A</t>
  </si>
  <si>
    <t xml:space="preserve">32256</t>
  </si>
  <si>
    <t xml:space="preserve">C51011</t>
  </si>
  <si>
    <t xml:space="preserve">647678</t>
  </si>
  <si>
    <t xml:space="preserve">488991</t>
  </si>
  <si>
    <t xml:space="preserve">211528</t>
  </si>
  <si>
    <t xml:space="preserve">Daniel Mitchell</t>
  </si>
  <si>
    <t xml:space="preserve">(229) 375-1830</t>
  </si>
  <si>
    <t xml:space="preserve">Fuzion31501@gmail.com</t>
  </si>
  <si>
    <t xml:space="preserve">545 Ossie Davis Parkway</t>
  </si>
  <si>
    <t xml:space="preserve">Waycross</t>
  </si>
  <si>
    <t xml:space="preserve">31501</t>
  </si>
  <si>
    <t xml:space="preserve">C51119</t>
  </si>
  <si>
    <t xml:space="preserve">655442</t>
  </si>
  <si>
    <t xml:space="preserve">496590</t>
  </si>
  <si>
    <t xml:space="preserve">211523</t>
  </si>
  <si>
    <t xml:space="preserve">Pro Tech LLC</t>
  </si>
  <si>
    <t xml:space="preserve">Salah Mohammed</t>
  </si>
  <si>
    <t xml:space="preserve">(901) 343-0162</t>
  </si>
  <si>
    <t xml:space="preserve">protechllc298@gmail.com</t>
  </si>
  <si>
    <t xml:space="preserve">298 N Cleveland St</t>
  </si>
  <si>
    <t xml:space="preserve">38104</t>
  </si>
  <si>
    <t xml:space="preserve">C51024</t>
  </si>
  <si>
    <t xml:space="preserve">646563</t>
  </si>
  <si>
    <t xml:space="preserve">487901</t>
  </si>
  <si>
    <t xml:space="preserve">211501</t>
  </si>
  <si>
    <t xml:space="preserve">Forever And Always Boutique, LLC</t>
  </si>
  <si>
    <t xml:space="preserve">Robert Carl Lemoine</t>
  </si>
  <si>
    <t xml:space="preserve">(318) 381-9449</t>
  </si>
  <si>
    <t xml:space="preserve">admin@foreverandalwaysonline.com</t>
  </si>
  <si>
    <t xml:space="preserve">114 N Main St</t>
  </si>
  <si>
    <t xml:space="preserve">Farmerville</t>
  </si>
  <si>
    <t xml:space="preserve">71241</t>
  </si>
  <si>
    <t xml:space="preserve">C51010</t>
  </si>
  <si>
    <t xml:space="preserve">646448</t>
  </si>
  <si>
    <t xml:space="preserve">487801</t>
  </si>
  <si>
    <t xml:space="preserve">211462</t>
  </si>
  <si>
    <t xml:space="preserve">Latinos USA Multiservices LLC</t>
  </si>
  <si>
    <t xml:space="preserve">Emir Galindez</t>
  </si>
  <si>
    <t xml:space="preserve">(609) 600-3812</t>
  </si>
  <si>
    <t xml:space="preserve">relice33@gmail.com</t>
  </si>
  <si>
    <t xml:space="preserve">4501 Pacific Ave</t>
  </si>
  <si>
    <t xml:space="preserve">Wildwood</t>
  </si>
  <si>
    <t xml:space="preserve">8260</t>
  </si>
  <si>
    <t xml:space="preserve">C51003</t>
  </si>
  <si>
    <t xml:space="preserve">646378</t>
  </si>
  <si>
    <t xml:space="preserve">487739</t>
  </si>
  <si>
    <t xml:space="preserve">211407</t>
  </si>
  <si>
    <t xml:space="preserve">Dream Wennda, LLC</t>
  </si>
  <si>
    <t xml:space="preserve">Ali Gurlu</t>
  </si>
  <si>
    <t xml:space="preserve">(346) 442-7987</t>
  </si>
  <si>
    <t xml:space="preserve">quickfixx2@gmail.com</t>
  </si>
  <si>
    <t xml:space="preserve">250 CYPRESSWOOD DR</t>
  </si>
  <si>
    <t xml:space="preserve">SPRING</t>
  </si>
  <si>
    <t xml:space="preserve">77388</t>
  </si>
  <si>
    <t xml:space="preserve">C50993</t>
  </si>
  <si>
    <t xml:space="preserve">646298</t>
  </si>
  <si>
    <t xml:space="preserve">487661</t>
  </si>
  <si>
    <t xml:space="preserve">211391</t>
  </si>
  <si>
    <t xml:space="preserve">SMART CELLULAR INC</t>
  </si>
  <si>
    <t xml:space="preserve">Anderson F Sandes-Gomes</t>
  </si>
  <si>
    <t xml:space="preserve">1 Central St</t>
  </si>
  <si>
    <t xml:space="preserve">Framingham</t>
  </si>
  <si>
    <t xml:space="preserve">1701</t>
  </si>
  <si>
    <t xml:space="preserve">658057</t>
  </si>
  <si>
    <t xml:space="preserve">499060</t>
  </si>
  <si>
    <t xml:space="preserve">211382</t>
  </si>
  <si>
    <t xml:space="preserve">GADGETS WIRELESS INC</t>
  </si>
  <si>
    <t xml:space="preserve">Mohammad A Hussein</t>
  </si>
  <si>
    <t xml:space="preserve">(959) 777-2500</t>
  </si>
  <si>
    <t xml:space="preserve">gadgetswirelessinc@gmail.com</t>
  </si>
  <si>
    <t xml:space="preserve">575 Talcottville Rd</t>
  </si>
  <si>
    <t xml:space="preserve">Vernon</t>
  </si>
  <si>
    <t xml:space="preserve">6066</t>
  </si>
  <si>
    <t xml:space="preserve">C51685</t>
  </si>
  <si>
    <t xml:space="preserve">646249</t>
  </si>
  <si>
    <t xml:space="preserve">487613</t>
  </si>
  <si>
    <t xml:space="preserve">211377</t>
  </si>
  <si>
    <t xml:space="preserve">Mauricio 2</t>
  </si>
  <si>
    <t xml:space="preserve">3161 Broadway Blvd</t>
  </si>
  <si>
    <t xml:space="preserve">Ste 136</t>
  </si>
  <si>
    <t xml:space="preserve">75043</t>
  </si>
  <si>
    <t xml:space="preserve">646187</t>
  </si>
  <si>
    <t xml:space="preserve">487554</t>
  </si>
  <si>
    <t xml:space="preserve">211370</t>
  </si>
  <si>
    <t xml:space="preserve">Smart Cellular Inc</t>
  </si>
  <si>
    <t xml:space="preserve">Anderson Gomes</t>
  </si>
  <si>
    <t xml:space="preserve">177 Grafton St</t>
  </si>
  <si>
    <t xml:space="preserve">646101</t>
  </si>
  <si>
    <t xml:space="preserve">487467</t>
  </si>
  <si>
    <t xml:space="preserve">211340</t>
  </si>
  <si>
    <t xml:space="preserve">CF2CORP.</t>
  </si>
  <si>
    <t xml:space="preserve">Rodolfo Ayala Serrato</t>
  </si>
  <si>
    <t xml:space="preserve">(909) 740-6487</t>
  </si>
  <si>
    <t xml:space="preserve">rudyas9@hotmail.com</t>
  </si>
  <si>
    <t xml:space="preserve">1341 E 4th St</t>
  </si>
  <si>
    <t xml:space="preserve">Ontario</t>
  </si>
  <si>
    <t xml:space="preserve">91764</t>
  </si>
  <si>
    <t xml:space="preserve">C51022</t>
  </si>
  <si>
    <t xml:space="preserve">646061</t>
  </si>
  <si>
    <t xml:space="preserve">487425</t>
  </si>
  <si>
    <t xml:space="preserve">211331</t>
  </si>
  <si>
    <t xml:space="preserve">IFIX TAYLOR LLC</t>
  </si>
  <si>
    <t xml:space="preserve">Valentina Azad Elia</t>
  </si>
  <si>
    <t xml:space="preserve">(734) 287-8500</t>
  </si>
  <si>
    <t xml:space="preserve">ifixtaylor@gmail.com</t>
  </si>
  <si>
    <t xml:space="preserve">23700 Eureka Rd</t>
  </si>
  <si>
    <t xml:space="preserve">Taylor</t>
  </si>
  <si>
    <t xml:space="preserve">48180</t>
  </si>
  <si>
    <t xml:space="preserve">C50983</t>
  </si>
  <si>
    <t xml:space="preserve">645917</t>
  </si>
  <si>
    <t xml:space="preserve">487290</t>
  </si>
  <si>
    <t xml:space="preserve">211252</t>
  </si>
  <si>
    <t xml:space="preserve">(619) 373-8057</t>
  </si>
  <si>
    <t xml:space="preserve">Bldg 2017</t>
  </si>
  <si>
    <t xml:space="preserve">92135</t>
  </si>
  <si>
    <t xml:space="preserve">645916</t>
  </si>
  <si>
    <t xml:space="preserve">487289</t>
  </si>
  <si>
    <t xml:space="preserve">211251</t>
  </si>
  <si>
    <t xml:space="preserve">(847) 233-1160</t>
  </si>
  <si>
    <t xml:space="preserve">540 Cluverius Ave</t>
  </si>
  <si>
    <t xml:space="preserve">Great Lakes</t>
  </si>
  <si>
    <t xml:space="preserve">60008</t>
  </si>
  <si>
    <t xml:space="preserve">645915</t>
  </si>
  <si>
    <t xml:space="preserve">487288</t>
  </si>
  <si>
    <t xml:space="preserve">211250</t>
  </si>
  <si>
    <t xml:space="preserve">(850) 787-1120</t>
  </si>
  <si>
    <t xml:space="preserve">250 Chambers St</t>
  </si>
  <si>
    <t xml:space="preserve">Bldg 630</t>
  </si>
  <si>
    <t xml:space="preserve">Pensacola</t>
  </si>
  <si>
    <t xml:space="preserve">32508</t>
  </si>
  <si>
    <t xml:space="preserve">645914</t>
  </si>
  <si>
    <t xml:space="preserve">487287</t>
  </si>
  <si>
    <t xml:space="preserve">211249</t>
  </si>
  <si>
    <t xml:space="preserve">(757) 970-9985</t>
  </si>
  <si>
    <t xml:space="preserve">1449 Tomcat Blvd #292</t>
  </si>
  <si>
    <t xml:space="preserve">Virginia Beach</t>
  </si>
  <si>
    <t xml:space="preserve">23460</t>
  </si>
  <si>
    <t xml:space="preserve">645913</t>
  </si>
  <si>
    <t xml:space="preserve">487286</t>
  </si>
  <si>
    <t xml:space="preserve">211248</t>
  </si>
  <si>
    <t xml:space="preserve">(858) 286-0505</t>
  </si>
  <si>
    <t xml:space="preserve">2260 Callahan Hwy</t>
  </si>
  <si>
    <t xml:space="preserve">Bldg 3379</t>
  </si>
  <si>
    <t xml:space="preserve">655397</t>
  </si>
  <si>
    <t xml:space="preserve">496601</t>
  </si>
  <si>
    <t xml:space="preserve">211247</t>
  </si>
  <si>
    <t xml:space="preserve">(850) 312-9623</t>
  </si>
  <si>
    <t xml:space="preserve">5600 US-98 West</t>
  </si>
  <si>
    <t xml:space="preserve">32507</t>
  </si>
  <si>
    <t xml:space="preserve">645911</t>
  </si>
  <si>
    <t xml:space="preserve">487284</t>
  </si>
  <si>
    <t xml:space="preserve">211246</t>
  </si>
  <si>
    <t xml:space="preserve">Bldg #CD13</t>
  </si>
  <si>
    <t xml:space="preserve">(904) 409-3009</t>
  </si>
  <si>
    <t xml:space="preserve">6801 Roosevelt Blvd</t>
  </si>
  <si>
    <t xml:space="preserve">32212</t>
  </si>
  <si>
    <t xml:space="preserve">645910</t>
  </si>
  <si>
    <t xml:space="preserve">487283</t>
  </si>
  <si>
    <t xml:space="preserve">211245</t>
  </si>
  <si>
    <t xml:space="preserve">(757) 330-1308</t>
  </si>
  <si>
    <t xml:space="preserve">1560 Mall Dr.</t>
  </si>
  <si>
    <t xml:space="preserve">Norfolk</t>
  </si>
  <si>
    <t xml:space="preserve">23511</t>
  </si>
  <si>
    <t xml:space="preserve">645909</t>
  </si>
  <si>
    <t xml:space="preserve">487282</t>
  </si>
  <si>
    <t xml:space="preserve">211244</t>
  </si>
  <si>
    <t xml:space="preserve">(808) 940-0860</t>
  </si>
  <si>
    <t xml:space="preserve">694 McCormack Rd</t>
  </si>
  <si>
    <t xml:space="preserve">Schofield Barracks</t>
  </si>
  <si>
    <t xml:space="preserve">96857</t>
  </si>
  <si>
    <t xml:space="preserve">645908</t>
  </si>
  <si>
    <t xml:space="preserve">487281</t>
  </si>
  <si>
    <t xml:space="preserve">211243</t>
  </si>
  <si>
    <t xml:space="preserve">(702) 867-8875</t>
  </si>
  <si>
    <t xml:space="preserve">5691 Rickenbacker Rd</t>
  </si>
  <si>
    <t xml:space="preserve">89191</t>
  </si>
  <si>
    <t xml:space="preserve">645907</t>
  </si>
  <si>
    <t xml:space="preserve">487280</t>
  </si>
  <si>
    <t xml:space="preserve">211242</t>
  </si>
  <si>
    <t xml:space="preserve">(760) 223-7105</t>
  </si>
  <si>
    <t xml:space="preserve">918 Langford Lake Rd</t>
  </si>
  <si>
    <t xml:space="preserve">Ft. Irwin</t>
  </si>
  <si>
    <t xml:space="preserve">92310</t>
  </si>
  <si>
    <t xml:space="preserve">645906</t>
  </si>
  <si>
    <t xml:space="preserve">487279</t>
  </si>
  <si>
    <t xml:space="preserve">211241</t>
  </si>
  <si>
    <t xml:space="preserve">(719) 219-9543</t>
  </si>
  <si>
    <t xml:space="preserve">6110 Martinez St</t>
  </si>
  <si>
    <t xml:space="preserve">Ft. Carson</t>
  </si>
  <si>
    <t xml:space="preserve">80913</t>
  </si>
  <si>
    <t xml:space="preserve">645905</t>
  </si>
  <si>
    <t xml:space="preserve">487278</t>
  </si>
  <si>
    <t xml:space="preserve">211240</t>
  </si>
  <si>
    <t xml:space="preserve">(253) 367-5709</t>
  </si>
  <si>
    <t xml:space="preserve">5280 Pendleton Ave</t>
  </si>
  <si>
    <t xml:space="preserve">Tacoma</t>
  </si>
  <si>
    <t xml:space="preserve">98443</t>
  </si>
  <si>
    <t xml:space="preserve">645904</t>
  </si>
  <si>
    <t xml:space="preserve">487277</t>
  </si>
  <si>
    <t xml:space="preserve">211239</t>
  </si>
  <si>
    <t xml:space="preserve">(253) 319-9871</t>
  </si>
  <si>
    <t xml:space="preserve">504 Barnes Blvd</t>
  </si>
  <si>
    <t xml:space="preserve">McCord AFB</t>
  </si>
  <si>
    <t xml:space="preserve">98438</t>
  </si>
  <si>
    <t xml:space="preserve">645903</t>
  </si>
  <si>
    <t xml:space="preserve">487276</t>
  </si>
  <si>
    <t xml:space="preserve">211238</t>
  </si>
  <si>
    <t xml:space="preserve">(315) 496-0080</t>
  </si>
  <si>
    <t xml:space="preserve">10730 Enduring Freedom Dr</t>
  </si>
  <si>
    <t xml:space="preserve">Ft Drum</t>
  </si>
  <si>
    <t xml:space="preserve">13603</t>
  </si>
  <si>
    <t xml:space="preserve">645902</t>
  </si>
  <si>
    <t xml:space="preserve">487275</t>
  </si>
  <si>
    <t xml:space="preserve">211237</t>
  </si>
  <si>
    <t xml:space="preserve">(609) 905-0833</t>
  </si>
  <si>
    <t xml:space="preserve">3452 Broidy Rd</t>
  </si>
  <si>
    <t xml:space="preserve">Fort Dix</t>
  </si>
  <si>
    <t xml:space="preserve">8641</t>
  </si>
  <si>
    <t xml:space="preserve">645901</t>
  </si>
  <si>
    <t xml:space="preserve">487274</t>
  </si>
  <si>
    <t xml:space="preserve">211236</t>
  </si>
  <si>
    <t xml:space="preserve">(703) 879-4579</t>
  </si>
  <si>
    <t xml:space="preserve">8651 John J Kingman Rd</t>
  </si>
  <si>
    <t xml:space="preserve">Alexandria</t>
  </si>
  <si>
    <t xml:space="preserve">22060</t>
  </si>
  <si>
    <t xml:space="preserve">645900</t>
  </si>
  <si>
    <t xml:space="preserve">487273</t>
  </si>
  <si>
    <t xml:space="preserve">211235</t>
  </si>
  <si>
    <t xml:space="preserve">(804) 313-8219</t>
  </si>
  <si>
    <t xml:space="preserve">1431 Sustainment Ave.</t>
  </si>
  <si>
    <t xml:space="preserve">Ft. Gregg-Adams</t>
  </si>
  <si>
    <t xml:space="preserve">23801</t>
  </si>
  <si>
    <t xml:space="preserve">645899</t>
  </si>
  <si>
    <t xml:space="preserve">487272</t>
  </si>
  <si>
    <t xml:space="preserve">211234</t>
  </si>
  <si>
    <t xml:space="preserve">(804) 313-8224</t>
  </si>
  <si>
    <t xml:space="preserve">300 Ave</t>
  </si>
  <si>
    <t xml:space="preserve">645898</t>
  </si>
  <si>
    <t xml:space="preserve">487271</t>
  </si>
  <si>
    <t xml:space="preserve">211233</t>
  </si>
  <si>
    <t xml:space="preserve">(270) 318-3238</t>
  </si>
  <si>
    <t xml:space="preserve">2840 Bastogne Ave</t>
  </si>
  <si>
    <t xml:space="preserve">Ft Campbell</t>
  </si>
  <si>
    <t xml:space="preserve">42223</t>
  </si>
  <si>
    <t xml:space="preserve">645897</t>
  </si>
  <si>
    <t xml:space="preserve">487270</t>
  </si>
  <si>
    <t xml:space="preserve">211232</t>
  </si>
  <si>
    <t xml:space="preserve">(910) 222-8850</t>
  </si>
  <si>
    <t xml:space="preserve">1017 Canopy Ln</t>
  </si>
  <si>
    <t xml:space="preserve">Ft. Liberty</t>
  </si>
  <si>
    <t xml:space="preserve">28310</t>
  </si>
  <si>
    <t xml:space="preserve">645896</t>
  </si>
  <si>
    <t xml:space="preserve">487269</t>
  </si>
  <si>
    <t xml:space="preserve">211230</t>
  </si>
  <si>
    <t xml:space="preserve">(910) 839-9940</t>
  </si>
  <si>
    <t xml:space="preserve">North Post Main Exchange Butner Rd</t>
  </si>
  <si>
    <t xml:space="preserve">645895</t>
  </si>
  <si>
    <t xml:space="preserve">487268</t>
  </si>
  <si>
    <t xml:space="preserve">211229</t>
  </si>
  <si>
    <t xml:space="preserve">(706) 916-2794</t>
  </si>
  <si>
    <t xml:space="preserve">38200 3rd Ave</t>
  </si>
  <si>
    <t xml:space="preserve">Ft. Gordon</t>
  </si>
  <si>
    <t xml:space="preserve">30905</t>
  </si>
  <si>
    <t xml:space="preserve">645894</t>
  </si>
  <si>
    <t xml:space="preserve">487267</t>
  </si>
  <si>
    <t xml:space="preserve">211228</t>
  </si>
  <si>
    <t xml:space="preserve">(912) 922-2256</t>
  </si>
  <si>
    <t xml:space="preserve">345 Lindquist Rd</t>
  </si>
  <si>
    <t xml:space="preserve">Hinesville</t>
  </si>
  <si>
    <t xml:space="preserve">31315</t>
  </si>
  <si>
    <t xml:space="preserve">645893</t>
  </si>
  <si>
    <t xml:space="preserve">487266</t>
  </si>
  <si>
    <t xml:space="preserve">211227</t>
  </si>
  <si>
    <t xml:space="preserve">(321) 785-8376</t>
  </si>
  <si>
    <t xml:space="preserve">1221 S Patrick Dr</t>
  </si>
  <si>
    <t xml:space="preserve">Patrick AFB</t>
  </si>
  <si>
    <t xml:space="preserve">32925</t>
  </si>
  <si>
    <t xml:space="preserve">645892</t>
  </si>
  <si>
    <t xml:space="preserve">487265</t>
  </si>
  <si>
    <t xml:space="preserve">211226</t>
  </si>
  <si>
    <t xml:space="preserve">(813) 733-0633</t>
  </si>
  <si>
    <t xml:space="preserve">3108 N Boundary Blvd</t>
  </si>
  <si>
    <t xml:space="preserve">33608</t>
  </si>
  <si>
    <t xml:space="preserve">645891</t>
  </si>
  <si>
    <t xml:space="preserve">487264</t>
  </si>
  <si>
    <t xml:space="preserve">211225</t>
  </si>
  <si>
    <t xml:space="preserve">(706) 916-2795</t>
  </si>
  <si>
    <t xml:space="preserve">9220 Marne Rd</t>
  </si>
  <si>
    <t xml:space="preserve">Ft Moore</t>
  </si>
  <si>
    <t xml:space="preserve">31905</t>
  </si>
  <si>
    <t xml:space="preserve">655459</t>
  </si>
  <si>
    <t xml:space="preserve">496599</t>
  </si>
  <si>
    <t xml:space="preserve">211224</t>
  </si>
  <si>
    <t xml:space="preserve">(850) 920-2158</t>
  </si>
  <si>
    <t xml:space="preserve">1757 Memorial Trail</t>
  </si>
  <si>
    <t xml:space="preserve">Eglin AFP</t>
  </si>
  <si>
    <t xml:space="preserve">32542</t>
  </si>
  <si>
    <t xml:space="preserve">645889</t>
  </si>
  <si>
    <t xml:space="preserve">487262</t>
  </si>
  <si>
    <t xml:space="preserve">211223</t>
  </si>
  <si>
    <t xml:space="preserve">(337) 399-0327</t>
  </si>
  <si>
    <t xml:space="preserve">7742 Colorado Ave</t>
  </si>
  <si>
    <t xml:space="preserve">Ft. Johnson</t>
  </si>
  <si>
    <t xml:space="preserve">71459</t>
  </si>
  <si>
    <t xml:space="preserve">645887</t>
  </si>
  <si>
    <t xml:space="preserve">487260</t>
  </si>
  <si>
    <t xml:space="preserve">211222</t>
  </si>
  <si>
    <t xml:space="preserve">OSL RETAIL SERVICES CORPORATION</t>
  </si>
  <si>
    <t xml:space="preserve">(940) 386-9251</t>
  </si>
  <si>
    <t xml:space="preserve">220 Community Center Dr</t>
  </si>
  <si>
    <t xml:space="preserve">Sheppard AFB</t>
  </si>
  <si>
    <t xml:space="preserve">76311</t>
  </si>
  <si>
    <t xml:space="preserve">645888</t>
  </si>
  <si>
    <t xml:space="preserve">487261</t>
  </si>
  <si>
    <t xml:space="preserve">211221</t>
  </si>
  <si>
    <t xml:space="preserve">(726) 232-8561</t>
  </si>
  <si>
    <t xml:space="preserve">2503 Funston Rd</t>
  </si>
  <si>
    <t xml:space="preserve">78234</t>
  </si>
  <si>
    <t xml:space="preserve">645886</t>
  </si>
  <si>
    <t xml:space="preserve">487259</t>
  </si>
  <si>
    <t xml:space="preserve">211220</t>
  </si>
  <si>
    <t xml:space="preserve">(314) 940-7860</t>
  </si>
  <si>
    <t xml:space="preserve">1718 Macomb Rd</t>
  </si>
  <si>
    <t xml:space="preserve">Lawton</t>
  </si>
  <si>
    <t xml:space="preserve">73503</t>
  </si>
  <si>
    <t xml:space="preserve">645885</t>
  </si>
  <si>
    <t xml:space="preserve">487258</t>
  </si>
  <si>
    <t xml:space="preserve">211219</t>
  </si>
  <si>
    <t xml:space="preserve">(405) 334-5680</t>
  </si>
  <si>
    <t xml:space="preserve">3360 North Ave</t>
  </si>
  <si>
    <t xml:space="preserve">73145</t>
  </si>
  <si>
    <t xml:space="preserve">645884</t>
  </si>
  <si>
    <t xml:space="preserve">487257</t>
  </si>
  <si>
    <t xml:space="preserve">211218</t>
  </si>
  <si>
    <t xml:space="preserve">(573) 615-5829</t>
  </si>
  <si>
    <t xml:space="preserve">Nebraska Ave</t>
  </si>
  <si>
    <t xml:space="preserve">Building 490</t>
  </si>
  <si>
    <t xml:space="preserve">Ft. Leonard Wood</t>
  </si>
  <si>
    <t xml:space="preserve">65473</t>
  </si>
  <si>
    <t xml:space="preserve">645883</t>
  </si>
  <si>
    <t xml:space="preserve">487256</t>
  </si>
  <si>
    <t xml:space="preserve">211217</t>
  </si>
  <si>
    <t xml:space="preserve">(915) 339-6405</t>
  </si>
  <si>
    <t xml:space="preserve">1611 Haan Rd</t>
  </si>
  <si>
    <t xml:space="preserve">Ft. Bliss</t>
  </si>
  <si>
    <t xml:space="preserve">79916</t>
  </si>
  <si>
    <t xml:space="preserve">645882</t>
  </si>
  <si>
    <t xml:space="preserve">487255</t>
  </si>
  <si>
    <t xml:space="preserve">211216</t>
  </si>
  <si>
    <t xml:space="preserve">(726) 232-8779</t>
  </si>
  <si>
    <t xml:space="preserve">2180 Reese</t>
  </si>
  <si>
    <t xml:space="preserve">78236</t>
  </si>
  <si>
    <t xml:space="preserve">645881</t>
  </si>
  <si>
    <t xml:space="preserve">487254</t>
  </si>
  <si>
    <t xml:space="preserve">211215</t>
  </si>
  <si>
    <t xml:space="preserve">(254) 247-1306</t>
  </si>
  <si>
    <t xml:space="preserve">4250 Clear Creek Rd</t>
  </si>
  <si>
    <t xml:space="preserve">Ft. Cabazos</t>
  </si>
  <si>
    <t xml:space="preserve">76554</t>
  </si>
  <si>
    <t xml:space="preserve">645880</t>
  </si>
  <si>
    <t xml:space="preserve">487253</t>
  </si>
  <si>
    <t xml:space="preserve">211214</t>
  </si>
  <si>
    <t xml:space="preserve">(573) 240-1039</t>
  </si>
  <si>
    <t xml:space="preserve">143 Replacement Ave</t>
  </si>
  <si>
    <t xml:space="preserve">645879</t>
  </si>
  <si>
    <t xml:space="preserve">487252</t>
  </si>
  <si>
    <t xml:space="preserve">211213</t>
  </si>
  <si>
    <t xml:space="preserve">(803) 956-4092</t>
  </si>
  <si>
    <t xml:space="preserve">4110 Moseby St</t>
  </si>
  <si>
    <t xml:space="preserve">Columbia</t>
  </si>
  <si>
    <t xml:space="preserve">29207</t>
  </si>
  <si>
    <t xml:space="preserve">645162</t>
  </si>
  <si>
    <t xml:space="preserve">486550</t>
  </si>
  <si>
    <t xml:space="preserve">211133</t>
  </si>
  <si>
    <t xml:space="preserve">Saif Traders LLC</t>
  </si>
  <si>
    <t xml:space="preserve">Zaynab Suleman</t>
  </si>
  <si>
    <t xml:space="preserve">(214) 929-7246</t>
  </si>
  <si>
    <t xml:space="preserve">saif.tradersllc@gmail.com</t>
  </si>
  <si>
    <t xml:space="preserve">18352 Dallas Pkwy</t>
  </si>
  <si>
    <t xml:space="preserve">75287</t>
  </si>
  <si>
    <t xml:space="preserve">C50961</t>
  </si>
  <si>
    <t xml:space="preserve">645098</t>
  </si>
  <si>
    <t xml:space="preserve">486495</t>
  </si>
  <si>
    <t xml:space="preserve">211127</t>
  </si>
  <si>
    <t xml:space="preserve">Phone Store LLC</t>
  </si>
  <si>
    <t xml:space="preserve">Ahmad Ayyad</t>
  </si>
  <si>
    <t xml:space="preserve">(985) 343-5813</t>
  </si>
  <si>
    <t xml:space="preserve">aa20012306@gmail.com</t>
  </si>
  <si>
    <t xml:space="preserve">13120 US 90</t>
  </si>
  <si>
    <t xml:space="preserve">Boutte</t>
  </si>
  <si>
    <t xml:space="preserve">70039</t>
  </si>
  <si>
    <t xml:space="preserve">C50978</t>
  </si>
  <si>
    <t xml:space="preserve">645021</t>
  </si>
  <si>
    <t xml:space="preserve">486418</t>
  </si>
  <si>
    <t xml:space="preserve">211114</t>
  </si>
  <si>
    <t xml:space="preserve">Irepair Tech Inc</t>
  </si>
  <si>
    <t xml:space="preserve">Ibtisam Hossain</t>
  </si>
  <si>
    <t xml:space="preserve">(929) 406-9564</t>
  </si>
  <si>
    <t xml:space="preserve">irepairtechinc@gmail.com</t>
  </si>
  <si>
    <t xml:space="preserve">787 Seneca Ave</t>
  </si>
  <si>
    <t xml:space="preserve">Ridgewood</t>
  </si>
  <si>
    <t xml:space="preserve">C50953</t>
  </si>
  <si>
    <t xml:space="preserve">644907</t>
  </si>
  <si>
    <t xml:space="preserve">486308</t>
  </si>
  <si>
    <t xml:space="preserve">211096</t>
  </si>
  <si>
    <t xml:space="preserve">Cell Phone Fix Inc</t>
  </si>
  <si>
    <t xml:space="preserve">Jiao Chen</t>
  </si>
  <si>
    <t xml:space="preserve">(929) 261-9555</t>
  </si>
  <si>
    <t xml:space="preserve">CPF040511@gmail.com</t>
  </si>
  <si>
    <t xml:space="preserve">4119 Kissena Blvd</t>
  </si>
  <si>
    <t xml:space="preserve">C50955</t>
  </si>
  <si>
    <t xml:space="preserve">644402</t>
  </si>
  <si>
    <t xml:space="preserve">485829</t>
  </si>
  <si>
    <t xml:space="preserve">210986</t>
  </si>
  <si>
    <t xml:space="preserve">Iphone Doctor Inc</t>
  </si>
  <si>
    <t xml:space="preserve">Sang jean Lee</t>
  </si>
  <si>
    <t xml:space="preserve">(360) 377-3040</t>
  </si>
  <si>
    <t xml:space="preserve">drpc119@hotmail.com</t>
  </si>
  <si>
    <t xml:space="preserve">2923 Wheaton way</t>
  </si>
  <si>
    <t xml:space="preserve">Bremerton</t>
  </si>
  <si>
    <t xml:space="preserve">98310</t>
  </si>
  <si>
    <t xml:space="preserve">C50943</t>
  </si>
  <si>
    <t xml:space="preserve">643937</t>
  </si>
  <si>
    <t xml:space="preserve">485466</t>
  </si>
  <si>
    <t xml:space="preserve">210930</t>
  </si>
  <si>
    <t xml:space="preserve">Pedro Wireless Services Corp</t>
  </si>
  <si>
    <t xml:space="preserve">Pedro Cruz</t>
  </si>
  <si>
    <t xml:space="preserve">(978) 710-5121</t>
  </si>
  <si>
    <t xml:space="preserve">pedrowirelesscorp@gmail.com</t>
  </si>
  <si>
    <t xml:space="preserve">163 E Merrimack St</t>
  </si>
  <si>
    <t xml:space="preserve">1852</t>
  </si>
  <si>
    <t xml:space="preserve">C50918</t>
  </si>
  <si>
    <t xml:space="preserve">643936</t>
  </si>
  <si>
    <t xml:space="preserve">485465</t>
  </si>
  <si>
    <t xml:space="preserve">210929</t>
  </si>
  <si>
    <t xml:space="preserve">Emerzon Computer Services LLC</t>
  </si>
  <si>
    <t xml:space="preserve">Emerzon Chavez</t>
  </si>
  <si>
    <t xml:space="preserve">(203) 321-3060</t>
  </si>
  <si>
    <t xml:space="preserve">emerzon3@msn.com</t>
  </si>
  <si>
    <t xml:space="preserve">76 Stillwater Ave</t>
  </si>
  <si>
    <t xml:space="preserve">C50920</t>
  </si>
  <si>
    <t xml:space="preserve">643766</t>
  </si>
  <si>
    <t xml:space="preserve">485295</t>
  </si>
  <si>
    <t xml:space="preserve">210884</t>
  </si>
  <si>
    <t xml:space="preserve">LUCKY FOUR STARS INC</t>
  </si>
  <si>
    <t xml:space="preserve">KE LE CHEN</t>
  </si>
  <si>
    <t xml:space="preserve">(718) 838-0959</t>
  </si>
  <si>
    <t xml:space="preserve">ckl7947@gmail.com</t>
  </si>
  <si>
    <t xml:space="preserve">4023 Main St</t>
  </si>
  <si>
    <t xml:space="preserve">C50911</t>
  </si>
  <si>
    <t xml:space="preserve">643731</t>
  </si>
  <si>
    <t xml:space="preserve">485262</t>
  </si>
  <si>
    <t xml:space="preserve">210878</t>
  </si>
  <si>
    <t xml:space="preserve">88 Kings LLC</t>
  </si>
  <si>
    <t xml:space="preserve">Hamzah Ahmed</t>
  </si>
  <si>
    <t xml:space="preserve">(716) 800-8883</t>
  </si>
  <si>
    <t xml:space="preserve">ajkings2@yahoo.com</t>
  </si>
  <si>
    <t xml:space="preserve">844 Jefferson Ave</t>
  </si>
  <si>
    <t xml:space="preserve"># 1201</t>
  </si>
  <si>
    <t xml:space="preserve">14204</t>
  </si>
  <si>
    <t xml:space="preserve">C50912</t>
  </si>
  <si>
    <t xml:space="preserve">643717</t>
  </si>
  <si>
    <t xml:space="preserve">485248</t>
  </si>
  <si>
    <t xml:space="preserve">210867</t>
  </si>
  <si>
    <t xml:space="preserve">Zubaidah Enterprises INC.</t>
  </si>
  <si>
    <t xml:space="preserve">Anjuman Ara</t>
  </si>
  <si>
    <t xml:space="preserve">(716) 400-8711</t>
  </si>
  <si>
    <t xml:space="preserve">zubaidah59@yahoo.com</t>
  </si>
  <si>
    <t xml:space="preserve">59 Walden Ave</t>
  </si>
  <si>
    <t xml:space="preserve">14211</t>
  </si>
  <si>
    <t xml:space="preserve">C50917</t>
  </si>
  <si>
    <t xml:space="preserve">661516</t>
  </si>
  <si>
    <t xml:space="preserve">502545</t>
  </si>
  <si>
    <t xml:space="preserve">210835</t>
  </si>
  <si>
    <t xml:space="preserve">GROUND ZERO SERVICES INC</t>
  </si>
  <si>
    <t xml:space="preserve">SNO SINGH</t>
  </si>
  <si>
    <t xml:space="preserve">dhruvmaladkar@gmail.com</t>
  </si>
  <si>
    <t xml:space="preserve">13520 Liberty Ave</t>
  </si>
  <si>
    <t xml:space="preserve">C53724</t>
  </si>
  <si>
    <t xml:space="preserve">542482</t>
  </si>
  <si>
    <t xml:space="preserve">396841</t>
  </si>
  <si>
    <t xml:space="preserve">210455</t>
  </si>
  <si>
    <t xml:space="preserve">America PCS</t>
  </si>
  <si>
    <t xml:space="preserve">Gilberto Rosas</t>
  </si>
  <si>
    <t xml:space="preserve">(469) 828-1863</t>
  </si>
  <si>
    <t xml:space="preserve">sell4everyone@gmail.com</t>
  </si>
  <si>
    <t xml:space="preserve">1550 N Beckley St</t>
  </si>
  <si>
    <t xml:space="preserve">Lancaster</t>
  </si>
  <si>
    <t xml:space="preserve">75134</t>
  </si>
  <si>
    <t xml:space="preserve">C2306</t>
  </si>
  <si>
    <t xml:space="preserve">643050</t>
  </si>
  <si>
    <t xml:space="preserve">484603</t>
  </si>
  <si>
    <t xml:space="preserve">210304</t>
  </si>
  <si>
    <t xml:space="preserve">Ifix &amp; Cell Inc</t>
  </si>
  <si>
    <t xml:space="preserve">Samir Boudieb</t>
  </si>
  <si>
    <t xml:space="preserve">(727) 389-1641</t>
  </si>
  <si>
    <t xml:space="preserve">ifixncell@gmail.com</t>
  </si>
  <si>
    <t xml:space="preserve">9409 Us Highway 19</t>
  </si>
  <si>
    <t xml:space="preserve">Port Richey</t>
  </si>
  <si>
    <t xml:space="preserve">34668</t>
  </si>
  <si>
    <t xml:space="preserve">C50897</t>
  </si>
  <si>
    <t xml:space="preserve">561574</t>
  </si>
  <si>
    <t xml:space="preserve">411580</t>
  </si>
  <si>
    <t xml:space="preserve">209958</t>
  </si>
  <si>
    <t xml:space="preserve">(716) 424-1440</t>
  </si>
  <si>
    <t xml:space="preserve">1498 South Park Ave</t>
  </si>
  <si>
    <t xml:space="preserve">14220</t>
  </si>
  <si>
    <t xml:space="preserve">604595</t>
  </si>
  <si>
    <t xml:space="preserve">454414</t>
  </si>
  <si>
    <t xml:space="preserve">209914</t>
  </si>
  <si>
    <t xml:space="preserve">(585) 417-5190</t>
  </si>
  <si>
    <t xml:space="preserve">1460 Hudson Ave</t>
  </si>
  <si>
    <t xml:space="preserve">Rochester</t>
  </si>
  <si>
    <t xml:space="preserve">14621</t>
  </si>
  <si>
    <t xml:space="preserve">648837</t>
  </si>
  <si>
    <t xml:space="preserve">490147</t>
  </si>
  <si>
    <t xml:space="preserve">209742</t>
  </si>
  <si>
    <t xml:space="preserve">WV fiji Softwash LLC</t>
  </si>
  <si>
    <t xml:space="preserve">Sandeep S Singh</t>
  </si>
  <si>
    <t xml:space="preserve">(304) 267-6779</t>
  </si>
  <si>
    <t xml:space="preserve">sandeep@fijiwireless.com</t>
  </si>
  <si>
    <t xml:space="preserve">76 Eagle School Rd</t>
  </si>
  <si>
    <t xml:space="preserve">Martinsburg</t>
  </si>
  <si>
    <t xml:space="preserve">25404</t>
  </si>
  <si>
    <t xml:space="preserve">C50852</t>
  </si>
  <si>
    <t xml:space="preserve">648360</t>
  </si>
  <si>
    <t xml:space="preserve">489676</t>
  </si>
  <si>
    <t xml:space="preserve">209718</t>
  </si>
  <si>
    <t xml:space="preserve">GTW Phone Repair II</t>
  </si>
  <si>
    <t xml:space="preserve">Walter Chavez</t>
  </si>
  <si>
    <t xml:space="preserve">6160 Hwy 6 N</t>
  </si>
  <si>
    <t xml:space="preserve">77084</t>
  </si>
  <si>
    <t xml:space="preserve">635998</t>
  </si>
  <si>
    <t xml:space="preserve">482456</t>
  </si>
  <si>
    <t xml:space="preserve">209708</t>
  </si>
  <si>
    <t xml:space="preserve">La poblanita Store Inc</t>
  </si>
  <si>
    <t xml:space="preserve">Monica Cruz</t>
  </si>
  <si>
    <t xml:space="preserve">(818) 830-3658</t>
  </si>
  <si>
    <t xml:space="preserve">monicacruz77@icloud.com</t>
  </si>
  <si>
    <t xml:space="preserve">8718 Sepulveda Blvd</t>
  </si>
  <si>
    <t xml:space="preserve">C50850</t>
  </si>
  <si>
    <t xml:space="preserve">647665</t>
  </si>
  <si>
    <t xml:space="preserve">488978</t>
  </si>
  <si>
    <t xml:space="preserve">209514</t>
  </si>
  <si>
    <t xml:space="preserve">GURU ARJAN LLC</t>
  </si>
  <si>
    <t xml:space="preserve">DEVRAJ SINGH</t>
  </si>
  <si>
    <t xml:space="preserve">(509) 486-1056</t>
  </si>
  <si>
    <t xml:space="preserve">devraj2k22@gmail.com</t>
  </si>
  <si>
    <t xml:space="preserve">606 S Whitcomb Ave</t>
  </si>
  <si>
    <t xml:space="preserve">Tonasket</t>
  </si>
  <si>
    <t xml:space="preserve">98855</t>
  </si>
  <si>
    <t xml:space="preserve">C49853</t>
  </si>
  <si>
    <t xml:space="preserve">635012</t>
  </si>
  <si>
    <t xml:space="preserve">481491</t>
  </si>
  <si>
    <t xml:space="preserve">209410</t>
  </si>
  <si>
    <t xml:space="preserve">NY Iconic LLC</t>
  </si>
  <si>
    <t xml:space="preserve">Mohammad Ismail</t>
  </si>
  <si>
    <t xml:space="preserve">(718) 666-5166</t>
  </si>
  <si>
    <t xml:space="preserve">ny.iconicllc@yahoo.com</t>
  </si>
  <si>
    <t xml:space="preserve">1061 Sycamore St</t>
  </si>
  <si>
    <t xml:space="preserve">C50803</t>
  </si>
  <si>
    <t xml:space="preserve">635004</t>
  </si>
  <si>
    <t xml:space="preserve">481483</t>
  </si>
  <si>
    <t xml:space="preserve">209374</t>
  </si>
  <si>
    <t xml:space="preserve">UBT LLC</t>
  </si>
  <si>
    <t xml:space="preserve">Umut Albayrak</t>
  </si>
  <si>
    <t xml:space="preserve">(203) 676-0006</t>
  </si>
  <si>
    <t xml:space="preserve">bsmbelada@hotmail.com</t>
  </si>
  <si>
    <t xml:space="preserve">85 N Main St</t>
  </si>
  <si>
    <t xml:space="preserve">Norwalk</t>
  </si>
  <si>
    <t xml:space="preserve">6854</t>
  </si>
  <si>
    <t xml:space="preserve">C50799</t>
  </si>
  <si>
    <t xml:space="preserve">634408</t>
  </si>
  <si>
    <t xml:space="preserve">480901</t>
  </si>
  <si>
    <t xml:space="preserve">209121</t>
  </si>
  <si>
    <t xml:space="preserve">SK Cell Air</t>
  </si>
  <si>
    <t xml:space="preserve">Vibol Suos</t>
  </si>
  <si>
    <t xml:space="preserve">(562) 599-0877</t>
  </si>
  <si>
    <t xml:space="preserve">angkortravel9@gmail.com</t>
  </si>
  <si>
    <t xml:space="preserve">1569 E Anaheim St</t>
  </si>
  <si>
    <t xml:space="preserve">C50774</t>
  </si>
  <si>
    <t xml:space="preserve">634376</t>
  </si>
  <si>
    <t xml:space="preserve">480870</t>
  </si>
  <si>
    <t xml:space="preserve">209094</t>
  </si>
  <si>
    <t xml:space="preserve">Mobile Communications LLC</t>
  </si>
  <si>
    <t xml:space="preserve">Muhsen Mosed</t>
  </si>
  <si>
    <t xml:space="preserve">(716) 466-2544</t>
  </si>
  <si>
    <t xml:space="preserve">mobilecommunications716@gmail.com</t>
  </si>
  <si>
    <t xml:space="preserve">3842 Harlem Rd</t>
  </si>
  <si>
    <t xml:space="preserve">STE 200</t>
  </si>
  <si>
    <t xml:space="preserve">Cheektowaga</t>
  </si>
  <si>
    <t xml:space="preserve">C50780</t>
  </si>
  <si>
    <t xml:space="preserve">634356</t>
  </si>
  <si>
    <t xml:space="preserve">480850</t>
  </si>
  <si>
    <t xml:space="preserve">209086</t>
  </si>
  <si>
    <t xml:space="preserve">Luan's Itech LLC</t>
  </si>
  <si>
    <t xml:space="preserve">Luan Luu</t>
  </si>
  <si>
    <t xml:space="preserve">(714) 982-8888</t>
  </si>
  <si>
    <t xml:space="preserve">luansitechs@icloud.com</t>
  </si>
  <si>
    <t xml:space="preserve">9200 Bolsa ave</t>
  </si>
  <si>
    <t xml:space="preserve">STE 201</t>
  </si>
  <si>
    <t xml:space="preserve">C50783</t>
  </si>
  <si>
    <t xml:space="preserve">634134</t>
  </si>
  <si>
    <t xml:space="preserve">480626</t>
  </si>
  <si>
    <t xml:space="preserve">208971</t>
  </si>
  <si>
    <t xml:space="preserve">Ben's Mobile Phones &amp; Repair Center</t>
  </si>
  <si>
    <t xml:space="preserve">(224) 605-8034</t>
  </si>
  <si>
    <t xml:space="preserve">557 N McLean Blvd</t>
  </si>
  <si>
    <t xml:space="preserve">Unit 1</t>
  </si>
  <si>
    <t xml:space="preserve">633898</t>
  </si>
  <si>
    <t xml:space="preserve">480395</t>
  </si>
  <si>
    <t xml:space="preserve">208904</t>
  </si>
  <si>
    <t xml:space="preserve">J&amp;G Wireless and Services Corp</t>
  </si>
  <si>
    <t xml:space="preserve">Jose Nadales</t>
  </si>
  <si>
    <t xml:space="preserve">(305) 964-0830</t>
  </si>
  <si>
    <t xml:space="preserve">logatronics@hotmail.com</t>
  </si>
  <si>
    <t xml:space="preserve">17464 SW 104th Ave</t>
  </si>
  <si>
    <t xml:space="preserve">33157</t>
  </si>
  <si>
    <t xml:space="preserve">C50747</t>
  </si>
  <si>
    <t xml:space="preserve">634001</t>
  </si>
  <si>
    <t xml:space="preserve">480494</t>
  </si>
  <si>
    <t xml:space="preserve">208902</t>
  </si>
  <si>
    <t xml:space="preserve">RMP Partners LLC</t>
  </si>
  <si>
    <t xml:space="preserve">(770) 458-4111</t>
  </si>
  <si>
    <t xml:space="preserve">quickrepair65@gmail.com</t>
  </si>
  <si>
    <t xml:space="preserve">5600 Buford Hwy NE</t>
  </si>
  <si>
    <t xml:space="preserve">Doraville</t>
  </si>
  <si>
    <t xml:space="preserve">30340</t>
  </si>
  <si>
    <t xml:space="preserve">C50749</t>
  </si>
  <si>
    <t xml:space="preserve">633828</t>
  </si>
  <si>
    <t xml:space="preserve">480327</t>
  </si>
  <si>
    <t xml:space="preserve">208882</t>
  </si>
  <si>
    <t xml:space="preserve">South Pearl Corporation</t>
  </si>
  <si>
    <t xml:space="preserve">Mohammed, H Seraj</t>
  </si>
  <si>
    <t xml:space="preserve">(518) 436-7618</t>
  </si>
  <si>
    <t xml:space="preserve">pearldiscount3@gmail.com</t>
  </si>
  <si>
    <t xml:space="preserve">141 S Pearl St</t>
  </si>
  <si>
    <t xml:space="preserve">12202</t>
  </si>
  <si>
    <t xml:space="preserve">C50744</t>
  </si>
  <si>
    <t xml:space="preserve">636271</t>
  </si>
  <si>
    <t xml:space="preserve">480198</t>
  </si>
  <si>
    <t xml:space="preserve">208695</t>
  </si>
  <si>
    <t xml:space="preserve">Instyle Wireless</t>
  </si>
  <si>
    <t xml:space="preserve">Jaime Miranda</t>
  </si>
  <si>
    <t xml:space="preserve">(508) 436-7666</t>
  </si>
  <si>
    <t xml:space="preserve">instylewireless75@gmail.com</t>
  </si>
  <si>
    <t xml:space="preserve">350 Oak St</t>
  </si>
  <si>
    <t xml:space="preserve">Suite 3</t>
  </si>
  <si>
    <t xml:space="preserve">C32339</t>
  </si>
  <si>
    <t xml:space="preserve">633692</t>
  </si>
  <si>
    <t xml:space="preserve">480191</t>
  </si>
  <si>
    <t xml:space="preserve">208684</t>
  </si>
  <si>
    <t xml:space="preserve">Kunda Enterprises LLC</t>
  </si>
  <si>
    <t xml:space="preserve">Faisal Kunda</t>
  </si>
  <si>
    <t xml:space="preserve">(713) 667-4444</t>
  </si>
  <si>
    <t xml:space="preserve">lafiestacell@yahoo.com</t>
  </si>
  <si>
    <t xml:space="preserve">6006 Bellaire Blvd</t>
  </si>
  <si>
    <t xml:space="preserve">STE 118</t>
  </si>
  <si>
    <t xml:space="preserve">C50733</t>
  </si>
  <si>
    <t xml:space="preserve">633186</t>
  </si>
  <si>
    <t xml:space="preserve">479695</t>
  </si>
  <si>
    <t xml:space="preserve">208385</t>
  </si>
  <si>
    <t xml:space="preserve">I &amp; R Cell INC</t>
  </si>
  <si>
    <t xml:space="preserve">Iqbal Ali</t>
  </si>
  <si>
    <t xml:space="preserve">(281) 988-9633</t>
  </si>
  <si>
    <t xml:space="preserve">ilovesellphones@gmail.com</t>
  </si>
  <si>
    <t xml:space="preserve">5800 Bellaire BLVD</t>
  </si>
  <si>
    <t xml:space="preserve">ste 102K</t>
  </si>
  <si>
    <t xml:space="preserve">C50710</t>
  </si>
  <si>
    <t xml:space="preserve">577621</t>
  </si>
  <si>
    <t xml:space="preserve">428992</t>
  </si>
  <si>
    <t xml:space="preserve">208382</t>
  </si>
  <si>
    <t xml:space="preserve">Perusa Computer Services</t>
  </si>
  <si>
    <t xml:space="preserve">Alberto Romero</t>
  </si>
  <si>
    <t xml:space="preserve">(301) 328-2469</t>
  </si>
  <si>
    <t xml:space="preserve">perusa@rocketmail.com</t>
  </si>
  <si>
    <t xml:space="preserve">4301 Randolph Road</t>
  </si>
  <si>
    <t xml:space="preserve">C49501</t>
  </si>
  <si>
    <t xml:space="preserve">620748</t>
  </si>
  <si>
    <t xml:space="preserve">470783</t>
  </si>
  <si>
    <t xml:space="preserve">208377</t>
  </si>
  <si>
    <t xml:space="preserve">American Wireless</t>
  </si>
  <si>
    <t xml:space="preserve">Maria Del Carmen Prado</t>
  </si>
  <si>
    <t xml:space="preserve">(903) 464-0227</t>
  </si>
  <si>
    <t xml:space="preserve">carmenprado62@yahoo.com</t>
  </si>
  <si>
    <t xml:space="preserve">2300 W Morton St</t>
  </si>
  <si>
    <t xml:space="preserve">Suite 101</t>
  </si>
  <si>
    <t xml:space="preserve">Denison</t>
  </si>
  <si>
    <t xml:space="preserve">75020</t>
  </si>
  <si>
    <t xml:space="preserve">C50114</t>
  </si>
  <si>
    <t xml:space="preserve">633117</t>
  </si>
  <si>
    <t xml:space="preserve">479627</t>
  </si>
  <si>
    <t xml:space="preserve">208372</t>
  </si>
  <si>
    <t xml:space="preserve">Bragas Business</t>
  </si>
  <si>
    <t xml:space="preserve">Ramon Braga Alves</t>
  </si>
  <si>
    <t xml:space="preserve">(774) 552-8845</t>
  </si>
  <si>
    <t xml:space="preserve">ramon@bragasbusiness.com</t>
  </si>
  <si>
    <t xml:space="preserve">195 A Ridgewood Ave</t>
  </si>
  <si>
    <t xml:space="preserve">Hyannis</t>
  </si>
  <si>
    <t xml:space="preserve">2601</t>
  </si>
  <si>
    <t xml:space="preserve">C50704</t>
  </si>
  <si>
    <t xml:space="preserve">632694</t>
  </si>
  <si>
    <t xml:space="preserve">479212</t>
  </si>
  <si>
    <t xml:space="preserve">208259</t>
  </si>
  <si>
    <t xml:space="preserve">Suenos Inc</t>
  </si>
  <si>
    <t xml:space="preserve">Carlos Liriano</t>
  </si>
  <si>
    <t xml:space="preserve">(504) 443-5873</t>
  </si>
  <si>
    <t xml:space="preserve">1onlycarlos@gmail.com</t>
  </si>
  <si>
    <t xml:space="preserve">3226 Williams Blvd</t>
  </si>
  <si>
    <t xml:space="preserve">Ste 1E</t>
  </si>
  <si>
    <t xml:space="preserve">70065</t>
  </si>
  <si>
    <t xml:space="preserve">C6254</t>
  </si>
  <si>
    <t xml:space="preserve">635943</t>
  </si>
  <si>
    <t xml:space="preserve">482402</t>
  </si>
  <si>
    <t xml:space="preserve">208083</t>
  </si>
  <si>
    <t xml:space="preserve">United Tool Distributors LLC</t>
  </si>
  <si>
    <t xml:space="preserve">Muhammad Abbasi</t>
  </si>
  <si>
    <t xml:space="preserve">(346) 288-9510</t>
  </si>
  <si>
    <t xml:space="preserve">arsalan5abbasi@gmail.com</t>
  </si>
  <si>
    <t xml:space="preserve">7720 HIGHWAY 6 S</t>
  </si>
  <si>
    <t xml:space="preserve">C50853</t>
  </si>
  <si>
    <t xml:space="preserve">634067</t>
  </si>
  <si>
    <t xml:space="preserve">480560</t>
  </si>
  <si>
    <t xml:space="preserve">207848</t>
  </si>
  <si>
    <t xml:space="preserve">Ana's Services #1</t>
  </si>
  <si>
    <t xml:space="preserve">Violet Aguirre</t>
  </si>
  <si>
    <t xml:space="preserve">(805) 966-1512</t>
  </si>
  <si>
    <t xml:space="preserve">anasgiftshopsb@yahoo.com</t>
  </si>
  <si>
    <t xml:space="preserve">435 N MILPAS ST</t>
  </si>
  <si>
    <t xml:space="preserve">SANTA BARBARA</t>
  </si>
  <si>
    <t xml:space="preserve">93103</t>
  </si>
  <si>
    <t xml:space="preserve">C47030</t>
  </si>
  <si>
    <t xml:space="preserve">631693</t>
  </si>
  <si>
    <t xml:space="preserve">478188</t>
  </si>
  <si>
    <t xml:space="preserve">207430</t>
  </si>
  <si>
    <t xml:space="preserve">BMobile Wireless INC</t>
  </si>
  <si>
    <t xml:space="preserve">Ulises Jaramillo</t>
  </si>
  <si>
    <t xml:space="preserve">bmobilewireless@gmail.com</t>
  </si>
  <si>
    <t xml:space="preserve">716 N Court St</t>
  </si>
  <si>
    <t xml:space="preserve">Visalia</t>
  </si>
  <si>
    <t xml:space="preserve">93291</t>
  </si>
  <si>
    <t xml:space="preserve">C48727</t>
  </si>
  <si>
    <t xml:space="preserve">631727</t>
  </si>
  <si>
    <t xml:space="preserve">478222</t>
  </si>
  <si>
    <t xml:space="preserve">207417</t>
  </si>
  <si>
    <t xml:space="preserve">(415) 528-9336</t>
  </si>
  <si>
    <t xml:space="preserve">733 S Alvarado St</t>
  </si>
  <si>
    <t xml:space="preserve">631290</t>
  </si>
  <si>
    <t xml:space="preserve">477790</t>
  </si>
  <si>
    <t xml:space="preserve">207110</t>
  </si>
  <si>
    <t xml:space="preserve">Ifix Repair INC</t>
  </si>
  <si>
    <t xml:space="preserve">Mahmoud Abdul Latif</t>
  </si>
  <si>
    <t xml:space="preserve">(318) 670-7215</t>
  </si>
  <si>
    <t xml:space="preserve">hibamawlawi@yahoo.com</t>
  </si>
  <si>
    <t xml:space="preserve">3743 Jewella Ave</t>
  </si>
  <si>
    <t xml:space="preserve">Shreveport</t>
  </si>
  <si>
    <t xml:space="preserve">71109</t>
  </si>
  <si>
    <t xml:space="preserve">C50598</t>
  </si>
  <si>
    <t xml:space="preserve">631468</t>
  </si>
  <si>
    <t xml:space="preserve">477967</t>
  </si>
  <si>
    <t xml:space="preserve">207099</t>
  </si>
  <si>
    <t xml:space="preserve">Wireless Spot Inc</t>
  </si>
  <si>
    <t xml:space="preserve">Guissela Virhuez</t>
  </si>
  <si>
    <t xml:space="preserve">(773) 282-9628</t>
  </si>
  <si>
    <t xml:space="preserve">gvirhuez@yahoo.com</t>
  </si>
  <si>
    <t xml:space="preserve">5837 W Belmont Ave</t>
  </si>
  <si>
    <t xml:space="preserve">60634</t>
  </si>
  <si>
    <t xml:space="preserve">C6043</t>
  </si>
  <si>
    <t xml:space="preserve">631458</t>
  </si>
  <si>
    <t xml:space="preserve">477957</t>
  </si>
  <si>
    <t xml:space="preserve">207086</t>
  </si>
  <si>
    <t xml:space="preserve">D F Wireless DM INC</t>
  </si>
  <si>
    <t xml:space="preserve">(630) 696-1717</t>
  </si>
  <si>
    <t xml:space="preserve">164 N Gary Ave</t>
  </si>
  <si>
    <t xml:space="preserve">Carol Stream</t>
  </si>
  <si>
    <t xml:space="preserve">60188</t>
  </si>
  <si>
    <t xml:space="preserve">631580</t>
  </si>
  <si>
    <t xml:space="preserve">478072</t>
  </si>
  <si>
    <t xml:space="preserve">206936</t>
  </si>
  <si>
    <t xml:space="preserve">Vape Shop Zone LLC</t>
  </si>
  <si>
    <t xml:space="preserve">smokeshopzoneplus@gmail.com</t>
  </si>
  <si>
    <t xml:space="preserve">14900 W Main St</t>
  </si>
  <si>
    <t xml:space="preserve">Cut Off</t>
  </si>
  <si>
    <t xml:space="preserve">70345</t>
  </si>
  <si>
    <t xml:space="preserve">C50621</t>
  </si>
  <si>
    <t xml:space="preserve">630336</t>
  </si>
  <si>
    <t xml:space="preserve">476803</t>
  </si>
  <si>
    <t xml:space="preserve">206666</t>
  </si>
  <si>
    <t xml:space="preserve">Qiyi Mobile 1 Inc</t>
  </si>
  <si>
    <t xml:space="preserve">Wenqi Mai</t>
  </si>
  <si>
    <t xml:space="preserve">(347) 295-0075</t>
  </si>
  <si>
    <t xml:space="preserve">qiyimobile@yahoo.com</t>
  </si>
  <si>
    <t xml:space="preserve">4618 8th Ave</t>
  </si>
  <si>
    <t xml:space="preserve">C50568</t>
  </si>
  <si>
    <t xml:space="preserve">651914</t>
  </si>
  <si>
    <t xml:space="preserve">493149</t>
  </si>
  <si>
    <t xml:space="preserve">206635</t>
  </si>
  <si>
    <t xml:space="preserve">A-I Wireless LA, LLC</t>
  </si>
  <si>
    <t xml:space="preserve">Indira Johanna Rios</t>
  </si>
  <si>
    <t xml:space="preserve">(504) 457-2510</t>
  </si>
  <si>
    <t xml:space="preserve">rios_indira75@yahoo.com</t>
  </si>
  <si>
    <t xml:space="preserve">3314 Transcontinental Dr</t>
  </si>
  <si>
    <t xml:space="preserve">Metairie</t>
  </si>
  <si>
    <t xml:space="preserve">70006</t>
  </si>
  <si>
    <t xml:space="preserve">C50576</t>
  </si>
  <si>
    <t xml:space="preserve">647650</t>
  </si>
  <si>
    <t xml:space="preserve">488962</t>
  </si>
  <si>
    <t xml:space="preserve">205801</t>
  </si>
  <si>
    <t xml:space="preserve">ALI TECH LLC</t>
  </si>
  <si>
    <t xml:space="preserve">Ali Fayaz</t>
  </si>
  <si>
    <t xml:space="preserve">(757) 243-2846</t>
  </si>
  <si>
    <t xml:space="preserve">ali.fayaz1992@gmail.com</t>
  </si>
  <si>
    <t xml:space="preserve">12300 Jefferson Blvd</t>
  </si>
  <si>
    <t xml:space="preserve">Suite 325</t>
  </si>
  <si>
    <t xml:space="preserve">23602</t>
  </si>
  <si>
    <t xml:space="preserve">C50556</t>
  </si>
  <si>
    <t xml:space="preserve">628147</t>
  </si>
  <si>
    <t xml:space="preserve">476461</t>
  </si>
  <si>
    <t xml:space="preserve">205542</t>
  </si>
  <si>
    <t xml:space="preserve">Boss City Depot Inc.</t>
  </si>
  <si>
    <t xml:space="preserve">Jervonnti Lazenberry</t>
  </si>
  <si>
    <t xml:space="preserve">(904) 403-7020</t>
  </si>
  <si>
    <t xml:space="preserve">bosscitydepot@gmail.com</t>
  </si>
  <si>
    <t xml:space="preserve">5238 Norwood Ave</t>
  </si>
  <si>
    <t xml:space="preserve">21</t>
  </si>
  <si>
    <t xml:space="preserve">C50553</t>
  </si>
  <si>
    <t xml:space="preserve">608763</t>
  </si>
  <si>
    <t xml:space="preserve">458333</t>
  </si>
  <si>
    <t xml:space="preserve">205104</t>
  </si>
  <si>
    <t xml:space="preserve">Nuvo Investments Inc</t>
  </si>
  <si>
    <t xml:space="preserve">Sangyeon Cha</t>
  </si>
  <si>
    <t xml:space="preserve">(214) 264-6803</t>
  </si>
  <si>
    <t xml:space="preserve">jcha1229@gmail.com</t>
  </si>
  <si>
    <t xml:space="preserve">14215 Coit Rd</t>
  </si>
  <si>
    <t xml:space="preserve">Richardson</t>
  </si>
  <si>
    <t xml:space="preserve">75254</t>
  </si>
  <si>
    <t xml:space="preserve">C48842</t>
  </si>
  <si>
    <t xml:space="preserve">627871</t>
  </si>
  <si>
    <t xml:space="preserve">476189</t>
  </si>
  <si>
    <t xml:space="preserve">205094</t>
  </si>
  <si>
    <t xml:space="preserve">I speak Phone Repairs INC</t>
  </si>
  <si>
    <t xml:space="preserve">Fawad Quddus</t>
  </si>
  <si>
    <t xml:space="preserve">(631) 676-7111</t>
  </si>
  <si>
    <t xml:space="preserve">Ispeakphonerepair@gmail.com</t>
  </si>
  <si>
    <t xml:space="preserve">287 Portion Rd</t>
  </si>
  <si>
    <t xml:space="preserve">Lake Ronkonkoma</t>
  </si>
  <si>
    <t xml:space="preserve">C50536</t>
  </si>
  <si>
    <t xml:space="preserve">628121</t>
  </si>
  <si>
    <t xml:space="preserve">476435</t>
  </si>
  <si>
    <t xml:space="preserve">204917</t>
  </si>
  <si>
    <t xml:space="preserve">Jerry Ortiz</t>
  </si>
  <si>
    <t xml:space="preserve">(617) 858-6165</t>
  </si>
  <si>
    <t xml:space="preserve">gadgetrepairking@gmail.com</t>
  </si>
  <si>
    <t xml:space="preserve">1560 Dorchester Ave</t>
  </si>
  <si>
    <t xml:space="preserve">Boston</t>
  </si>
  <si>
    <t xml:space="preserve">2122</t>
  </si>
  <si>
    <t xml:space="preserve">C50552</t>
  </si>
  <si>
    <t xml:space="preserve">643177</t>
  </si>
  <si>
    <t xml:space="preserve">484717</t>
  </si>
  <si>
    <t xml:space="preserve">204913</t>
  </si>
  <si>
    <t xml:space="preserve">Meemo's Wireless and More LLC</t>
  </si>
  <si>
    <t xml:space="preserve">Mohmmad Saleh</t>
  </si>
  <si>
    <t xml:space="preserve">(318) 779-1584</t>
  </si>
  <si>
    <t xml:space="preserve">tareqsaleh98@hotmail.com</t>
  </si>
  <si>
    <t xml:space="preserve">801 W 70th St</t>
  </si>
  <si>
    <t xml:space="preserve">71106</t>
  </si>
  <si>
    <t xml:space="preserve">C50535</t>
  </si>
  <si>
    <t xml:space="preserve">627966</t>
  </si>
  <si>
    <t xml:space="preserve">476283</t>
  </si>
  <si>
    <t xml:space="preserve">204909</t>
  </si>
  <si>
    <t xml:space="preserve">Joluxi Games &amp; Music</t>
  </si>
  <si>
    <t xml:space="preserve">Luis Lozano</t>
  </si>
  <si>
    <t xml:space="preserve">(630) 664-4176</t>
  </si>
  <si>
    <t xml:space="preserve">luis189303@gmail.com</t>
  </si>
  <si>
    <t xml:space="preserve">840 N State St</t>
  </si>
  <si>
    <t xml:space="preserve">C50540</t>
  </si>
  <si>
    <t xml:space="preserve">627433</t>
  </si>
  <si>
    <t xml:space="preserve">475808</t>
  </si>
  <si>
    <t xml:space="preserve">204842</t>
  </si>
  <si>
    <t xml:space="preserve">Burhans Market, Inc</t>
  </si>
  <si>
    <t xml:space="preserve">Jeremy Byers</t>
  </si>
  <si>
    <t xml:space="preserve">(301) 797-1224</t>
  </si>
  <si>
    <t xml:space="preserve">jeremy.byers@jayreeceprepaid.com</t>
  </si>
  <si>
    <t xml:space="preserve">152 N Burhans Blvd</t>
  </si>
  <si>
    <t xml:space="preserve">Hagerstown</t>
  </si>
  <si>
    <t xml:space="preserve">21740</t>
  </si>
  <si>
    <t xml:space="preserve">C50505</t>
  </si>
  <si>
    <t xml:space="preserve">627409</t>
  </si>
  <si>
    <t xml:space="preserve">475786</t>
  </si>
  <si>
    <t xml:space="preserve">204840</t>
  </si>
  <si>
    <t xml:space="preserve">Petra Wireless Inc</t>
  </si>
  <si>
    <t xml:space="preserve">Tarick Ziadat</t>
  </si>
  <si>
    <t xml:space="preserve">(219) 378-9661</t>
  </si>
  <si>
    <t xml:space="preserve">tarickziadat@yahoo.com</t>
  </si>
  <si>
    <t xml:space="preserve">4802 Indianapolis Blvd</t>
  </si>
  <si>
    <t xml:space="preserve">East Chicago</t>
  </si>
  <si>
    <t xml:space="preserve">46312</t>
  </si>
  <si>
    <t xml:space="preserve">C50502</t>
  </si>
  <si>
    <t xml:space="preserve">627653</t>
  </si>
  <si>
    <t xml:space="preserve">476019</t>
  </si>
  <si>
    <t xml:space="preserve">204832</t>
  </si>
  <si>
    <t xml:space="preserve">Real Wireless Inc</t>
  </si>
  <si>
    <t xml:space="preserve">Isela Fernandez</t>
  </si>
  <si>
    <t xml:space="preserve">(918) 949-4400</t>
  </si>
  <si>
    <t xml:space="preserve">cellphonehospital@gmail.com</t>
  </si>
  <si>
    <t xml:space="preserve">6030 S Memorial Dr</t>
  </si>
  <si>
    <t xml:space="preserve">74145</t>
  </si>
  <si>
    <t xml:space="preserve">C1668</t>
  </si>
  <si>
    <t xml:space="preserve">655432</t>
  </si>
  <si>
    <t xml:space="preserve">496581</t>
  </si>
  <si>
    <t xml:space="preserve">204831</t>
  </si>
  <si>
    <t xml:space="preserve">SJSt LLC</t>
  </si>
  <si>
    <t xml:space="preserve">James Lane</t>
  </si>
  <si>
    <t xml:space="preserve">(774) 409-2744</t>
  </si>
  <si>
    <t xml:space="preserve">jim@fastlanegadgetrepair.com</t>
  </si>
  <si>
    <t xml:space="preserve">575 S St W</t>
  </si>
  <si>
    <t xml:space="preserve">Raynham</t>
  </si>
  <si>
    <t xml:space="preserve">2767</t>
  </si>
  <si>
    <t xml:space="preserve">C50868</t>
  </si>
  <si>
    <t xml:space="preserve">627726</t>
  </si>
  <si>
    <t xml:space="preserve">476087</t>
  </si>
  <si>
    <t xml:space="preserve">204821</t>
  </si>
  <si>
    <t xml:space="preserve">(918) 437-1014</t>
  </si>
  <si>
    <t xml:space="preserve">3119 S Garnett Rd</t>
  </si>
  <si>
    <t xml:space="preserve">74146</t>
  </si>
  <si>
    <t xml:space="preserve">642978</t>
  </si>
  <si>
    <t xml:space="preserve">484537</t>
  </si>
  <si>
    <t xml:space="preserve">204817</t>
  </si>
  <si>
    <t xml:space="preserve">Mahirah Communications Inc</t>
  </si>
  <si>
    <t xml:space="preserve">(713) 589-1212</t>
  </si>
  <si>
    <t xml:space="preserve">Bestphonellc@gmail.com</t>
  </si>
  <si>
    <t xml:space="preserve">2223 Shaver St</t>
  </si>
  <si>
    <t xml:space="preserve">Suite 105</t>
  </si>
  <si>
    <t xml:space="preserve">C50511</t>
  </si>
  <si>
    <t xml:space="preserve">645651</t>
  </si>
  <si>
    <t xml:space="preserve">487032</t>
  </si>
  <si>
    <t xml:space="preserve">204686</t>
  </si>
  <si>
    <t xml:space="preserve">735 N Westmoreland Rd</t>
  </si>
  <si>
    <t xml:space="preserve">A205</t>
  </si>
  <si>
    <t xml:space="preserve">627882</t>
  </si>
  <si>
    <t xml:space="preserve">476200</t>
  </si>
  <si>
    <t xml:space="preserve">204584</t>
  </si>
  <si>
    <t xml:space="preserve">PHONEMART LLC</t>
  </si>
  <si>
    <t xml:space="preserve">Ben Umut Itmis</t>
  </si>
  <si>
    <t xml:space="preserve">(773) 888-2999</t>
  </si>
  <si>
    <t xml:space="preserve">phonemartllc@gmail.com</t>
  </si>
  <si>
    <t xml:space="preserve">851 Meacham Rd</t>
  </si>
  <si>
    <t xml:space="preserve">Elk Grove Village</t>
  </si>
  <si>
    <t xml:space="preserve">60007</t>
  </si>
  <si>
    <t xml:space="preserve">C50464</t>
  </si>
  <si>
    <t xml:space="preserve">631392</t>
  </si>
  <si>
    <t xml:space="preserve">477892</t>
  </si>
  <si>
    <t xml:space="preserve">204548</t>
  </si>
  <si>
    <t xml:space="preserve">EZ FIX LLC</t>
  </si>
  <si>
    <t xml:space="preserve">MD ARIFUR RAHMAN</t>
  </si>
  <si>
    <t xml:space="preserve">(469) 279-8600</t>
  </si>
  <si>
    <t xml:space="preserve">arifsezfix@gmail.com</t>
  </si>
  <si>
    <t xml:space="preserve">3650 N Belt Line Rd</t>
  </si>
  <si>
    <t xml:space="preserve">C50640</t>
  </si>
  <si>
    <t xml:space="preserve">625944</t>
  </si>
  <si>
    <t xml:space="preserve">474859</t>
  </si>
  <si>
    <t xml:space="preserve">204513</t>
  </si>
  <si>
    <t xml:space="preserve">Amigos Cell Repair LLC</t>
  </si>
  <si>
    <t xml:space="preserve">(708) 737-9910</t>
  </si>
  <si>
    <t xml:space="preserve">122 N 19th Ave</t>
  </si>
  <si>
    <t xml:space="preserve">625684</t>
  </si>
  <si>
    <t xml:space="preserve">474630</t>
  </si>
  <si>
    <t xml:space="preserve">204080</t>
  </si>
  <si>
    <t xml:space="preserve">Green Tara Inc</t>
  </si>
  <si>
    <t xml:space="preserve">Sanjita Sharma</t>
  </si>
  <si>
    <t xml:space="preserve">(347) 832-0180</t>
  </si>
  <si>
    <t xml:space="preserve">greentarainc@gmail.com</t>
  </si>
  <si>
    <t xml:space="preserve">4551 47th St</t>
  </si>
  <si>
    <t xml:space="preserve">Woodside</t>
  </si>
  <si>
    <t xml:space="preserve">11377</t>
  </si>
  <si>
    <t xml:space="preserve">C50437</t>
  </si>
  <si>
    <t xml:space="preserve">624831</t>
  </si>
  <si>
    <t xml:space="preserve">473868</t>
  </si>
  <si>
    <t xml:space="preserve">203696</t>
  </si>
  <si>
    <t xml:space="preserve">MSC communication Inc</t>
  </si>
  <si>
    <t xml:space="preserve">Mike Chang</t>
  </si>
  <si>
    <t xml:space="preserve">(213) 572-7977</t>
  </si>
  <si>
    <t xml:space="preserve">mikec@msccommunication.com</t>
  </si>
  <si>
    <t xml:space="preserve">10201 Reseda Blvd</t>
  </si>
  <si>
    <t xml:space="preserve">115</t>
  </si>
  <si>
    <t xml:space="preserve">Northridge</t>
  </si>
  <si>
    <t xml:space="preserve">91324</t>
  </si>
  <si>
    <t xml:space="preserve">C50403</t>
  </si>
  <si>
    <t xml:space="preserve">625193</t>
  </si>
  <si>
    <t xml:space="preserve">474196</t>
  </si>
  <si>
    <t xml:space="preserve">203600</t>
  </si>
  <si>
    <t xml:space="preserve">Envios Hispanos LLC</t>
  </si>
  <si>
    <t xml:space="preserve">Asif Doshomed</t>
  </si>
  <si>
    <t xml:space="preserve">(817) 501-4137</t>
  </si>
  <si>
    <t xml:space="preserve">envios0705@gmail.com</t>
  </si>
  <si>
    <t xml:space="preserve">1915 E Park Row Dr</t>
  </si>
  <si>
    <t xml:space="preserve">C50415</t>
  </si>
  <si>
    <t xml:space="preserve">627624</t>
  </si>
  <si>
    <t xml:space="preserve">476000</t>
  </si>
  <si>
    <t xml:space="preserve">203340</t>
  </si>
  <si>
    <t xml:space="preserve">HH &amp; C LLC</t>
  </si>
  <si>
    <t xml:space="preserve">Bassam Shalaby</t>
  </si>
  <si>
    <t xml:space="preserve">(318) 221-0903</t>
  </si>
  <si>
    <t xml:space="preserve">sw@samswireless.net</t>
  </si>
  <si>
    <t xml:space="preserve">1430 Barksdale Blvd</t>
  </si>
  <si>
    <t xml:space="preserve">Suite A</t>
  </si>
  <si>
    <t xml:space="preserve">C6283</t>
  </si>
  <si>
    <t xml:space="preserve">625431</t>
  </si>
  <si>
    <t xml:space="preserve">474395</t>
  </si>
  <si>
    <t xml:space="preserve">203338</t>
  </si>
  <si>
    <t xml:space="preserve">Cell Phone Repair</t>
  </si>
  <si>
    <t xml:space="preserve">Junaid Hussain</t>
  </si>
  <si>
    <t xml:space="preserve">(936) 632-9008</t>
  </si>
  <si>
    <t xml:space="preserve">cprlufkin@gmail.com</t>
  </si>
  <si>
    <t xml:space="preserve">3009 S John Redditt Dr</t>
  </si>
  <si>
    <t xml:space="preserve">75904</t>
  </si>
  <si>
    <t xml:space="preserve">C50424</t>
  </si>
  <si>
    <t xml:space="preserve">646403</t>
  </si>
  <si>
    <t xml:space="preserve">487758</t>
  </si>
  <si>
    <t xml:space="preserve">203335</t>
  </si>
  <si>
    <t xml:space="preserve">Leslie's Premier Service, Inc</t>
  </si>
  <si>
    <t xml:space="preserve">Eduardo Martinez</t>
  </si>
  <si>
    <t xml:space="preserve">(815) 544-9557</t>
  </si>
  <si>
    <t xml:space="preserve">lesliesvideo@yahoo.com</t>
  </si>
  <si>
    <t xml:space="preserve">518 S State St</t>
  </si>
  <si>
    <t xml:space="preserve">Belvidere</t>
  </si>
  <si>
    <t xml:space="preserve">61008</t>
  </si>
  <si>
    <t xml:space="preserve">C49884</t>
  </si>
  <si>
    <t xml:space="preserve">622788</t>
  </si>
  <si>
    <t xml:space="preserve">472208</t>
  </si>
  <si>
    <t xml:space="preserve">202654</t>
  </si>
  <si>
    <t xml:space="preserve">Saha Forever LLC</t>
  </si>
  <si>
    <t xml:space="preserve">Adam Ibrahim Sulieman</t>
  </si>
  <si>
    <t xml:space="preserve">(614) 532-3353</t>
  </si>
  <si>
    <t xml:space="preserve">info@gahannarepairs.com</t>
  </si>
  <si>
    <t xml:space="preserve">419 Agler Rd</t>
  </si>
  <si>
    <t xml:space="preserve">Gahanna</t>
  </si>
  <si>
    <t xml:space="preserve">43230</t>
  </si>
  <si>
    <t xml:space="preserve">C50201</t>
  </si>
  <si>
    <t xml:space="preserve">188481</t>
  </si>
  <si>
    <t xml:space="preserve">198252</t>
  </si>
  <si>
    <t xml:space="preserve">201866</t>
  </si>
  <si>
    <t xml:space="preserve">Eastern Phones</t>
  </si>
  <si>
    <t xml:space="preserve">Raj Sethi</t>
  </si>
  <si>
    <t xml:space="preserve">(203) 559-1222</t>
  </si>
  <si>
    <t xml:space="preserve">unitelwireless@hotmail.com</t>
  </si>
  <si>
    <t xml:space="preserve">912B E Main St</t>
  </si>
  <si>
    <t xml:space="preserve">C24780</t>
  </si>
  <si>
    <t xml:space="preserve">616140</t>
  </si>
  <si>
    <t xml:space="preserve">465576</t>
  </si>
  <si>
    <t xml:space="preserve">201829</t>
  </si>
  <si>
    <t xml:space="preserve">Wireless Outlet 786 LLC</t>
  </si>
  <si>
    <t xml:space="preserve">Muhammad Idrees</t>
  </si>
  <si>
    <t xml:space="preserve">(504) 975-3916</t>
  </si>
  <si>
    <t xml:space="preserve">sunnyshizada5@gmail.com</t>
  </si>
  <si>
    <t xml:space="preserve">8715 W Judge Perez Dr</t>
  </si>
  <si>
    <t xml:space="preserve">Chalmette</t>
  </si>
  <si>
    <t xml:space="preserve">70043</t>
  </si>
  <si>
    <t xml:space="preserve">C50018</t>
  </si>
  <si>
    <t xml:space="preserve">589061</t>
  </si>
  <si>
    <t xml:space="preserve">438419</t>
  </si>
  <si>
    <t xml:space="preserve">201817</t>
  </si>
  <si>
    <t xml:space="preserve">Bismillah Wireless</t>
  </si>
  <si>
    <t xml:space="preserve">Raza Mohammed</t>
  </si>
  <si>
    <t xml:space="preserve">(713) 239-0473</t>
  </si>
  <si>
    <t xml:space="preserve">aly_akb1@hotmail.com</t>
  </si>
  <si>
    <t xml:space="preserve">8610 Irvington Blvd</t>
  </si>
  <si>
    <t xml:space="preserve">77022</t>
  </si>
  <si>
    <t xml:space="preserve">C47385</t>
  </si>
  <si>
    <t xml:space="preserve">620398</t>
  </si>
  <si>
    <t xml:space="preserve">470812</t>
  </si>
  <si>
    <t xml:space="preserve">201692</t>
  </si>
  <si>
    <t xml:space="preserve">Mailbox More</t>
  </si>
  <si>
    <t xml:space="preserve">Kijeong Kim</t>
  </si>
  <si>
    <t xml:space="preserve">(910) 582-5551</t>
  </si>
  <si>
    <t xml:space="preserve">mailboxmore@carolina.rr.com</t>
  </si>
  <si>
    <t xml:space="preserve">722 US-74</t>
  </si>
  <si>
    <t xml:space="preserve">#h</t>
  </si>
  <si>
    <t xml:space="preserve">Rockingham</t>
  </si>
  <si>
    <t xml:space="preserve">28379</t>
  </si>
  <si>
    <t xml:space="preserve">C50130</t>
  </si>
  <si>
    <t xml:space="preserve">616168</t>
  </si>
  <si>
    <t xml:space="preserve">465600</t>
  </si>
  <si>
    <t xml:space="preserve">201686</t>
  </si>
  <si>
    <t xml:space="preserve">Ruben Sanchez Jr DBA Smart Cellutions</t>
  </si>
  <si>
    <t xml:space="preserve">Ruben Sanchez</t>
  </si>
  <si>
    <t xml:space="preserve">(956) 291-7174</t>
  </si>
  <si>
    <t xml:space="preserve">smartcellutionsrgv@gmail.com</t>
  </si>
  <si>
    <t xml:space="preserve">717 W Harrison Ave</t>
  </si>
  <si>
    <t xml:space="preserve">Harlingen</t>
  </si>
  <si>
    <t xml:space="preserve">78550</t>
  </si>
  <si>
    <t xml:space="preserve">C50021</t>
  </si>
  <si>
    <t xml:space="preserve">188500</t>
  </si>
  <si>
    <t xml:space="preserve">198271</t>
  </si>
  <si>
    <t xml:space="preserve">201605</t>
  </si>
  <si>
    <t xml:space="preserve">Ameer Communications LLC</t>
  </si>
  <si>
    <t xml:space="preserve">Rosana Venjlilou</t>
  </si>
  <si>
    <t xml:space="preserve">(770) 416-8785</t>
  </si>
  <si>
    <t xml:space="preserve">ameercommunications1@gmail.com</t>
  </si>
  <si>
    <t xml:space="preserve">6200 Buford Hwy</t>
  </si>
  <si>
    <t xml:space="preserve">#1a</t>
  </si>
  <si>
    <t xml:space="preserve">C30065</t>
  </si>
  <si>
    <t xml:space="preserve">614075</t>
  </si>
  <si>
    <t xml:space="preserve">463576</t>
  </si>
  <si>
    <t xml:space="preserve">201590</t>
  </si>
  <si>
    <t xml:space="preserve">Portable &amp; Wireless Solutions</t>
  </si>
  <si>
    <t xml:space="preserve">Nasser Hassannia</t>
  </si>
  <si>
    <t xml:space="preserve">(858) 535-0800</t>
  </si>
  <si>
    <t xml:space="preserve">Nasser@pwsolutions.us</t>
  </si>
  <si>
    <t xml:space="preserve">6074 El Cajon Blvd</t>
  </si>
  <si>
    <t xml:space="preserve">C49921</t>
  </si>
  <si>
    <t xml:space="preserve">530819</t>
  </si>
  <si>
    <t xml:space="preserve">385408</t>
  </si>
  <si>
    <t xml:space="preserve">201588</t>
  </si>
  <si>
    <t xml:space="preserve">PlatinoCom Inc</t>
  </si>
  <si>
    <t xml:space="preserve">Vanessa Huston</t>
  </si>
  <si>
    <t xml:space="preserve">(678) 391-1100</t>
  </si>
  <si>
    <t xml:space="preserve">platinocom@gmail.com</t>
  </si>
  <si>
    <t xml:space="preserve">607 Alabama St</t>
  </si>
  <si>
    <t xml:space="preserve">30117</t>
  </si>
  <si>
    <t xml:space="preserve">C5551</t>
  </si>
  <si>
    <t xml:space="preserve">149809</t>
  </si>
  <si>
    <t xml:space="preserve">160506</t>
  </si>
  <si>
    <t xml:space="preserve">201581</t>
  </si>
  <si>
    <t xml:space="preserve">Wireless Express</t>
  </si>
  <si>
    <t xml:space="preserve">Sal Melchiore</t>
  </si>
  <si>
    <t xml:space="preserve">(203) 498-2355</t>
  </si>
  <si>
    <t xml:space="preserve">smelchiore@aol.com</t>
  </si>
  <si>
    <t xml:space="preserve">604 Ella T Grasso Blvd</t>
  </si>
  <si>
    <t xml:space="preserve">6519</t>
  </si>
  <si>
    <t xml:space="preserve">C4678</t>
  </si>
  <si>
    <t xml:space="preserve">585320</t>
  </si>
  <si>
    <t xml:space="preserve">435110</t>
  </si>
  <si>
    <t xml:space="preserve">201576</t>
  </si>
  <si>
    <t xml:space="preserve">Agua Plus Inc</t>
  </si>
  <si>
    <t xml:space="preserve">(323) 560-6200</t>
  </si>
  <si>
    <t xml:space="preserve">aesook1@verizon.net</t>
  </si>
  <si>
    <t xml:space="preserve">6021 Florence Ave</t>
  </si>
  <si>
    <t xml:space="preserve">Bell Gardens</t>
  </si>
  <si>
    <t xml:space="preserve">90201</t>
  </si>
  <si>
    <t xml:space="preserve">C47212</t>
  </si>
  <si>
    <t xml:space="preserve">615105</t>
  </si>
  <si>
    <t xml:space="preserve">464606</t>
  </si>
  <si>
    <t xml:space="preserve">201516</t>
  </si>
  <si>
    <t xml:space="preserve">Latino Multiservice LLC</t>
  </si>
  <si>
    <t xml:space="preserve">David Banegas</t>
  </si>
  <si>
    <t xml:space="preserve">(203) 691-9715</t>
  </si>
  <si>
    <t xml:space="preserve">joseescalante2@aol.com</t>
  </si>
  <si>
    <t xml:space="preserve">552 Ferry St</t>
  </si>
  <si>
    <t xml:space="preserve">6513</t>
  </si>
  <si>
    <t xml:space="preserve">C47415</t>
  </si>
  <si>
    <t xml:space="preserve">607668</t>
  </si>
  <si>
    <t xml:space="preserve">457251</t>
  </si>
  <si>
    <t xml:space="preserve">201490</t>
  </si>
  <si>
    <t xml:space="preserve">Communications Center Inc</t>
  </si>
  <si>
    <t xml:space="preserve">Hans Familia</t>
  </si>
  <si>
    <t xml:space="preserve">(617) 436-1400 Yohenny</t>
  </si>
  <si>
    <t xml:space="preserve">communicationcenter2@gmail.com</t>
  </si>
  <si>
    <t xml:space="preserve">525 Columbia Rd</t>
  </si>
  <si>
    <t xml:space="preserve">2125</t>
  </si>
  <si>
    <t xml:space="preserve">C48807</t>
  </si>
  <si>
    <t xml:space="preserve">430139</t>
  </si>
  <si>
    <t xml:space="preserve">285492</t>
  </si>
  <si>
    <t xml:space="preserve">201471</t>
  </si>
  <si>
    <t xml:space="preserve">Expert Wireless RI</t>
  </si>
  <si>
    <t xml:space="preserve">Alex Tillet</t>
  </si>
  <si>
    <t xml:space="preserve">(401) 285-6050</t>
  </si>
  <si>
    <t xml:space="preserve">info@expertwirelessRI.com</t>
  </si>
  <si>
    <t xml:space="preserve">510 Prairie Ave</t>
  </si>
  <si>
    <t xml:space="preserve">C31750</t>
  </si>
  <si>
    <t xml:space="preserve">604906</t>
  </si>
  <si>
    <t xml:space="preserve">454721</t>
  </si>
  <si>
    <t xml:space="preserve">201434</t>
  </si>
  <si>
    <t xml:space="preserve">Cortez Wireless</t>
  </si>
  <si>
    <t xml:space="preserve">Armando Cortez</t>
  </si>
  <si>
    <t xml:space="preserve">(323) 752-0361</t>
  </si>
  <si>
    <t xml:space="preserve">cortezwireless1@gmail.com</t>
  </si>
  <si>
    <t xml:space="preserve">4922 S Vermont Ave</t>
  </si>
  <si>
    <t xml:space="preserve">C48673</t>
  </si>
  <si>
    <t xml:space="preserve">197573</t>
  </si>
  <si>
    <t xml:space="preserve">208452</t>
  </si>
  <si>
    <t xml:space="preserve">201421</t>
  </si>
  <si>
    <t xml:space="preserve">Vargas Brother Inc DBA Xtreme Wireless</t>
  </si>
  <si>
    <t xml:space="preserve">(903) 454-3162</t>
  </si>
  <si>
    <t xml:space="preserve">4808 Wesley St</t>
  </si>
  <si>
    <t xml:space="preserve">#a</t>
  </si>
  <si>
    <t xml:space="preserve">Greenville</t>
  </si>
  <si>
    <t xml:space="preserve">75401</t>
  </si>
  <si>
    <t xml:space="preserve">603987</t>
  </si>
  <si>
    <t xml:space="preserve">453774</t>
  </si>
  <si>
    <t xml:space="preserve">201386</t>
  </si>
  <si>
    <t xml:space="preserve">Wireles Era LLC</t>
  </si>
  <si>
    <t xml:space="preserve">Angelica Carbajal</t>
  </si>
  <si>
    <t xml:space="preserve">(323) 232-7669</t>
  </si>
  <si>
    <t xml:space="preserve">carbajalangie@yahoo.com</t>
  </si>
  <si>
    <t xml:space="preserve">4433 S Alameda St</t>
  </si>
  <si>
    <t xml:space="preserve">C48256</t>
  </si>
  <si>
    <t xml:space="preserve">620808</t>
  </si>
  <si>
    <t xml:space="preserve">470811</t>
  </si>
  <si>
    <t xml:space="preserve">201349</t>
  </si>
  <si>
    <t xml:space="preserve">SR Wireless LLC</t>
  </si>
  <si>
    <t xml:space="preserve">(623) 386-6947</t>
  </si>
  <si>
    <t xml:space="preserve">427 N 1st St</t>
  </si>
  <si>
    <t xml:space="preserve">Buckeye</t>
  </si>
  <si>
    <t xml:space="preserve">85326</t>
  </si>
  <si>
    <t xml:space="preserve">C50167</t>
  </si>
  <si>
    <t xml:space="preserve">620767</t>
  </si>
  <si>
    <t xml:space="preserve">470740</t>
  </si>
  <si>
    <t xml:space="preserve">201332</t>
  </si>
  <si>
    <t xml:space="preserve">Phone Zone Inc.</t>
  </si>
  <si>
    <t xml:space="preserve">Mohammad Hasmath</t>
  </si>
  <si>
    <t xml:space="preserve">(301) 909-1911</t>
  </si>
  <si>
    <t xml:space="preserve">phonezone4157@gmail.com</t>
  </si>
  <si>
    <t xml:space="preserve">4157 Branch Ave</t>
  </si>
  <si>
    <t xml:space="preserve">Marlow Heights</t>
  </si>
  <si>
    <t xml:space="preserve">20748</t>
  </si>
  <si>
    <t xml:space="preserve">C50133</t>
  </si>
  <si>
    <t xml:space="preserve">612225</t>
  </si>
  <si>
    <t xml:space="preserve">461771</t>
  </si>
  <si>
    <t xml:space="preserve">201318</t>
  </si>
  <si>
    <t xml:space="preserve">Go Phone Shop</t>
  </si>
  <si>
    <t xml:space="preserve">Antonio Tansu</t>
  </si>
  <si>
    <t xml:space="preserve">(626) 821-8222</t>
  </si>
  <si>
    <t xml:space="preserve">gophoneshop@gmail.com</t>
  </si>
  <si>
    <t xml:space="preserve">411 E Huntington Dr</t>
  </si>
  <si>
    <t xml:space="preserve">C47370</t>
  </si>
  <si>
    <t xml:space="preserve">616004</t>
  </si>
  <si>
    <t xml:space="preserve">465444</t>
  </si>
  <si>
    <t xml:space="preserve">201239</t>
  </si>
  <si>
    <t xml:space="preserve">CJA Cellular</t>
  </si>
  <si>
    <t xml:space="preserve">Carolina Montano</t>
  </si>
  <si>
    <t xml:space="preserve">(714) 852-3185</t>
  </si>
  <si>
    <t xml:space="preserve">princesscaro1983@yahoo.com</t>
  </si>
  <si>
    <t xml:space="preserve">3610 W 1st St</t>
  </si>
  <si>
    <t xml:space="preserve">C50000</t>
  </si>
  <si>
    <t xml:space="preserve">610503</t>
  </si>
  <si>
    <t xml:space="preserve">460002</t>
  </si>
  <si>
    <t xml:space="preserve">201180</t>
  </si>
  <si>
    <t xml:space="preserve">8th street Electronics</t>
  </si>
  <si>
    <t xml:space="preserve">Sharone Davidi</t>
  </si>
  <si>
    <t xml:space="preserve">(213) 382-5050</t>
  </si>
  <si>
    <t xml:space="preserve">sharonedavidi@yahoo.com</t>
  </si>
  <si>
    <t xml:space="preserve">3309 W 8th St</t>
  </si>
  <si>
    <t xml:space="preserve">C49856</t>
  </si>
  <si>
    <t xml:space="preserve">610711</t>
  </si>
  <si>
    <t xml:space="preserve">460213</t>
  </si>
  <si>
    <t xml:space="preserve">201109</t>
  </si>
  <si>
    <t xml:space="preserve">DF WIRELESS - DM INC</t>
  </si>
  <si>
    <t xml:space="preserve">(773) 654-0037</t>
  </si>
  <si>
    <t xml:space="preserve">300 W N Ave</t>
  </si>
  <si>
    <t xml:space="preserve">Villa Park</t>
  </si>
  <si>
    <t xml:space="preserve">60181</t>
  </si>
  <si>
    <t xml:space="preserve">602056</t>
  </si>
  <si>
    <t xml:space="preserve">450977</t>
  </si>
  <si>
    <t xml:space="preserve">201093</t>
  </si>
  <si>
    <t xml:space="preserve">Universal Wireless Tech</t>
  </si>
  <si>
    <t xml:space="preserve">Ahmed Agwa</t>
  </si>
  <si>
    <t xml:space="preserve">(716) 205-0156</t>
  </si>
  <si>
    <t xml:space="preserve">gina@uwphones.com</t>
  </si>
  <si>
    <t xml:space="preserve">2930 Pine Ave</t>
  </si>
  <si>
    <t xml:space="preserve">Niagara Falls</t>
  </si>
  <si>
    <t xml:space="preserve">14301</t>
  </si>
  <si>
    <t xml:space="preserve">C1491</t>
  </si>
  <si>
    <t xml:space="preserve">604912</t>
  </si>
  <si>
    <t xml:space="preserve">454727</t>
  </si>
  <si>
    <t xml:space="preserve">201034</t>
  </si>
  <si>
    <t xml:space="preserve">JA Wireless</t>
  </si>
  <si>
    <t xml:space="preserve">Javier Antunez</t>
  </si>
  <si>
    <t xml:space="preserve">(714) 288-1410</t>
  </si>
  <si>
    <t xml:space="preserve">coco11232018@gmail.com</t>
  </si>
  <si>
    <t xml:space="preserve">265 S Tustin St</t>
  </si>
  <si>
    <t xml:space="preserve">Orange</t>
  </si>
  <si>
    <t xml:space="preserve">92866</t>
  </si>
  <si>
    <t xml:space="preserve">C48667</t>
  </si>
  <si>
    <t xml:space="preserve">561513</t>
  </si>
  <si>
    <t xml:space="preserve">411521</t>
  </si>
  <si>
    <t xml:space="preserve">201015</t>
  </si>
  <si>
    <t xml:space="preserve">El Tio Wireless</t>
  </si>
  <si>
    <t xml:space="preserve">Castulo Gains</t>
  </si>
  <si>
    <t xml:space="preserve">(434) 295-0024</t>
  </si>
  <si>
    <t xml:space="preserve">gor12010@hotmail.com</t>
  </si>
  <si>
    <t xml:space="preserve">259 Ridge McIntire Rd</t>
  </si>
  <si>
    <t xml:space="preserve">Charlottesville</t>
  </si>
  <si>
    <t xml:space="preserve">22903</t>
  </si>
  <si>
    <t xml:space="preserve">C45990</t>
  </si>
  <si>
    <t xml:space="preserve">537625</t>
  </si>
  <si>
    <t xml:space="preserve">391779</t>
  </si>
  <si>
    <t xml:space="preserve">201013</t>
  </si>
  <si>
    <t xml:space="preserve">Clara's Electronics Inc</t>
  </si>
  <si>
    <t xml:space="preserve">Clara Valdez</t>
  </si>
  <si>
    <t xml:space="preserve">(323) 204-7882</t>
  </si>
  <si>
    <t xml:space="preserve">claraselectronic@yahoo.com</t>
  </si>
  <si>
    <t xml:space="preserve">258 E Adams Blvd</t>
  </si>
  <si>
    <t xml:space="preserve">C43791</t>
  </si>
  <si>
    <t xml:space="preserve">530594</t>
  </si>
  <si>
    <t xml:space="preserve">385172</t>
  </si>
  <si>
    <t xml:space="preserve">200961</t>
  </si>
  <si>
    <t xml:space="preserve">ABHI Inc</t>
  </si>
  <si>
    <t xml:space="preserve">Chandar Ojha</t>
  </si>
  <si>
    <t xml:space="preserve">(919) 775-1819 summar</t>
  </si>
  <si>
    <t xml:space="preserve">sammey151@yahoo.com</t>
  </si>
  <si>
    <t xml:space="preserve">2404 S Horner Blvd</t>
  </si>
  <si>
    <t xml:space="preserve">Sanford</t>
  </si>
  <si>
    <t xml:space="preserve">27330</t>
  </si>
  <si>
    <t xml:space="preserve">C11781</t>
  </si>
  <si>
    <t xml:space="preserve">582046</t>
  </si>
  <si>
    <t xml:space="preserve">431288</t>
  </si>
  <si>
    <t xml:space="preserve">200900</t>
  </si>
  <si>
    <t xml:space="preserve">Annwil Enterprises Inc dba Annwil Connect</t>
  </si>
  <si>
    <t xml:space="preserve">Wilford Williams</t>
  </si>
  <si>
    <t xml:space="preserve">(540) 345-1221</t>
  </si>
  <si>
    <t xml:space="preserve">annwil2@msn.com</t>
  </si>
  <si>
    <t xml:space="preserve">217 24th St NW</t>
  </si>
  <si>
    <t xml:space="preserve">Roanoke</t>
  </si>
  <si>
    <t xml:space="preserve">24017</t>
  </si>
  <si>
    <t xml:space="preserve">C46935</t>
  </si>
  <si>
    <t xml:space="preserve">176611</t>
  </si>
  <si>
    <t xml:space="preserve">187386</t>
  </si>
  <si>
    <t xml:space="preserve">200873</t>
  </si>
  <si>
    <t xml:space="preserve">Asad Enterprise Inc</t>
  </si>
  <si>
    <t xml:space="preserve">Mohammed Patel</t>
  </si>
  <si>
    <t xml:space="preserve">(704) 868-2423</t>
  </si>
  <si>
    <t xml:space="preserve">asad.enterprises@gmail.com</t>
  </si>
  <si>
    <t xml:space="preserve">2102 S New Hope Rd</t>
  </si>
  <si>
    <t xml:space="preserve">Gastonia</t>
  </si>
  <si>
    <t xml:space="preserve">28054</t>
  </si>
  <si>
    <t xml:space="preserve">C14819</t>
  </si>
  <si>
    <t xml:space="preserve">578329</t>
  </si>
  <si>
    <t xml:space="preserve">429505</t>
  </si>
  <si>
    <t xml:space="preserve">200858</t>
  </si>
  <si>
    <t xml:space="preserve">Exclusive Electronics- Radio Shack</t>
  </si>
  <si>
    <t xml:space="preserve">Jeff Pederson</t>
  </si>
  <si>
    <t xml:space="preserve">(865) 908-8889</t>
  </si>
  <si>
    <t xml:space="preserve">jeff@jeffpederson.com</t>
  </si>
  <si>
    <t xml:space="preserve">207 Forks of the River Pkwy</t>
  </si>
  <si>
    <t xml:space="preserve">#1</t>
  </si>
  <si>
    <t xml:space="preserve">Sevierville</t>
  </si>
  <si>
    <t xml:space="preserve">37862</t>
  </si>
  <si>
    <t xml:space="preserve">C2161</t>
  </si>
  <si>
    <t xml:space="preserve">190616</t>
  </si>
  <si>
    <t xml:space="preserve">181152</t>
  </si>
  <si>
    <t xml:space="preserve">200852</t>
  </si>
  <si>
    <t xml:space="preserve">First Line Inc</t>
  </si>
  <si>
    <t xml:space="preserve">Chang Park</t>
  </si>
  <si>
    <t xml:space="preserve">(410) 727-3209</t>
  </si>
  <si>
    <t xml:space="preserve">cpark0316@yahoo.com</t>
  </si>
  <si>
    <t xml:space="preserve">204 W Fayette St</t>
  </si>
  <si>
    <t xml:space="preserve">21201</t>
  </si>
  <si>
    <t xml:space="preserve">C6614</t>
  </si>
  <si>
    <t xml:space="preserve">648567</t>
  </si>
  <si>
    <t xml:space="preserve">489886</t>
  </si>
  <si>
    <t xml:space="preserve">200835</t>
  </si>
  <si>
    <t xml:space="preserve">All Access Wireless</t>
  </si>
  <si>
    <t xml:space="preserve">Annabell Saldana Lopez</t>
  </si>
  <si>
    <t xml:space="preserve">allaccesswireless1@gmail.com</t>
  </si>
  <si>
    <t xml:space="preserve">2014 Maple Ave</t>
  </si>
  <si>
    <t xml:space="preserve">C48760</t>
  </si>
  <si>
    <t xml:space="preserve">117646</t>
  </si>
  <si>
    <t xml:space="preserve">200832</t>
  </si>
  <si>
    <t xml:space="preserve">J2DE Enterprises Inc dba Who Paged JD</t>
  </si>
  <si>
    <t xml:space="preserve">Jerry Edmunds</t>
  </si>
  <si>
    <t xml:space="preserve">(434) 793-0944</t>
  </si>
  <si>
    <t xml:space="preserve">whopagedjd@yahoo.com</t>
  </si>
  <si>
    <t xml:space="preserve">1332 Piney Forest Rd</t>
  </si>
  <si>
    <t xml:space="preserve">Danville</t>
  </si>
  <si>
    <t xml:space="preserve">24540</t>
  </si>
  <si>
    <t xml:space="preserve">C3272</t>
  </si>
  <si>
    <t xml:space="preserve">646644</t>
  </si>
  <si>
    <t xml:space="preserve">487982</t>
  </si>
  <si>
    <t xml:space="preserve">200731</t>
  </si>
  <si>
    <t xml:space="preserve">Cellular Nt</t>
  </si>
  <si>
    <t xml:space="preserve">Jose Santillan</t>
  </si>
  <si>
    <t xml:space="preserve">(714) 223-1516</t>
  </si>
  <si>
    <t xml:space="preserve">cellularnt@hotmail.com</t>
  </si>
  <si>
    <t xml:space="preserve">1716 N Placentia Ave</t>
  </si>
  <si>
    <t xml:space="preserve">Fullerton</t>
  </si>
  <si>
    <t xml:space="preserve">92831</t>
  </si>
  <si>
    <t xml:space="preserve">C51060</t>
  </si>
  <si>
    <t xml:space="preserve">638365</t>
  </si>
  <si>
    <t xml:space="preserve">484228</t>
  </si>
  <si>
    <t xml:space="preserve">200654</t>
  </si>
  <si>
    <t xml:space="preserve">Joao d Cardoso</t>
  </si>
  <si>
    <t xml:space="preserve">Joao Cardoso</t>
  </si>
  <si>
    <t xml:space="preserve">(617) 514-4728</t>
  </si>
  <si>
    <t xml:space="preserve">cityelectronics2009@hotmail.com</t>
  </si>
  <si>
    <t xml:space="preserve">151 Stoughton St</t>
  </si>
  <si>
    <t xml:space="preserve">C48729</t>
  </si>
  <si>
    <t xml:space="preserve">604880</t>
  </si>
  <si>
    <t xml:space="preserve">454695</t>
  </si>
  <si>
    <t xml:space="preserve">200625</t>
  </si>
  <si>
    <t xml:space="preserve">Van Nuys Business Services Center</t>
  </si>
  <si>
    <t xml:space="preserve">Manuel Salguero</t>
  </si>
  <si>
    <t xml:space="preserve">(818) 304-1134</t>
  </si>
  <si>
    <t xml:space="preserve">masalgue@hotmail.com</t>
  </si>
  <si>
    <t xml:space="preserve">14449 Victory Blvd</t>
  </si>
  <si>
    <t xml:space="preserve">91401</t>
  </si>
  <si>
    <t xml:space="preserve">C48686</t>
  </si>
  <si>
    <t xml:space="preserve">112713</t>
  </si>
  <si>
    <t xml:space="preserve">123789</t>
  </si>
  <si>
    <t xml:space="preserve">200365</t>
  </si>
  <si>
    <t xml:space="preserve">Sky Wireless</t>
  </si>
  <si>
    <t xml:space="preserve">Oscar Santiago</t>
  </si>
  <si>
    <t xml:space="preserve">(310) 532-0202</t>
  </si>
  <si>
    <t xml:space="preserve">skywireless1@yahoo.com</t>
  </si>
  <si>
    <t xml:space="preserve">1016 Rosecrans Ave</t>
  </si>
  <si>
    <t xml:space="preserve">90247</t>
  </si>
  <si>
    <t xml:space="preserve">C4369</t>
  </si>
  <si>
    <t xml:space="preserve">608266</t>
  </si>
  <si>
    <t xml:space="preserve">457840</t>
  </si>
  <si>
    <t xml:space="preserve">200358</t>
  </si>
  <si>
    <t xml:space="preserve">Zia Corporation Inc.</t>
  </si>
  <si>
    <t xml:space="preserve">Malik Wasim Zia</t>
  </si>
  <si>
    <t xml:space="preserve">(318) 324-1309</t>
  </si>
  <si>
    <t xml:space="preserve">ziacorporations@bellsouth.net</t>
  </si>
  <si>
    <t xml:space="preserve">1008 Winnsboro Road</t>
  </si>
  <si>
    <t xml:space="preserve">Monroe</t>
  </si>
  <si>
    <t xml:space="preserve">71202</t>
  </si>
  <si>
    <t xml:space="preserve">C6364</t>
  </si>
  <si>
    <t xml:space="preserve">384199</t>
  </si>
  <si>
    <t xml:space="preserve">245077</t>
  </si>
  <si>
    <t xml:space="preserve">200308</t>
  </si>
  <si>
    <t xml:space="preserve">Hector's Cell Phone Accessories</t>
  </si>
  <si>
    <t xml:space="preserve">Hector Cardona</t>
  </si>
  <si>
    <t xml:space="preserve">(760) 347-8155 Jad</t>
  </si>
  <si>
    <t xml:space="preserve">gts23@aol.com</t>
  </si>
  <si>
    <t xml:space="preserve">81022 CA-111</t>
  </si>
  <si>
    <t xml:space="preserve">STE G</t>
  </si>
  <si>
    <t xml:space="preserve">C11939</t>
  </si>
  <si>
    <t xml:space="preserve">618215</t>
  </si>
  <si>
    <t xml:space="preserve">468663</t>
  </si>
  <si>
    <t xml:space="preserve">200286</t>
  </si>
  <si>
    <t xml:space="preserve">NB Wireless</t>
  </si>
  <si>
    <t xml:space="preserve">Sohail Khan</t>
  </si>
  <si>
    <t xml:space="preserve">(830) 358-1007</t>
  </si>
  <si>
    <t xml:space="preserve">nbwirelesstx@gmail.com</t>
  </si>
  <si>
    <t xml:space="preserve">719 TX-46</t>
  </si>
  <si>
    <t xml:space="preserve">New Braunfels</t>
  </si>
  <si>
    <t xml:space="preserve">78130</t>
  </si>
  <si>
    <t xml:space="preserve">C50069</t>
  </si>
  <si>
    <t xml:space="preserve">607634</t>
  </si>
  <si>
    <t xml:space="preserve">457217</t>
  </si>
  <si>
    <t xml:space="preserve">200238</t>
  </si>
  <si>
    <t xml:space="preserve">MS Fusion Services LLC</t>
  </si>
  <si>
    <t xml:space="preserve">Mohammad Saleh</t>
  </si>
  <si>
    <t xml:space="preserve">(512) 853-0078</t>
  </si>
  <si>
    <t xml:space="preserve">moesaleh0458@gmail.com</t>
  </si>
  <si>
    <t xml:space="preserve">5200 Ross Rd</t>
  </si>
  <si>
    <t xml:space="preserve">Del Valle</t>
  </si>
  <si>
    <t xml:space="preserve">78617</t>
  </si>
  <si>
    <t xml:space="preserve">C48804</t>
  </si>
  <si>
    <t xml:space="preserve">518534</t>
  </si>
  <si>
    <t xml:space="preserve">374909</t>
  </si>
  <si>
    <t xml:space="preserve">200212</t>
  </si>
  <si>
    <t xml:space="preserve">Interstate Cellular</t>
  </si>
  <si>
    <t xml:space="preserve">Forday Hydera</t>
  </si>
  <si>
    <t xml:space="preserve">(816) 572-6905</t>
  </si>
  <si>
    <t xml:space="preserve">interstatecellular@hotmail.com</t>
  </si>
  <si>
    <t xml:space="preserve">4532 The Paseo</t>
  </si>
  <si>
    <t xml:space="preserve">64110</t>
  </si>
  <si>
    <t xml:space="preserve">C42197</t>
  </si>
  <si>
    <t xml:space="preserve">632135</t>
  </si>
  <si>
    <t xml:space="preserve">478679</t>
  </si>
  <si>
    <t xml:space="preserve">200194</t>
  </si>
  <si>
    <t xml:space="preserve">Carlos Hugo Morales Ramos</t>
  </si>
  <si>
    <t xml:space="preserve">Carlos Morales</t>
  </si>
  <si>
    <t xml:space="preserve">(817) 862-0744</t>
  </si>
  <si>
    <t xml:space="preserve">charliessmartrepair@gmail.com</t>
  </si>
  <si>
    <t xml:space="preserve">#937</t>
  </si>
  <si>
    <t xml:space="preserve">C50675</t>
  </si>
  <si>
    <t xml:space="preserve">604937</t>
  </si>
  <si>
    <t xml:space="preserve">454752</t>
  </si>
  <si>
    <t xml:space="preserve">200123</t>
  </si>
  <si>
    <t xml:space="preserve">Paraiso Travel And Tours</t>
  </si>
  <si>
    <t xml:space="preserve">Carla Lopez</t>
  </si>
  <si>
    <t xml:space="preserve">(949) 206-9860</t>
  </si>
  <si>
    <t xml:space="preserve">paraisotravel1@yahoo.com</t>
  </si>
  <si>
    <t xml:space="preserve">24366 Muirlands Blvd</t>
  </si>
  <si>
    <t xml:space="preserve">Lake Forest</t>
  </si>
  <si>
    <t xml:space="preserve">92630</t>
  </si>
  <si>
    <t xml:space="preserve">C48655</t>
  </si>
  <si>
    <t xml:space="preserve">552278</t>
  </si>
  <si>
    <t xml:space="preserve">405350</t>
  </si>
  <si>
    <t xml:space="preserve">200065</t>
  </si>
  <si>
    <t xml:space="preserve">CE Communications</t>
  </si>
  <si>
    <t xml:space="preserve">Cristian Capellan</t>
  </si>
  <si>
    <t xml:space="preserve">(978) 594-0243</t>
  </si>
  <si>
    <t xml:space="preserve">capellan@cecommunicationsma.com</t>
  </si>
  <si>
    <t xml:space="preserve">15 Gedney St</t>
  </si>
  <si>
    <t xml:space="preserve">Salem</t>
  </si>
  <si>
    <t xml:space="preserve">1970</t>
  </si>
  <si>
    <t xml:space="preserve">C45713</t>
  </si>
  <si>
    <t xml:space="preserve">TOTAL - ELIGIBLE DOORS (counts toward activation goal)</t>
  </si>
  <si>
    <t xml:space="preserve">NOT ELIGIBLE (reference goal only - excluded from official attainment)</t>
  </si>
  <si>
    <t xml:space="preserve">ALL DOORS</t>
  </si>
  <si>
    <t xml:space="preserve">LEGEND: Yellow cells = editable inputs (D3 activation goal; H3 minimum 3-month average to qualify; L3 phone lift %). Light-orange columns = enter August actuals. Goal Eligibility green = Eligible, grey = Not Eligible. Attainment shading: green &gt;=100%, amber 75-99%, red &lt;75%. | ACTIVATION GOAL: only doors with a 3-month average at or above the H3 minimum receive an official goal; the D3 total is allocated across them by share of the eligible baseline. Doors below the minimum get a REFERENCE goal in grey italics at the same per-baseline rate, excluded from the green eligible total. | PHONE GOAL: company-level only - July total phones x (1 + L3 lift), shown in Z3 with attainment in AC3. Phones are tracked per door but NOT goaled per door: a door that buys in one month may not buy the next, so every August phone counts toward the company target regardless of that door's July activity. | CAVEATS: April excluded from the 3-month average (covers Apr 27-30 only). Activation baseline data ends Jul 26. | SOURCES: GenMobile_ERL_Door_Report (995 approved doors, Jul 30 2026); ERL activation report Apr 27-Jul 26 2026; 7-27-2026 ERL Sales Report (Door Level) for Account Type; NetSuite for phone/email; daily ePay activation files and Gen phone order reports for August actuals.</t>
  </si>
  <si>
    <t xml:space="preserve">GEN MOBILE DDP INCENTIVE TRACKER - AUGUST 2026</t>
  </si>
  <si>
    <t xml:space="preserve">Eureka Revenues LLC. $5 per 3/6/12-month activation, rising to $7 on ALL of them (retroactive) if total August activations across every door reach the threshold.</t>
  </si>
  <si>
    <t xml:space="preserve">INPUTS  (yellow cells are editable)</t>
  </si>
  <si>
    <t xml:space="preserve">Total activation threshold for bonus rate</t>
  </si>
  <si>
    <t xml:space="preserve">Base DDP rate per multi-month activation</t>
  </si>
  <si>
    <t xml:space="preserve">Bonus DDP rate if threshold met</t>
  </si>
  <si>
    <t xml:space="preserve">Calendar days in August</t>
  </si>
  <si>
    <t xml:space="preserve">MONTH-TO-DATE STATUS</t>
  </si>
  <si>
    <t xml:space="preserve">Total activations MTD (all doors, all plans)</t>
  </si>
  <si>
    <t xml:space="preserve">Multi-month activations MTD (3 + 6 + 12 mo)</t>
  </si>
  <si>
    <t xml:space="preserve">Multi-month share of total</t>
  </si>
  <si>
    <t xml:space="preserve">Gap to threshold</t>
  </si>
  <si>
    <t xml:space="preserve">% to threshold</t>
  </si>
  <si>
    <t xml:space="preserve">Rate currently earned</t>
  </si>
  <si>
    <t xml:space="preserve">Threshold status</t>
  </si>
  <si>
    <t xml:space="preserve">PACE</t>
  </si>
  <si>
    <t xml:space="preserve">Days with data entered</t>
  </si>
  <si>
    <t xml:space="preserve">Days remaining in month</t>
  </si>
  <si>
    <t xml:space="preserve">Average activations per day</t>
  </si>
  <si>
    <t xml:space="preserve">Projected month-end total (run-rate)</t>
  </si>
  <si>
    <t xml:space="preserve">Still needed to reach threshold</t>
  </si>
  <si>
    <t xml:space="preserve">Required per remaining day</t>
  </si>
  <si>
    <t xml:space="preserve">On pace?</t>
  </si>
  <si>
    <t xml:space="preserve">EARNINGS</t>
  </si>
  <si>
    <t xml:space="preserve">MTD multi-month activations</t>
  </si>
  <si>
    <t xml:space="preserve">MTD earnings at current rate</t>
  </si>
  <si>
    <t xml:space="preserve">PROJECTED TO MONTH END (at current mix and pace)</t>
  </si>
  <si>
    <t xml:space="preserve">    Projected multi-month activations</t>
  </si>
  <si>
    <t xml:space="preserve">    Projected earnings if threshold MISSED</t>
  </si>
  <si>
    <t xml:space="preserve">    Projected earnings if threshold MET</t>
  </si>
  <si>
    <t xml:space="preserve">    BONUS AT STAKE (difference)</t>
  </si>
  <si>
    <t xml:space="preserve">    MTD bonus at stake (on activations already booked)</t>
  </si>
  <si>
    <t xml:space="preserve">DAILY LOG  -  enter each day from the ePay daily activation report</t>
  </si>
  <si>
    <t xml:space="preserve">Enter the plan-term split in the four orange columns. Everything to the right calculates automatically. Leave future days blank - blanks are ignored by the pace and projection math above.</t>
  </si>
  <si>
    <t xml:space="preserve">Date</t>
  </si>
  <si>
    <t xml:space="preserve">3-Month</t>
  </si>
  <si>
    <t xml:space="preserve">6-Month</t>
  </si>
  <si>
    <t xml:space="preserve">12-Month</t>
  </si>
  <si>
    <t xml:space="preserve">Single / Other</t>
  </si>
  <si>
    <t xml:space="preserve">Multi-Month (3+6+12)</t>
  </si>
  <si>
    <t xml:space="preserve">Cumulative Total</t>
  </si>
  <si>
    <t xml:space="preserve">Cumulative Multi-Month</t>
  </si>
  <si>
    <t xml:space="preserve">% to Threshold</t>
  </si>
  <si>
    <t xml:space="preserve">Rate Earned</t>
  </si>
  <si>
    <t xml:space="preserve">MONTH TOTAL</t>
  </si>
  <si>
    <t xml:space="preserve">HOW THIS WORKS: The $5 -&gt; $7 uplift is retroactive, so once cumulative total activations cross the threshold every multi-month activation for the month pays at the bonus rate - which is why "Bonus at stake" is the whole month's multi-month volume times $2, not just the volume after the crossing point. | THE THRESHOLD COUNTS ALL DOORS: eligible and non-eligible alike, so it is a different measure from the activation goal on the other tab (which counts only doors meeting the 3-month-average minimum). | PORT-INS COUNT: confirmed 8/19/2026 that Gen Mobile port-in transactions (Product GENMOPRT) count as activations for both the 3,300 threshold and the DDP multi-month rate. All figures include them; they have run roughly one third of monthly volume. | CONTEXT: July 2026 ran 2,401 activations through Jul 26 (~2,860 run-rated to a full month), so a 3,300 threshold is roughly a 15% lift over July pace.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</si>
</sst>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"/>
    <numFmt numFmtId="167" formatCode="0%"/>
    <numFmt numFmtId="168" formatCode="0.00"/>
    <numFmt numFmtId="169" formatCode="0.0%"/>
    <numFmt numFmtId="170" formatCode="0.00%"/>
    <numFmt numFmtId="171" formatCode="\$#,##0.00"/>
    <numFmt numFmtId="172" formatCode="0"/>
    <numFmt numFmtId="173" formatCode="#,##0.0"/>
    <numFmt numFmtId="174" formatCode="ddd\ m/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i val="1"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30"/>
    <col collapsed="false" customWidth="true" hidden="false" outlineLevel="0" max="8" min="8" style="1" width="26"/>
    <col collapsed="false" customWidth="true" hidden="false" outlineLevel="0" max="9" min="9" style="1" width="11"/>
    <col collapsed="false" customWidth="true" hidden="false" outlineLevel="0" max="10" min="10" style="1" width="17"/>
    <col collapsed="false" customWidth="true" hidden="false" outlineLevel="0" max="11" min="11" style="1" width="7"/>
    <col collapsed="false" customWidth="true" hidden="false" outlineLevel="0" max="12" min="12" style="1" width="11"/>
    <col collapsed="false" customWidth="true" hidden="false" outlineLevel="0" max="19" min="13" style="1" width="14"/>
    <col collapsed="false" customWidth="true" hidden="false" outlineLevel="0" max="20" min="20" style="1" width="12"/>
    <col collapsed="false" customWidth="true" hidden="false" outlineLevel="0" max="21" min="21" style="1" width="14"/>
    <col collapsed="false" customWidth="true" hidden="false" outlineLevel="0" max="23" min="22" style="1" width="12"/>
    <col collapsed="false" customWidth="true" hidden="false" outlineLevel="0" max="26" min="24" style="1" width="14"/>
    <col collapsed="false" customWidth="true" hidden="false" outlineLevel="0" max="29" min="27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D3" s="5" t="n">
        <v>2756</v>
      </c>
      <c r="F3" s="4" t="s">
        <v>3</v>
      </c>
      <c r="H3" s="6" t="n">
        <v>5</v>
      </c>
      <c r="J3" s="4" t="s">
        <v>4</v>
      </c>
      <c r="L3" s="7" t="n">
        <v>0.12</v>
      </c>
      <c r="N3" s="8" t="s">
        <v>5</v>
      </c>
      <c r="Q3" s="9" t="n">
        <f aca="false">COUNTIF($T$5:$T$999,"&gt;="&amp;$H$3)</f>
        <v>91</v>
      </c>
      <c r="R3" s="8" t="s">
        <v>6</v>
      </c>
      <c r="U3" s="9" t="n">
        <f aca="false">SUMIFS($X$5:$X$999,$T$5:$T$999,"&gt;="&amp;$H$3)</f>
        <v>2760</v>
      </c>
      <c r="W3" s="8" t="s">
        <v>7</v>
      </c>
      <c r="Z3" s="10" t="n">
        <f aca="false">SUM($AB$5:$AB$999)*(1+$L$3)</f>
        <v>206.08</v>
      </c>
      <c r="AA3" s="8" t="s">
        <v>8</v>
      </c>
      <c r="AC3" s="11" t="n">
        <f aca="false">IFERROR(SUM($AC$5:$AC$999)/$Z$3,"")</f>
        <v>1.01902173913043</v>
      </c>
    </row>
    <row r="4" customFormat="false" ht="42" hidden="false" customHeight="true" outlineLevel="0" collapsed="false">
      <c r="A4" s="12" t="s">
        <v>9</v>
      </c>
      <c r="B4" s="12" t="s">
        <v>10</v>
      </c>
      <c r="C4" s="12" t="s">
        <v>11</v>
      </c>
      <c r="D4" s="12" t="s">
        <v>12</v>
      </c>
      <c r="E4" s="12" t="s">
        <v>13</v>
      </c>
      <c r="F4" s="12" t="s">
        <v>14</v>
      </c>
      <c r="G4" s="12" t="s">
        <v>15</v>
      </c>
      <c r="H4" s="12" t="s">
        <v>16</v>
      </c>
      <c r="I4" s="12" t="s">
        <v>17</v>
      </c>
      <c r="J4" s="12" t="s">
        <v>18</v>
      </c>
      <c r="K4" s="12" t="s">
        <v>19</v>
      </c>
      <c r="L4" s="12" t="s">
        <v>20</v>
      </c>
      <c r="M4" s="12" t="s">
        <v>21</v>
      </c>
      <c r="N4" s="12" t="s">
        <v>22</v>
      </c>
      <c r="O4" s="12" t="s">
        <v>23</v>
      </c>
      <c r="P4" s="12" t="s">
        <v>24</v>
      </c>
      <c r="Q4" s="12" t="s">
        <v>25</v>
      </c>
      <c r="R4" s="12" t="s">
        <v>26</v>
      </c>
      <c r="S4" s="12" t="s">
        <v>27</v>
      </c>
      <c r="T4" s="13" t="s">
        <v>28</v>
      </c>
      <c r="U4" s="13" t="s">
        <v>29</v>
      </c>
      <c r="V4" s="13" t="s">
        <v>30</v>
      </c>
      <c r="W4" s="13" t="s">
        <v>31</v>
      </c>
      <c r="X4" s="13" t="s">
        <v>32</v>
      </c>
      <c r="Y4" s="13" t="s">
        <v>33</v>
      </c>
      <c r="Z4" s="13" t="s">
        <v>34</v>
      </c>
      <c r="AA4" s="13" t="s">
        <v>35</v>
      </c>
      <c r="AB4" s="14" t="s">
        <v>36</v>
      </c>
      <c r="AC4" s="14" t="s">
        <v>37</v>
      </c>
    </row>
    <row r="5" customFormat="false" ht="15" hidden="false" customHeight="true" outlineLevel="0" collapsed="false">
      <c r="A5" s="15" t="s">
        <v>38</v>
      </c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15" t="s">
        <v>45</v>
      </c>
      <c r="I5" s="15"/>
      <c r="J5" s="15" t="s">
        <v>46</v>
      </c>
      <c r="K5" s="15" t="s">
        <v>47</v>
      </c>
      <c r="L5" s="15" t="s">
        <v>48</v>
      </c>
      <c r="M5" s="15" t="s">
        <v>49</v>
      </c>
      <c r="N5" s="15" t="s">
        <v>50</v>
      </c>
      <c r="O5" s="16" t="n">
        <v>99</v>
      </c>
      <c r="P5" s="16" t="n">
        <v>232</v>
      </c>
      <c r="Q5" s="16" t="n">
        <v>302</v>
      </c>
      <c r="R5" s="16" t="n">
        <v>41</v>
      </c>
      <c r="S5" s="16" t="n">
        <v>674</v>
      </c>
      <c r="T5" s="17" t="n">
        <f aca="false">AVERAGE(O5:Q5)</f>
        <v>211</v>
      </c>
      <c r="U5" s="18" t="str">
        <f aca="false">IF(T5&gt;=$H$3,"Eligible","Not Eligible")</f>
        <v>Eligible</v>
      </c>
      <c r="V5" s="19" t="n">
        <f aca="false">IF(T5&lt;$H$3,0,IFERROR(T5/SUMIF($T$5:$T$999,"&gt;="&amp;$H$3),0))</f>
        <v>0.0883337984928831</v>
      </c>
      <c r="W5" s="15" t="str">
        <f aca="false">IF(T5=0,"Win-Back","Active")</f>
        <v>Active</v>
      </c>
      <c r="X5" s="20" t="n">
        <f aca="false">IF(T5=0,0,IF(T5&gt;=$H$3,ROUND(T5*$D$3/SUMIF($T$5:$T$999,"&gt;="&amp;$H$3),0),ROUNDUP(T5*$D$3/SUMIF($T$5:$T$999,"&gt;="&amp;$H$3),0)))</f>
        <v>243</v>
      </c>
      <c r="Y5" s="21" t="n">
        <v>62</v>
      </c>
      <c r="Z5" s="16" t="n">
        <f aca="false">IF(X5=0,"",X5-Y5)</f>
        <v>181</v>
      </c>
      <c r="AA5" s="22" t="n">
        <f aca="false">IFERROR(Y5/X5,"")</f>
        <v>0.255144032921811</v>
      </c>
      <c r="AB5" s="16" t="n">
        <v>0</v>
      </c>
      <c r="AC5" s="21"/>
    </row>
    <row r="6" customFormat="false" ht="15" hidden="false" customHeight="true" outlineLevel="0" collapsed="false">
      <c r="A6" s="15" t="s">
        <v>51</v>
      </c>
      <c r="B6" s="15" t="s">
        <v>52</v>
      </c>
      <c r="C6" s="15" t="s">
        <v>53</v>
      </c>
      <c r="D6" s="15" t="s">
        <v>54</v>
      </c>
      <c r="E6" s="15" t="s">
        <v>55</v>
      </c>
      <c r="F6" s="15" t="s">
        <v>56</v>
      </c>
      <c r="G6" s="15" t="s">
        <v>57</v>
      </c>
      <c r="H6" s="15" t="s">
        <v>58</v>
      </c>
      <c r="I6" s="15"/>
      <c r="J6" s="15" t="s">
        <v>46</v>
      </c>
      <c r="K6" s="15" t="s">
        <v>47</v>
      </c>
      <c r="L6" s="15" t="s">
        <v>48</v>
      </c>
      <c r="M6" s="15" t="s">
        <v>59</v>
      </c>
      <c r="N6" s="15" t="s">
        <v>50</v>
      </c>
      <c r="O6" s="16" t="n">
        <v>159</v>
      </c>
      <c r="P6" s="16" t="n">
        <v>229</v>
      </c>
      <c r="Q6" s="16" t="n">
        <v>231</v>
      </c>
      <c r="R6" s="16" t="n">
        <v>63</v>
      </c>
      <c r="S6" s="16" t="n">
        <v>682</v>
      </c>
      <c r="T6" s="17" t="n">
        <f aca="false">AVERAGE(O6:Q6)</f>
        <v>206.333333333333</v>
      </c>
      <c r="U6" s="18" t="str">
        <f aca="false">IF(T6&gt;=$H$3,"Eligible","Not Eligible")</f>
        <v>Eligible</v>
      </c>
      <c r="V6" s="19" t="n">
        <f aca="false">IF(T6&lt;$H$3,0,IFERROR(T6/SUMIF($T$5:$T$999,"&gt;="&amp;$H$3),0))</f>
        <v>0.0863801283840357</v>
      </c>
      <c r="W6" s="15" t="str">
        <f aca="false">IF(T6=0,"Win-Back","Active")</f>
        <v>Active</v>
      </c>
      <c r="X6" s="20" t="n">
        <f aca="false">IF(T6=0,0,IF(T6&gt;=$H$3,ROUND(T6*$D$3/SUMIF($T$5:$T$999,"&gt;="&amp;$H$3),0),ROUNDUP(T6*$D$3/SUMIF($T$5:$T$999,"&gt;="&amp;$H$3),0)))</f>
        <v>238</v>
      </c>
      <c r="Y6" s="21" t="n">
        <v>289</v>
      </c>
      <c r="Z6" s="16" t="n">
        <f aca="false">IF(X6=0,"",X6-Y6)</f>
        <v>-51</v>
      </c>
      <c r="AA6" s="22" t="n">
        <f aca="false">IFERROR(Y6/X6,"")</f>
        <v>1.21428571428571</v>
      </c>
      <c r="AB6" s="16" t="n">
        <v>0</v>
      </c>
      <c r="AC6" s="21" t="n">
        <v>34</v>
      </c>
    </row>
    <row r="7" customFormat="false" ht="15" hidden="false" customHeight="true" outlineLevel="0" collapsed="false">
      <c r="A7" s="15" t="s">
        <v>60</v>
      </c>
      <c r="B7" s="15" t="s">
        <v>61</v>
      </c>
      <c r="C7" s="15" t="s">
        <v>62</v>
      </c>
      <c r="D7" s="15" t="s">
        <v>63</v>
      </c>
      <c r="E7" s="15" t="s">
        <v>64</v>
      </c>
      <c r="F7" s="15" t="s">
        <v>65</v>
      </c>
      <c r="G7" s="15" t="s">
        <v>66</v>
      </c>
      <c r="H7" s="15" t="s">
        <v>67</v>
      </c>
      <c r="I7" s="15" t="s">
        <v>68</v>
      </c>
      <c r="J7" s="15" t="s">
        <v>69</v>
      </c>
      <c r="K7" s="15" t="s">
        <v>70</v>
      </c>
      <c r="L7" s="15" t="s">
        <v>71</v>
      </c>
      <c r="M7" s="15" t="s">
        <v>72</v>
      </c>
      <c r="N7" s="15" t="s">
        <v>73</v>
      </c>
      <c r="O7" s="16" t="n">
        <v>125</v>
      </c>
      <c r="P7" s="16" t="n">
        <v>203</v>
      </c>
      <c r="Q7" s="16" t="n">
        <v>89</v>
      </c>
      <c r="R7" s="16" t="n">
        <v>28</v>
      </c>
      <c r="S7" s="16" t="n">
        <v>445</v>
      </c>
      <c r="T7" s="17" t="n">
        <f aca="false">AVERAGE(O7:Q7)</f>
        <v>139</v>
      </c>
      <c r="U7" s="18" t="str">
        <f aca="false">IF(T7&gt;=$H$3,"Eligible","Not Eligible")</f>
        <v>Eligible</v>
      </c>
      <c r="V7" s="19" t="n">
        <f aca="false">IF(T7&lt;$H$3,0,IFERROR(T7/SUMIF($T$5:$T$999,"&gt;="&amp;$H$3),0))</f>
        <v>0.058191459670667</v>
      </c>
      <c r="W7" s="15" t="str">
        <f aca="false">IF(T7=0,"Win-Back","Active")</f>
        <v>Active</v>
      </c>
      <c r="X7" s="20" t="n">
        <f aca="false">IF(T7=0,0,IF(T7&gt;=$H$3,ROUND(T7*$D$3/SUMIF($T$5:$T$999,"&gt;="&amp;$H$3),0),ROUNDUP(T7*$D$3/SUMIF($T$5:$T$999,"&gt;="&amp;$H$3),0)))</f>
        <v>160</v>
      </c>
      <c r="Y7" s="21" t="n">
        <v>281</v>
      </c>
      <c r="Z7" s="16" t="n">
        <f aca="false">IF(X7=0,"",X7-Y7)</f>
        <v>-121</v>
      </c>
      <c r="AA7" s="22" t="n">
        <f aca="false">IFERROR(Y7/X7,"")</f>
        <v>1.75625</v>
      </c>
      <c r="AB7" s="16" t="n">
        <v>10</v>
      </c>
      <c r="AC7" s="21" t="n">
        <v>10</v>
      </c>
    </row>
    <row r="8" customFormat="false" ht="15" hidden="false" customHeight="true" outlineLevel="0" collapsed="false">
      <c r="A8" s="15" t="s">
        <v>74</v>
      </c>
      <c r="B8" s="15" t="s">
        <v>75</v>
      </c>
      <c r="C8" s="15" t="s">
        <v>76</v>
      </c>
      <c r="D8" s="15" t="s">
        <v>77</v>
      </c>
      <c r="E8" s="15" t="s">
        <v>78</v>
      </c>
      <c r="F8" s="15" t="s">
        <v>79</v>
      </c>
      <c r="G8" s="15" t="s">
        <v>80</v>
      </c>
      <c r="H8" s="15" t="s">
        <v>81</v>
      </c>
      <c r="I8" s="15"/>
      <c r="J8" s="15" t="s">
        <v>82</v>
      </c>
      <c r="K8" s="15" t="s">
        <v>47</v>
      </c>
      <c r="L8" s="15" t="s">
        <v>83</v>
      </c>
      <c r="M8" s="15" t="s">
        <v>84</v>
      </c>
      <c r="N8" s="15" t="s">
        <v>50</v>
      </c>
      <c r="O8" s="16" t="n">
        <v>156</v>
      </c>
      <c r="P8" s="16" t="n">
        <v>109</v>
      </c>
      <c r="Q8" s="16" t="n">
        <v>129</v>
      </c>
      <c r="R8" s="16" t="n">
        <v>12</v>
      </c>
      <c r="S8" s="16" t="n">
        <v>406</v>
      </c>
      <c r="T8" s="17" t="n">
        <f aca="false">AVERAGE(O8:Q8)</f>
        <v>131.333333333333</v>
      </c>
      <c r="U8" s="18" t="str">
        <f aca="false">IF(T8&gt;=$H$3,"Eligible","Not Eligible")</f>
        <v>Eligible</v>
      </c>
      <c r="V8" s="19" t="n">
        <f aca="false">IF(T8&lt;$H$3,0,IFERROR(T8/SUMIF($T$5:$T$999,"&gt;="&amp;$H$3),0))</f>
        <v>0.0549818587775607</v>
      </c>
      <c r="W8" s="15" t="str">
        <f aca="false">IF(T8=0,"Win-Back","Active")</f>
        <v>Active</v>
      </c>
      <c r="X8" s="20" t="n">
        <f aca="false">IF(T8=0,0,IF(T8&gt;=$H$3,ROUND(T8*$D$3/SUMIF($T$5:$T$999,"&gt;="&amp;$H$3),0),ROUNDUP(T8*$D$3/SUMIF($T$5:$T$999,"&gt;="&amp;$H$3),0)))</f>
        <v>152</v>
      </c>
      <c r="Y8" s="21" t="n">
        <v>52</v>
      </c>
      <c r="Z8" s="16" t="n">
        <f aca="false">IF(X8=0,"",X8-Y8)</f>
        <v>100</v>
      </c>
      <c r="AA8" s="22" t="n">
        <f aca="false">IFERROR(Y8/X8,"")</f>
        <v>0.342105263157895</v>
      </c>
      <c r="AB8" s="16" t="n">
        <v>0</v>
      </c>
      <c r="AC8" s="21"/>
    </row>
    <row r="9" customFormat="false" ht="15" hidden="false" customHeight="true" outlineLevel="0" collapsed="false">
      <c r="A9" s="15" t="s">
        <v>85</v>
      </c>
      <c r="B9" s="15" t="s">
        <v>86</v>
      </c>
      <c r="C9" s="15" t="s">
        <v>87</v>
      </c>
      <c r="D9" s="15" t="s">
        <v>88</v>
      </c>
      <c r="E9" s="15" t="s">
        <v>89</v>
      </c>
      <c r="F9" s="15" t="s">
        <v>90</v>
      </c>
      <c r="G9" s="15" t="s">
        <v>91</v>
      </c>
      <c r="H9" s="15" t="s">
        <v>92</v>
      </c>
      <c r="I9" s="15"/>
      <c r="J9" s="15" t="s">
        <v>82</v>
      </c>
      <c r="K9" s="15" t="s">
        <v>47</v>
      </c>
      <c r="L9" s="15" t="s">
        <v>93</v>
      </c>
      <c r="M9" s="15" t="s">
        <v>94</v>
      </c>
      <c r="N9" s="15" t="s">
        <v>50</v>
      </c>
      <c r="O9" s="16" t="n">
        <v>130</v>
      </c>
      <c r="P9" s="16" t="n">
        <v>145</v>
      </c>
      <c r="Q9" s="16" t="n">
        <v>101</v>
      </c>
      <c r="R9" s="16" t="n">
        <v>33</v>
      </c>
      <c r="S9" s="16" t="n">
        <v>409</v>
      </c>
      <c r="T9" s="17" t="n">
        <f aca="false">AVERAGE(O9:Q9)</f>
        <v>125.333333333333</v>
      </c>
      <c r="U9" s="18" t="str">
        <f aca="false">IF(T9&gt;=$H$3,"Eligible","Not Eligible")</f>
        <v>Eligible</v>
      </c>
      <c r="V9" s="19" t="n">
        <f aca="false">IF(T9&lt;$H$3,0,IFERROR(T9/SUMIF($T$5:$T$999,"&gt;="&amp;$H$3),0))</f>
        <v>0.0524699972090427</v>
      </c>
      <c r="W9" s="15" t="str">
        <f aca="false">IF(T9=0,"Win-Back","Active")</f>
        <v>Active</v>
      </c>
      <c r="X9" s="20" t="n">
        <f aca="false">IF(T9=0,0,IF(T9&gt;=$H$3,ROUND(T9*$D$3/SUMIF($T$5:$T$999,"&gt;="&amp;$H$3),0),ROUNDUP(T9*$D$3/SUMIF($T$5:$T$999,"&gt;="&amp;$H$3),0)))</f>
        <v>145</v>
      </c>
      <c r="Y9" s="21" t="n">
        <v>322</v>
      </c>
      <c r="Z9" s="16" t="n">
        <f aca="false">IF(X9=0,"",X9-Y9)</f>
        <v>-177</v>
      </c>
      <c r="AA9" s="22" t="n">
        <f aca="false">IFERROR(Y9/X9,"")</f>
        <v>2.22068965517241</v>
      </c>
      <c r="AB9" s="16" t="n">
        <v>0</v>
      </c>
      <c r="AC9" s="21"/>
    </row>
    <row r="10" customFormat="false" ht="15" hidden="false" customHeight="true" outlineLevel="0" collapsed="false">
      <c r="A10" s="15" t="s">
        <v>95</v>
      </c>
      <c r="B10" s="15" t="s">
        <v>96</v>
      </c>
      <c r="C10" s="15" t="s">
        <v>97</v>
      </c>
      <c r="D10" s="15" t="s">
        <v>88</v>
      </c>
      <c r="E10" s="15" t="s">
        <v>89</v>
      </c>
      <c r="F10" s="15" t="s">
        <v>90</v>
      </c>
      <c r="G10" s="15" t="s">
        <v>91</v>
      </c>
      <c r="H10" s="15" t="s">
        <v>98</v>
      </c>
      <c r="I10" s="15" t="s">
        <v>99</v>
      </c>
      <c r="J10" s="15" t="s">
        <v>82</v>
      </c>
      <c r="K10" s="15" t="s">
        <v>47</v>
      </c>
      <c r="L10" s="15" t="s">
        <v>83</v>
      </c>
      <c r="M10" s="15" t="s">
        <v>94</v>
      </c>
      <c r="N10" s="15" t="s">
        <v>50</v>
      </c>
      <c r="O10" s="16" t="n">
        <v>69</v>
      </c>
      <c r="P10" s="16" t="n">
        <v>103</v>
      </c>
      <c r="Q10" s="16" t="n">
        <v>136</v>
      </c>
      <c r="R10" s="16" t="n">
        <v>9</v>
      </c>
      <c r="S10" s="16" t="n">
        <v>317</v>
      </c>
      <c r="T10" s="17" t="n">
        <f aca="false">AVERAGE(O10:Q10)</f>
        <v>102.666666666667</v>
      </c>
      <c r="U10" s="18" t="str">
        <f aca="false">IF(T10&gt;=$H$3,"Eligible","Not Eligible")</f>
        <v>Eligible</v>
      </c>
      <c r="V10" s="19" t="n">
        <f aca="false">IF(T10&lt;$H$3,0,IFERROR(T10/SUMIF($T$5:$T$999,"&gt;="&amp;$H$3),0))</f>
        <v>0.0429807423946414</v>
      </c>
      <c r="W10" s="15" t="str">
        <f aca="false">IF(T10=0,"Win-Back","Active")</f>
        <v>Active</v>
      </c>
      <c r="X10" s="20" t="n">
        <f aca="false">IF(T10=0,0,IF(T10&gt;=$H$3,ROUND(T10*$D$3/SUMIF($T$5:$T$999,"&gt;="&amp;$H$3),0),ROUNDUP(T10*$D$3/SUMIF($T$5:$T$999,"&gt;="&amp;$H$3),0)))</f>
        <v>118</v>
      </c>
      <c r="Y10" s="21" t="n">
        <v>65</v>
      </c>
      <c r="Z10" s="16" t="n">
        <f aca="false">IF(X10=0,"",X10-Y10)</f>
        <v>53</v>
      </c>
      <c r="AA10" s="22" t="n">
        <f aca="false">IFERROR(Y10/X10,"")</f>
        <v>0.550847457627119</v>
      </c>
      <c r="AB10" s="16" t="n">
        <v>0</v>
      </c>
      <c r="AC10" s="21"/>
    </row>
    <row r="11" customFormat="false" ht="15" hidden="false" customHeight="true" outlineLevel="0" collapsed="false">
      <c r="A11" s="15" t="s">
        <v>100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5" t="s">
        <v>106</v>
      </c>
      <c r="H11" s="15" t="s">
        <v>107</v>
      </c>
      <c r="I11" s="15"/>
      <c r="J11" s="15" t="s">
        <v>46</v>
      </c>
      <c r="K11" s="15" t="s">
        <v>47</v>
      </c>
      <c r="L11" s="15" t="s">
        <v>48</v>
      </c>
      <c r="M11" s="15" t="s">
        <v>108</v>
      </c>
      <c r="N11" s="15" t="s">
        <v>50</v>
      </c>
      <c r="O11" s="16" t="n">
        <v>67</v>
      </c>
      <c r="P11" s="16" t="n">
        <v>95</v>
      </c>
      <c r="Q11" s="16" t="n">
        <v>68</v>
      </c>
      <c r="R11" s="16" t="n">
        <v>11</v>
      </c>
      <c r="S11" s="16" t="n">
        <v>241</v>
      </c>
      <c r="T11" s="17" t="n">
        <f aca="false">AVERAGE(O11:Q11)</f>
        <v>76.6666666666667</v>
      </c>
      <c r="U11" s="18" t="str">
        <f aca="false">IF(T11&gt;=$H$3,"Eligible","Not Eligible")</f>
        <v>Eligible</v>
      </c>
      <c r="V11" s="19" t="n">
        <f aca="false">IF(T11&lt;$H$3,0,IFERROR(T11/SUMIF($T$5:$T$999,"&gt;="&amp;$H$3),0))</f>
        <v>0.0320960089310634</v>
      </c>
      <c r="W11" s="15" t="str">
        <f aca="false">IF(T11=0,"Win-Back","Active")</f>
        <v>Active</v>
      </c>
      <c r="X11" s="20" t="n">
        <f aca="false">IF(T11=0,0,IF(T11&gt;=$H$3,ROUND(T11*$D$3/SUMIF($T$5:$T$999,"&gt;="&amp;$H$3),0),ROUNDUP(T11*$D$3/SUMIF($T$5:$T$999,"&gt;="&amp;$H$3),0)))</f>
        <v>88</v>
      </c>
      <c r="Y11" s="21" t="n">
        <v>31</v>
      </c>
      <c r="Z11" s="16" t="n">
        <f aca="false">IF(X11=0,"",X11-Y11)</f>
        <v>57</v>
      </c>
      <c r="AA11" s="22" t="n">
        <f aca="false">IFERROR(Y11/X11,"")</f>
        <v>0.352272727272727</v>
      </c>
      <c r="AB11" s="16" t="n">
        <v>0</v>
      </c>
      <c r="AC11" s="21"/>
    </row>
    <row r="12" customFormat="false" ht="15" hidden="false" customHeight="true" outlineLevel="0" collapsed="false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5" t="s">
        <v>114</v>
      </c>
      <c r="G12" s="15" t="s">
        <v>115</v>
      </c>
      <c r="H12" s="15" t="s">
        <v>116</v>
      </c>
      <c r="I12" s="15" t="s">
        <v>117</v>
      </c>
      <c r="J12" s="15" t="s">
        <v>69</v>
      </c>
      <c r="K12" s="15" t="s">
        <v>70</v>
      </c>
      <c r="L12" s="15" t="s">
        <v>118</v>
      </c>
      <c r="M12" s="15" t="s">
        <v>119</v>
      </c>
      <c r="N12" s="15" t="s">
        <v>73</v>
      </c>
      <c r="O12" s="16" t="n">
        <v>208</v>
      </c>
      <c r="P12" s="16" t="n">
        <v>2</v>
      </c>
      <c r="Q12" s="16" t="n">
        <v>3</v>
      </c>
      <c r="R12" s="16" t="n">
        <v>2</v>
      </c>
      <c r="S12" s="16" t="n">
        <v>215</v>
      </c>
      <c r="T12" s="17" t="n">
        <f aca="false">AVERAGE(O12:Q12)</f>
        <v>71</v>
      </c>
      <c r="U12" s="18" t="str">
        <f aca="false">IF(T12&gt;=$H$3,"Eligible","Not Eligible")</f>
        <v>Eligible</v>
      </c>
      <c r="V12" s="19" t="n">
        <f aca="false">IF(T12&lt;$H$3,0,IFERROR(T12/SUMIF($T$5:$T$999,"&gt;="&amp;$H$3),0))</f>
        <v>0.029723695227463</v>
      </c>
      <c r="W12" s="15" t="str">
        <f aca="false">IF(T12=0,"Win-Back","Active")</f>
        <v>Active</v>
      </c>
      <c r="X12" s="20" t="n">
        <f aca="false">IF(T12=0,0,IF(T12&gt;=$H$3,ROUND(T12*$D$3/SUMIF($T$5:$T$999,"&gt;="&amp;$H$3),0),ROUNDUP(T12*$D$3/SUMIF($T$5:$T$999,"&gt;="&amp;$H$3),0)))</f>
        <v>82</v>
      </c>
      <c r="Y12" s="21" t="n">
        <v>115</v>
      </c>
      <c r="Z12" s="16" t="n">
        <f aca="false">IF(X12=0,"",X12-Y12)</f>
        <v>-33</v>
      </c>
      <c r="AA12" s="22" t="n">
        <f aca="false">IFERROR(Y12/X12,"")</f>
        <v>1.40243902439024</v>
      </c>
      <c r="AB12" s="16" t="n">
        <v>0</v>
      </c>
      <c r="AC12" s="21"/>
    </row>
    <row r="13" customFormat="false" ht="15" hidden="false" customHeight="true" outlineLevel="0" collapsed="false">
      <c r="A13" s="15" t="s">
        <v>120</v>
      </c>
      <c r="B13" s="15" t="s">
        <v>121</v>
      </c>
      <c r="C13" s="15" t="s">
        <v>122</v>
      </c>
      <c r="D13" s="15" t="s">
        <v>123</v>
      </c>
      <c r="E13" s="15" t="s">
        <v>124</v>
      </c>
      <c r="F13" s="15" t="s">
        <v>125</v>
      </c>
      <c r="G13" s="15" t="s">
        <v>126</v>
      </c>
      <c r="H13" s="15" t="s">
        <v>127</v>
      </c>
      <c r="I13" s="15"/>
      <c r="J13" s="15" t="s">
        <v>128</v>
      </c>
      <c r="K13" s="15" t="s">
        <v>70</v>
      </c>
      <c r="L13" s="15" t="s">
        <v>129</v>
      </c>
      <c r="M13" s="15" t="s">
        <v>130</v>
      </c>
      <c r="N13" s="15" t="s">
        <v>73</v>
      </c>
      <c r="O13" s="16" t="n">
        <v>52</v>
      </c>
      <c r="P13" s="16" t="n">
        <v>52</v>
      </c>
      <c r="Q13" s="16" t="n">
        <v>103</v>
      </c>
      <c r="R13" s="16" t="n">
        <v>18</v>
      </c>
      <c r="S13" s="16" t="n">
        <v>225</v>
      </c>
      <c r="T13" s="17" t="n">
        <f aca="false">AVERAGE(O13:Q13)</f>
        <v>69</v>
      </c>
      <c r="U13" s="18" t="str">
        <f aca="false">IF(T13&gt;=$H$3,"Eligible","Not Eligible")</f>
        <v>Eligible</v>
      </c>
      <c r="V13" s="19" t="n">
        <f aca="false">IF(T13&lt;$H$3,0,IFERROR(T13/SUMIF($T$5:$T$999,"&gt;="&amp;$H$3),0))</f>
        <v>0.028886408037957</v>
      </c>
      <c r="W13" s="15" t="str">
        <f aca="false">IF(T13=0,"Win-Back","Active")</f>
        <v>Active</v>
      </c>
      <c r="X13" s="20" t="n">
        <f aca="false">IF(T13=0,0,IF(T13&gt;=$H$3,ROUND(T13*$D$3/SUMIF($T$5:$T$999,"&gt;="&amp;$H$3),0),ROUNDUP(T13*$D$3/SUMIF($T$5:$T$999,"&gt;="&amp;$H$3),0)))</f>
        <v>80</v>
      </c>
      <c r="Y13" s="21" t="n">
        <v>60</v>
      </c>
      <c r="Z13" s="16" t="n">
        <f aca="false">IF(X13=0,"",X13-Y13)</f>
        <v>20</v>
      </c>
      <c r="AA13" s="22" t="n">
        <f aca="false">IFERROR(Y13/X13,"")</f>
        <v>0.75</v>
      </c>
      <c r="AB13" s="16" t="n">
        <v>3</v>
      </c>
      <c r="AC13" s="21" t="n">
        <v>15</v>
      </c>
    </row>
    <row r="14" customFormat="false" ht="15" hidden="false" customHeight="true" outlineLevel="0" collapsed="false">
      <c r="A14" s="15" t="s">
        <v>131</v>
      </c>
      <c r="B14" s="15" t="s">
        <v>132</v>
      </c>
      <c r="C14" s="15" t="s">
        <v>133</v>
      </c>
      <c r="D14" s="15" t="s">
        <v>134</v>
      </c>
      <c r="E14" s="15" t="s">
        <v>135</v>
      </c>
      <c r="F14" s="15" t="s">
        <v>136</v>
      </c>
      <c r="G14" s="15" t="s">
        <v>137</v>
      </c>
      <c r="H14" s="15" t="s">
        <v>138</v>
      </c>
      <c r="I14" s="15"/>
      <c r="J14" s="15" t="s">
        <v>46</v>
      </c>
      <c r="K14" s="15" t="s">
        <v>47</v>
      </c>
      <c r="L14" s="15" t="s">
        <v>48</v>
      </c>
      <c r="M14" s="15" t="s">
        <v>139</v>
      </c>
      <c r="N14" s="15" t="s">
        <v>73</v>
      </c>
      <c r="O14" s="16" t="n">
        <v>33</v>
      </c>
      <c r="P14" s="16" t="n">
        <v>72</v>
      </c>
      <c r="Q14" s="16" t="n">
        <v>81</v>
      </c>
      <c r="R14" s="16" t="n">
        <v>5</v>
      </c>
      <c r="S14" s="16" t="n">
        <v>191</v>
      </c>
      <c r="T14" s="17" t="n">
        <f aca="false">AVERAGE(O14:Q14)</f>
        <v>62</v>
      </c>
      <c r="U14" s="18" t="str">
        <f aca="false">IF(T14&gt;=$H$3,"Eligible","Not Eligible")</f>
        <v>Eligible</v>
      </c>
      <c r="V14" s="19" t="n">
        <f aca="false">IF(T14&lt;$H$3,0,IFERROR(T14/SUMIF($T$5:$T$999,"&gt;="&amp;$H$3),0))</f>
        <v>0.025955902874686</v>
      </c>
      <c r="W14" s="15" t="str">
        <f aca="false">IF(T14=0,"Win-Back","Active")</f>
        <v>Active</v>
      </c>
      <c r="X14" s="20" t="n">
        <f aca="false">IF(T14=0,0,IF(T14&gt;=$H$3,ROUND(T14*$D$3/SUMIF($T$5:$T$999,"&gt;="&amp;$H$3),0),ROUNDUP(T14*$D$3/SUMIF($T$5:$T$999,"&gt;="&amp;$H$3),0)))</f>
        <v>72</v>
      </c>
      <c r="Y14" s="21" t="n">
        <v>53</v>
      </c>
      <c r="Z14" s="16" t="n">
        <f aca="false">IF(X14=0,"",X14-Y14)</f>
        <v>19</v>
      </c>
      <c r="AA14" s="22" t="n">
        <f aca="false">IFERROR(Y14/X14,"")</f>
        <v>0.736111111111111</v>
      </c>
      <c r="AB14" s="16" t="n">
        <v>0</v>
      </c>
      <c r="AC14" s="21"/>
    </row>
    <row r="15" customFormat="false" ht="15" hidden="false" customHeight="true" outlineLevel="0" collapsed="false">
      <c r="A15" s="15" t="s">
        <v>140</v>
      </c>
      <c r="B15" s="15" t="s">
        <v>141</v>
      </c>
      <c r="C15" s="15" t="s">
        <v>142</v>
      </c>
      <c r="D15" s="15" t="s">
        <v>143</v>
      </c>
      <c r="E15" s="15" t="s">
        <v>144</v>
      </c>
      <c r="F15" s="15" t="s">
        <v>145</v>
      </c>
      <c r="G15" s="15" t="s">
        <v>146</v>
      </c>
      <c r="H15" s="15" t="s">
        <v>147</v>
      </c>
      <c r="I15" s="15" t="s">
        <v>148</v>
      </c>
      <c r="J15" s="15" t="s">
        <v>46</v>
      </c>
      <c r="K15" s="15" t="s">
        <v>47</v>
      </c>
      <c r="L15" s="15" t="s">
        <v>48</v>
      </c>
      <c r="M15" s="15" t="s">
        <v>149</v>
      </c>
      <c r="N15" s="15" t="s">
        <v>50</v>
      </c>
      <c r="O15" s="16" t="n">
        <v>33</v>
      </c>
      <c r="P15" s="16" t="n">
        <v>77</v>
      </c>
      <c r="Q15" s="16" t="n">
        <v>66</v>
      </c>
      <c r="R15" s="16" t="n">
        <v>9</v>
      </c>
      <c r="S15" s="16" t="n">
        <v>185</v>
      </c>
      <c r="T15" s="17" t="n">
        <f aca="false">AVERAGE(O15:Q15)</f>
        <v>58.6666666666667</v>
      </c>
      <c r="U15" s="18" t="str">
        <f aca="false">IF(T15&gt;=$H$3,"Eligible","Not Eligible")</f>
        <v>Eligible</v>
      </c>
      <c r="V15" s="19" t="n">
        <f aca="false">IF(T15&lt;$H$3,0,IFERROR(T15/SUMIF($T$5:$T$999,"&gt;="&amp;$H$3),0))</f>
        <v>0.0245604242255094</v>
      </c>
      <c r="W15" s="15" t="str">
        <f aca="false">IF(T15=0,"Win-Back","Active")</f>
        <v>Active</v>
      </c>
      <c r="X15" s="20" t="n">
        <f aca="false">IF(T15=0,0,IF(T15&gt;=$H$3,ROUND(T15*$D$3/SUMIF($T$5:$T$999,"&gt;="&amp;$H$3),0),ROUNDUP(T15*$D$3/SUMIF($T$5:$T$999,"&gt;="&amp;$H$3),0)))</f>
        <v>68</v>
      </c>
      <c r="Y15" s="21" t="n">
        <v>62</v>
      </c>
      <c r="Z15" s="16" t="n">
        <f aca="false">IF(X15=0,"",X15-Y15)</f>
        <v>6</v>
      </c>
      <c r="AA15" s="22" t="n">
        <f aca="false">IFERROR(Y15/X15,"")</f>
        <v>0.911764705882353</v>
      </c>
      <c r="AB15" s="16" t="n">
        <v>0</v>
      </c>
      <c r="AC15" s="21"/>
    </row>
    <row r="16" customFormat="false" ht="15" hidden="false" customHeight="true" outlineLevel="0" collapsed="false">
      <c r="A16" s="15" t="s">
        <v>150</v>
      </c>
      <c r="B16" s="15" t="s">
        <v>151</v>
      </c>
      <c r="C16" s="15" t="s">
        <v>152</v>
      </c>
      <c r="D16" s="15" t="s">
        <v>153</v>
      </c>
      <c r="E16" s="15" t="s">
        <v>154</v>
      </c>
      <c r="F16" s="15" t="s">
        <v>155</v>
      </c>
      <c r="G16" s="15" t="s">
        <v>156</v>
      </c>
      <c r="H16" s="15" t="s">
        <v>157</v>
      </c>
      <c r="I16" s="15"/>
      <c r="J16" s="15" t="s">
        <v>82</v>
      </c>
      <c r="K16" s="15" t="s">
        <v>47</v>
      </c>
      <c r="L16" s="15" t="s">
        <v>93</v>
      </c>
      <c r="M16" s="15" t="s">
        <v>158</v>
      </c>
      <c r="N16" s="15" t="s">
        <v>50</v>
      </c>
      <c r="O16" s="16" t="n">
        <v>48</v>
      </c>
      <c r="P16" s="16" t="n">
        <v>45</v>
      </c>
      <c r="Q16" s="16" t="n">
        <v>80</v>
      </c>
      <c r="R16" s="16" t="n">
        <v>12</v>
      </c>
      <c r="S16" s="16" t="n">
        <v>185</v>
      </c>
      <c r="T16" s="17" t="n">
        <f aca="false">AVERAGE(O16:Q16)</f>
        <v>57.6666666666667</v>
      </c>
      <c r="U16" s="18" t="str">
        <f aca="false">IF(T16&gt;=$H$3,"Eligible","Not Eligible")</f>
        <v>Eligible</v>
      </c>
      <c r="V16" s="19" t="n">
        <f aca="false">IF(T16&lt;$H$3,0,IFERROR(T16/SUMIF($T$5:$T$999,"&gt;="&amp;$H$3),0))</f>
        <v>0.0241417806307564</v>
      </c>
      <c r="W16" s="15" t="str">
        <f aca="false">IF(T16=0,"Win-Back","Active")</f>
        <v>Active</v>
      </c>
      <c r="X16" s="20" t="n">
        <f aca="false">IF(T16=0,0,IF(T16&gt;=$H$3,ROUND(T16*$D$3/SUMIF($T$5:$T$999,"&gt;="&amp;$H$3),0),ROUNDUP(T16*$D$3/SUMIF($T$5:$T$999,"&gt;="&amp;$H$3),0)))</f>
        <v>67</v>
      </c>
      <c r="Y16" s="21" t="n">
        <v>58</v>
      </c>
      <c r="Z16" s="16" t="n">
        <f aca="false">IF(X16=0,"",X16-Y16)</f>
        <v>9</v>
      </c>
      <c r="AA16" s="22" t="n">
        <f aca="false">IFERROR(Y16/X16,"")</f>
        <v>0.865671641791045</v>
      </c>
      <c r="AB16" s="16" t="n">
        <v>0</v>
      </c>
      <c r="AC16" s="21"/>
    </row>
    <row r="17" customFormat="false" ht="15" hidden="false" customHeight="true" outlineLevel="0" collapsed="false">
      <c r="A17" s="15" t="s">
        <v>159</v>
      </c>
      <c r="B17" s="15" t="s">
        <v>160</v>
      </c>
      <c r="C17" s="15" t="s">
        <v>161</v>
      </c>
      <c r="D17" s="15" t="s">
        <v>162</v>
      </c>
      <c r="E17" s="15" t="s">
        <v>163</v>
      </c>
      <c r="F17" s="15" t="s">
        <v>164</v>
      </c>
      <c r="G17" s="15" t="s">
        <v>165</v>
      </c>
      <c r="H17" s="15" t="s">
        <v>166</v>
      </c>
      <c r="I17" s="15" t="s">
        <v>167</v>
      </c>
      <c r="J17" s="15" t="s">
        <v>82</v>
      </c>
      <c r="K17" s="15" t="s">
        <v>47</v>
      </c>
      <c r="L17" s="15" t="s">
        <v>83</v>
      </c>
      <c r="M17" s="15" t="s">
        <v>168</v>
      </c>
      <c r="N17" s="15" t="s">
        <v>50</v>
      </c>
      <c r="O17" s="16" t="n">
        <v>36</v>
      </c>
      <c r="P17" s="16" t="n">
        <v>44</v>
      </c>
      <c r="Q17" s="16" t="n">
        <v>77</v>
      </c>
      <c r="R17" s="16" t="n">
        <v>8</v>
      </c>
      <c r="S17" s="16" t="n">
        <v>165</v>
      </c>
      <c r="T17" s="17" t="n">
        <f aca="false">AVERAGE(O17:Q17)</f>
        <v>52.3333333333333</v>
      </c>
      <c r="U17" s="18" t="str">
        <f aca="false">IF(T17&gt;=$H$3,"Eligible","Not Eligible")</f>
        <v>Eligible</v>
      </c>
      <c r="V17" s="19" t="n">
        <f aca="false">IF(T17&lt;$H$3,0,IFERROR(T17/SUMIF($T$5:$T$999,"&gt;="&amp;$H$3),0))</f>
        <v>0.0219090147920737</v>
      </c>
      <c r="W17" s="15" t="str">
        <f aca="false">IF(T17=0,"Win-Back","Active")</f>
        <v>Active</v>
      </c>
      <c r="X17" s="20" t="n">
        <f aca="false">IF(T17=0,0,IF(T17&gt;=$H$3,ROUND(T17*$D$3/SUMIF($T$5:$T$999,"&gt;="&amp;$H$3),0),ROUNDUP(T17*$D$3/SUMIF($T$5:$T$999,"&gt;="&amp;$H$3),0)))</f>
        <v>60</v>
      </c>
      <c r="Y17" s="21" t="n">
        <v>58</v>
      </c>
      <c r="Z17" s="16" t="n">
        <f aca="false">IF(X17=0,"",X17-Y17)</f>
        <v>2</v>
      </c>
      <c r="AA17" s="22" t="n">
        <f aca="false">IFERROR(Y17/X17,"")</f>
        <v>0.966666666666667</v>
      </c>
      <c r="AB17" s="16" t="n">
        <v>13</v>
      </c>
      <c r="AC17" s="21" t="n">
        <v>10</v>
      </c>
    </row>
    <row r="18" customFormat="false" ht="15" hidden="false" customHeight="true" outlineLevel="0" collapsed="false">
      <c r="A18" s="15" t="s">
        <v>169</v>
      </c>
      <c r="B18" s="15" t="s">
        <v>170</v>
      </c>
      <c r="C18" s="15" t="s">
        <v>171</v>
      </c>
      <c r="D18" s="15" t="s">
        <v>172</v>
      </c>
      <c r="E18" s="15" t="s">
        <v>173</v>
      </c>
      <c r="F18" s="15" t="s">
        <v>174</v>
      </c>
      <c r="G18" s="15" t="s">
        <v>175</v>
      </c>
      <c r="H18" s="15" t="s">
        <v>176</v>
      </c>
      <c r="I18" s="15"/>
      <c r="J18" s="15" t="s">
        <v>46</v>
      </c>
      <c r="K18" s="15" t="s">
        <v>47</v>
      </c>
      <c r="L18" s="15" t="s">
        <v>48</v>
      </c>
      <c r="M18" s="15" t="s">
        <v>177</v>
      </c>
      <c r="N18" s="15" t="s">
        <v>50</v>
      </c>
      <c r="O18" s="16" t="n">
        <v>27</v>
      </c>
      <c r="P18" s="16" t="n">
        <v>49</v>
      </c>
      <c r="Q18" s="16" t="n">
        <v>71</v>
      </c>
      <c r="R18" s="16" t="n">
        <v>7</v>
      </c>
      <c r="S18" s="16" t="n">
        <v>154</v>
      </c>
      <c r="T18" s="17" t="n">
        <f aca="false">AVERAGE(O18:Q18)</f>
        <v>49</v>
      </c>
      <c r="U18" s="18" t="str">
        <f aca="false">IF(T18&gt;=$H$3,"Eligible","Not Eligible")</f>
        <v>Eligible</v>
      </c>
      <c r="V18" s="19" t="n">
        <f aca="false">IF(T18&lt;$H$3,0,IFERROR(T18/SUMIF($T$5:$T$999,"&gt;="&amp;$H$3),0))</f>
        <v>0.020513536142897</v>
      </c>
      <c r="W18" s="15" t="str">
        <f aca="false">IF(T18=0,"Win-Back","Active")</f>
        <v>Active</v>
      </c>
      <c r="X18" s="20" t="n">
        <f aca="false">IF(T18=0,0,IF(T18&gt;=$H$3,ROUND(T18*$D$3/SUMIF($T$5:$T$999,"&gt;="&amp;$H$3),0),ROUNDUP(T18*$D$3/SUMIF($T$5:$T$999,"&gt;="&amp;$H$3),0)))</f>
        <v>57</v>
      </c>
      <c r="Y18" s="21" t="n">
        <v>56</v>
      </c>
      <c r="Z18" s="16" t="n">
        <f aca="false">IF(X18=0,"",X18-Y18)</f>
        <v>1</v>
      </c>
      <c r="AA18" s="22" t="n">
        <f aca="false">IFERROR(Y18/X18,"")</f>
        <v>0.982456140350877</v>
      </c>
      <c r="AB18" s="16" t="n">
        <v>13</v>
      </c>
      <c r="AC18" s="21" t="n">
        <v>11</v>
      </c>
    </row>
    <row r="19" customFormat="false" ht="15" hidden="false" customHeight="true" outlineLevel="0" collapsed="false">
      <c r="A19" s="15" t="s">
        <v>178</v>
      </c>
      <c r="B19" s="15" t="s">
        <v>179</v>
      </c>
      <c r="C19" s="15" t="s">
        <v>180</v>
      </c>
      <c r="D19" s="15" t="s">
        <v>181</v>
      </c>
      <c r="E19" s="15" t="s">
        <v>182</v>
      </c>
      <c r="F19" s="15" t="s">
        <v>183</v>
      </c>
      <c r="G19" s="15" t="s">
        <v>184</v>
      </c>
      <c r="H19" s="15" t="s">
        <v>185</v>
      </c>
      <c r="I19" s="15" t="s">
        <v>186</v>
      </c>
      <c r="J19" s="15" t="s">
        <v>46</v>
      </c>
      <c r="K19" s="15" t="s">
        <v>47</v>
      </c>
      <c r="L19" s="15" t="s">
        <v>48</v>
      </c>
      <c r="M19" s="15" t="s">
        <v>187</v>
      </c>
      <c r="N19" s="15" t="s">
        <v>50</v>
      </c>
      <c r="O19" s="16" t="n">
        <v>62</v>
      </c>
      <c r="P19" s="16" t="n">
        <v>41</v>
      </c>
      <c r="Q19" s="16" t="n">
        <v>38</v>
      </c>
      <c r="R19" s="16" t="n">
        <v>5</v>
      </c>
      <c r="S19" s="16" t="n">
        <v>146</v>
      </c>
      <c r="T19" s="17" t="n">
        <f aca="false">AVERAGE(O19:Q19)</f>
        <v>47</v>
      </c>
      <c r="U19" s="18" t="str">
        <f aca="false">IF(T19&gt;=$H$3,"Eligible","Not Eligible")</f>
        <v>Eligible</v>
      </c>
      <c r="V19" s="19" t="n">
        <f aca="false">IF(T19&lt;$H$3,0,IFERROR(T19/SUMIF($T$5:$T$999,"&gt;="&amp;$H$3),0))</f>
        <v>0.019676248953391</v>
      </c>
      <c r="W19" s="15" t="str">
        <f aca="false">IF(T19=0,"Win-Back","Active")</f>
        <v>Active</v>
      </c>
      <c r="X19" s="20" t="n">
        <f aca="false">IF(T19=0,0,IF(T19&gt;=$H$3,ROUND(T19*$D$3/SUMIF($T$5:$T$999,"&gt;="&amp;$H$3),0),ROUNDUP(T19*$D$3/SUMIF($T$5:$T$999,"&gt;="&amp;$H$3),0)))</f>
        <v>54</v>
      </c>
      <c r="Y19" s="21" t="n">
        <v>41</v>
      </c>
      <c r="Z19" s="16" t="n">
        <f aca="false">IF(X19=0,"",X19-Y19)</f>
        <v>13</v>
      </c>
      <c r="AA19" s="22" t="n">
        <f aca="false">IFERROR(Y19/X19,"")</f>
        <v>0.759259259259259</v>
      </c>
      <c r="AB19" s="16" t="n">
        <v>0</v>
      </c>
      <c r="AC19" s="21"/>
    </row>
    <row r="20" customFormat="false" ht="15" hidden="false" customHeight="true" outlineLevel="0" collapsed="false">
      <c r="A20" s="15" t="s">
        <v>188</v>
      </c>
      <c r="B20" s="15" t="s">
        <v>189</v>
      </c>
      <c r="C20" s="15" t="s">
        <v>190</v>
      </c>
      <c r="D20" s="15" t="s">
        <v>191</v>
      </c>
      <c r="E20" s="15" t="s">
        <v>192</v>
      </c>
      <c r="F20" s="15" t="s">
        <v>193</v>
      </c>
      <c r="G20" s="15" t="s">
        <v>194</v>
      </c>
      <c r="H20" s="15" t="s">
        <v>195</v>
      </c>
      <c r="I20" s="15"/>
      <c r="J20" s="15" t="s">
        <v>46</v>
      </c>
      <c r="K20" s="15" t="s">
        <v>47</v>
      </c>
      <c r="L20" s="15" t="s">
        <v>48</v>
      </c>
      <c r="M20" s="15" t="s">
        <v>196</v>
      </c>
      <c r="N20" s="15" t="s">
        <v>50</v>
      </c>
      <c r="O20" s="16" t="n">
        <v>16</v>
      </c>
      <c r="P20" s="16" t="n">
        <v>45</v>
      </c>
      <c r="Q20" s="16" t="n">
        <v>74</v>
      </c>
      <c r="R20" s="16" t="n">
        <v>14</v>
      </c>
      <c r="S20" s="16" t="n">
        <v>149</v>
      </c>
      <c r="T20" s="17" t="n">
        <f aca="false">AVERAGE(O20:Q20)</f>
        <v>45</v>
      </c>
      <c r="U20" s="18" t="str">
        <f aca="false">IF(T20&gt;=$H$3,"Eligible","Not Eligible")</f>
        <v>Eligible</v>
      </c>
      <c r="V20" s="19" t="n">
        <f aca="false">IF(T20&lt;$H$3,0,IFERROR(T20/SUMIF($T$5:$T$999,"&gt;="&amp;$H$3),0))</f>
        <v>0.018838961763885</v>
      </c>
      <c r="W20" s="15" t="str">
        <f aca="false">IF(T20=0,"Win-Back","Active")</f>
        <v>Active</v>
      </c>
      <c r="X20" s="20" t="n">
        <f aca="false">IF(T20=0,0,IF(T20&gt;=$H$3,ROUND(T20*$D$3/SUMIF($T$5:$T$999,"&gt;="&amp;$H$3),0),ROUNDUP(T20*$D$3/SUMIF($T$5:$T$999,"&gt;="&amp;$H$3),0)))</f>
        <v>52</v>
      </c>
      <c r="Y20" s="21" t="n">
        <v>16</v>
      </c>
      <c r="Z20" s="16" t="n">
        <f aca="false">IF(X20=0,"",X20-Y20)</f>
        <v>36</v>
      </c>
      <c r="AA20" s="22" t="n">
        <f aca="false">IFERROR(Y20/X20,"")</f>
        <v>0.307692307692308</v>
      </c>
      <c r="AB20" s="16" t="n">
        <v>0</v>
      </c>
      <c r="AC20" s="21"/>
    </row>
    <row r="21" customFormat="false" ht="15" hidden="false" customHeight="true" outlineLevel="0" collapsed="false">
      <c r="A21" s="15" t="s">
        <v>197</v>
      </c>
      <c r="B21" s="15" t="s">
        <v>198</v>
      </c>
      <c r="C21" s="15" t="s">
        <v>199</v>
      </c>
      <c r="D21" s="15" t="s">
        <v>200</v>
      </c>
      <c r="E21" s="15" t="s">
        <v>201</v>
      </c>
      <c r="F21" s="15" t="s">
        <v>202</v>
      </c>
      <c r="G21" s="15" t="s">
        <v>203</v>
      </c>
      <c r="H21" s="15" t="s">
        <v>204</v>
      </c>
      <c r="I21" s="15"/>
      <c r="J21" s="15" t="s">
        <v>46</v>
      </c>
      <c r="K21" s="15" t="s">
        <v>47</v>
      </c>
      <c r="L21" s="15" t="s">
        <v>48</v>
      </c>
      <c r="M21" s="15" t="s">
        <v>205</v>
      </c>
      <c r="N21" s="15" t="s">
        <v>50</v>
      </c>
      <c r="O21" s="16" t="n">
        <v>59</v>
      </c>
      <c r="P21" s="16" t="n">
        <v>51</v>
      </c>
      <c r="Q21" s="16" t="n">
        <v>23</v>
      </c>
      <c r="R21" s="16" t="n">
        <v>3</v>
      </c>
      <c r="S21" s="16" t="n">
        <v>136</v>
      </c>
      <c r="T21" s="17" t="n">
        <f aca="false">AVERAGE(O21:Q21)</f>
        <v>44.3333333333333</v>
      </c>
      <c r="U21" s="18" t="str">
        <f aca="false">IF(T21&gt;=$H$3,"Eligible","Not Eligible")</f>
        <v>Eligible</v>
      </c>
      <c r="V21" s="19" t="n">
        <f aca="false">IF(T21&lt;$H$3,0,IFERROR(T21/SUMIF($T$5:$T$999,"&gt;="&amp;$H$3),0))</f>
        <v>0.0185598660340497</v>
      </c>
      <c r="W21" s="15" t="str">
        <f aca="false">IF(T21=0,"Win-Back","Active")</f>
        <v>Active</v>
      </c>
      <c r="X21" s="20" t="n">
        <f aca="false">IF(T21=0,0,IF(T21&gt;=$H$3,ROUND(T21*$D$3/SUMIF($T$5:$T$999,"&gt;="&amp;$H$3),0),ROUNDUP(T21*$D$3/SUMIF($T$5:$T$999,"&gt;="&amp;$H$3),0)))</f>
        <v>51</v>
      </c>
      <c r="Y21" s="21" t="n">
        <v>50</v>
      </c>
      <c r="Z21" s="16" t="n">
        <f aca="false">IF(X21=0,"",X21-Y21)</f>
        <v>1</v>
      </c>
      <c r="AA21" s="22" t="n">
        <f aca="false">IFERROR(Y21/X21,"")</f>
        <v>0.980392156862745</v>
      </c>
      <c r="AB21" s="16" t="n">
        <v>0</v>
      </c>
      <c r="AC21" s="21"/>
    </row>
    <row r="22" customFormat="false" ht="15" hidden="false" customHeight="true" outlineLevel="0" collapsed="false">
      <c r="A22" s="15" t="s">
        <v>206</v>
      </c>
      <c r="B22" s="15" t="s">
        <v>207</v>
      </c>
      <c r="C22" s="15" t="s">
        <v>208</v>
      </c>
      <c r="D22" s="15" t="s">
        <v>209</v>
      </c>
      <c r="E22" s="15" t="s">
        <v>210</v>
      </c>
      <c r="F22" s="15" t="s">
        <v>211</v>
      </c>
      <c r="G22" s="15" t="s">
        <v>212</v>
      </c>
      <c r="H22" s="15" t="s">
        <v>213</v>
      </c>
      <c r="I22" s="15"/>
      <c r="J22" s="15" t="s">
        <v>46</v>
      </c>
      <c r="K22" s="15" t="s">
        <v>47</v>
      </c>
      <c r="L22" s="15" t="s">
        <v>48</v>
      </c>
      <c r="M22" s="15" t="s">
        <v>214</v>
      </c>
      <c r="N22" s="15" t="s">
        <v>50</v>
      </c>
      <c r="O22" s="16" t="n">
        <v>41</v>
      </c>
      <c r="P22" s="16" t="n">
        <v>50</v>
      </c>
      <c r="Q22" s="16" t="n">
        <v>39</v>
      </c>
      <c r="R22" s="16" t="n">
        <v>7</v>
      </c>
      <c r="S22" s="16" t="n">
        <v>137</v>
      </c>
      <c r="T22" s="17" t="n">
        <f aca="false">AVERAGE(O22:Q22)</f>
        <v>43.3333333333333</v>
      </c>
      <c r="U22" s="18" t="str">
        <f aca="false">IF(T22&gt;=$H$3,"Eligible","Not Eligible")</f>
        <v>Eligible</v>
      </c>
      <c r="V22" s="19" t="n">
        <f aca="false">IF(T22&lt;$H$3,0,IFERROR(T22/SUMIF($T$5:$T$999,"&gt;="&amp;$H$3),0))</f>
        <v>0.0181412224392967</v>
      </c>
      <c r="W22" s="15" t="str">
        <f aca="false">IF(T22=0,"Win-Back","Active")</f>
        <v>Active</v>
      </c>
      <c r="X22" s="20" t="n">
        <f aca="false">IF(T22=0,0,IF(T22&gt;=$H$3,ROUND(T22*$D$3/SUMIF($T$5:$T$999,"&gt;="&amp;$H$3),0),ROUNDUP(T22*$D$3/SUMIF($T$5:$T$999,"&gt;="&amp;$H$3),0)))</f>
        <v>50</v>
      </c>
      <c r="Y22" s="21" t="n">
        <v>25</v>
      </c>
      <c r="Z22" s="16" t="n">
        <f aca="false">IF(X22=0,"",X22-Y22)</f>
        <v>25</v>
      </c>
      <c r="AA22" s="22" t="n">
        <f aca="false">IFERROR(Y22/X22,"")</f>
        <v>0.5</v>
      </c>
      <c r="AB22" s="16" t="n">
        <v>0</v>
      </c>
      <c r="AC22" s="21"/>
    </row>
    <row r="23" customFormat="false" ht="15" hidden="false" customHeight="true" outlineLevel="0" collapsed="false">
      <c r="A23" s="15" t="s">
        <v>215</v>
      </c>
      <c r="B23" s="15" t="s">
        <v>216</v>
      </c>
      <c r="C23" s="15" t="s">
        <v>217</v>
      </c>
      <c r="D23" s="15" t="s">
        <v>218</v>
      </c>
      <c r="E23" s="15" t="s">
        <v>219</v>
      </c>
      <c r="F23" s="15" t="s">
        <v>220</v>
      </c>
      <c r="G23" s="15" t="s">
        <v>221</v>
      </c>
      <c r="H23" s="15" t="s">
        <v>222</v>
      </c>
      <c r="I23" s="15"/>
      <c r="J23" s="15" t="s">
        <v>46</v>
      </c>
      <c r="K23" s="15" t="s">
        <v>47</v>
      </c>
      <c r="L23" s="15" t="s">
        <v>223</v>
      </c>
      <c r="M23" s="15" t="s">
        <v>224</v>
      </c>
      <c r="N23" s="15" t="s">
        <v>50</v>
      </c>
      <c r="O23" s="16" t="n">
        <v>26</v>
      </c>
      <c r="P23" s="16" t="n">
        <v>26</v>
      </c>
      <c r="Q23" s="16" t="n">
        <v>54</v>
      </c>
      <c r="R23" s="16" t="n">
        <v>1</v>
      </c>
      <c r="S23" s="16" t="n">
        <v>107</v>
      </c>
      <c r="T23" s="17" t="n">
        <f aca="false">AVERAGE(O23:Q23)</f>
        <v>35.3333333333333</v>
      </c>
      <c r="U23" s="18" t="str">
        <f aca="false">IF(T23&gt;=$H$3,"Eligible","Not Eligible")</f>
        <v>Eligible</v>
      </c>
      <c r="V23" s="19" t="n">
        <f aca="false">IF(T23&lt;$H$3,0,IFERROR(T23/SUMIF($T$5:$T$999,"&gt;="&amp;$H$3),0))</f>
        <v>0.0147920736812727</v>
      </c>
      <c r="W23" s="15" t="str">
        <f aca="false">IF(T23=0,"Win-Back","Active")</f>
        <v>Active</v>
      </c>
      <c r="X23" s="20" t="n">
        <f aca="false">IF(T23=0,0,IF(T23&gt;=$H$3,ROUND(T23*$D$3/SUMIF($T$5:$T$999,"&gt;="&amp;$H$3),0),ROUNDUP(T23*$D$3/SUMIF($T$5:$T$999,"&gt;="&amp;$H$3),0)))</f>
        <v>41</v>
      </c>
      <c r="Y23" s="21" t="n">
        <v>12</v>
      </c>
      <c r="Z23" s="16" t="n">
        <f aca="false">IF(X23=0,"",X23-Y23)</f>
        <v>29</v>
      </c>
      <c r="AA23" s="22" t="n">
        <f aca="false">IFERROR(Y23/X23,"")</f>
        <v>0.292682926829268</v>
      </c>
      <c r="AB23" s="16" t="n">
        <v>0</v>
      </c>
      <c r="AC23" s="21" t="n">
        <v>3</v>
      </c>
    </row>
    <row r="24" customFormat="false" ht="15" hidden="false" customHeight="true" outlineLevel="0" collapsed="false">
      <c r="A24" s="15" t="s">
        <v>225</v>
      </c>
      <c r="B24" s="15" t="s">
        <v>226</v>
      </c>
      <c r="C24" s="15" t="s">
        <v>227</v>
      </c>
      <c r="D24" s="15" t="s">
        <v>228</v>
      </c>
      <c r="E24" s="15" t="s">
        <v>229</v>
      </c>
      <c r="F24" s="15" t="s">
        <v>230</v>
      </c>
      <c r="G24" s="15" t="s">
        <v>231</v>
      </c>
      <c r="H24" s="15" t="s">
        <v>232</v>
      </c>
      <c r="I24" s="15"/>
      <c r="J24" s="15" t="s">
        <v>233</v>
      </c>
      <c r="K24" s="15" t="s">
        <v>234</v>
      </c>
      <c r="L24" s="15" t="s">
        <v>235</v>
      </c>
      <c r="M24" s="15" t="s">
        <v>236</v>
      </c>
      <c r="N24" s="15" t="s">
        <v>73</v>
      </c>
      <c r="O24" s="16" t="n">
        <v>32</v>
      </c>
      <c r="P24" s="16" t="n">
        <v>41</v>
      </c>
      <c r="Q24" s="16" t="n">
        <v>30</v>
      </c>
      <c r="R24" s="16" t="n">
        <v>10</v>
      </c>
      <c r="S24" s="16" t="n">
        <v>113</v>
      </c>
      <c r="T24" s="17" t="n">
        <f aca="false">AVERAGE(O24:Q24)</f>
        <v>34.3333333333333</v>
      </c>
      <c r="U24" s="18" t="str">
        <f aca="false">IF(T24&gt;=$H$3,"Eligible","Not Eligible")</f>
        <v>Eligible</v>
      </c>
      <c r="V24" s="19" t="n">
        <f aca="false">IF(T24&lt;$H$3,0,IFERROR(T24/SUMIF($T$5:$T$999,"&gt;="&amp;$H$3),0))</f>
        <v>0.0143734300865197</v>
      </c>
      <c r="W24" s="15" t="str">
        <f aca="false">IF(T24=0,"Win-Back","Active")</f>
        <v>Active</v>
      </c>
      <c r="X24" s="20" t="n">
        <f aca="false">IF(T24=0,0,IF(T24&gt;=$H$3,ROUND(T24*$D$3/SUMIF($T$5:$T$999,"&gt;="&amp;$H$3),0),ROUNDUP(T24*$D$3/SUMIF($T$5:$T$999,"&gt;="&amp;$H$3),0)))</f>
        <v>40</v>
      </c>
      <c r="Y24" s="21" t="n">
        <v>40</v>
      </c>
      <c r="Z24" s="16" t="n">
        <f aca="false">IF(X24=0,"",X24-Y24)</f>
        <v>0</v>
      </c>
      <c r="AA24" s="22" t="n">
        <f aca="false">IFERROR(Y24/X24,"")</f>
        <v>1</v>
      </c>
      <c r="AB24" s="16" t="n">
        <v>0</v>
      </c>
      <c r="AC24" s="21"/>
    </row>
    <row r="25" customFormat="false" ht="15" hidden="false" customHeight="true" outlineLevel="0" collapsed="false">
      <c r="A25" s="15" t="s">
        <v>237</v>
      </c>
      <c r="B25" s="15" t="s">
        <v>238</v>
      </c>
      <c r="C25" s="15" t="s">
        <v>239</v>
      </c>
      <c r="D25" s="15" t="s">
        <v>240</v>
      </c>
      <c r="E25" s="15" t="s">
        <v>173</v>
      </c>
      <c r="F25" s="15" t="s">
        <v>241</v>
      </c>
      <c r="G25" s="15" t="s">
        <v>242</v>
      </c>
      <c r="H25" s="15" t="s">
        <v>243</v>
      </c>
      <c r="I25" s="15"/>
      <c r="J25" s="15" t="s">
        <v>244</v>
      </c>
      <c r="K25" s="15" t="s">
        <v>47</v>
      </c>
      <c r="L25" s="15" t="s">
        <v>245</v>
      </c>
      <c r="M25" s="15" t="s">
        <v>246</v>
      </c>
      <c r="N25" s="15" t="s">
        <v>50</v>
      </c>
      <c r="O25" s="16" t="n">
        <v>34</v>
      </c>
      <c r="P25" s="16" t="n">
        <v>32</v>
      </c>
      <c r="Q25" s="16" t="n">
        <v>25</v>
      </c>
      <c r="R25" s="16" t="n">
        <v>4</v>
      </c>
      <c r="S25" s="16" t="n">
        <v>95</v>
      </c>
      <c r="T25" s="17" t="n">
        <f aca="false">AVERAGE(O25:Q25)</f>
        <v>30.3333333333333</v>
      </c>
      <c r="U25" s="18" t="str">
        <f aca="false">IF(T25&gt;=$H$3,"Eligible","Not Eligible")</f>
        <v>Eligible</v>
      </c>
      <c r="V25" s="19" t="n">
        <f aca="false">IF(T25&lt;$H$3,0,IFERROR(T25/SUMIF($T$5:$T$999,"&gt;="&amp;$H$3),0))</f>
        <v>0.0126988557075077</v>
      </c>
      <c r="W25" s="15" t="str">
        <f aca="false">IF(T25=0,"Win-Back","Active")</f>
        <v>Active</v>
      </c>
      <c r="X25" s="20" t="n">
        <f aca="false">IF(T25=0,0,IF(T25&gt;=$H$3,ROUND(T25*$D$3/SUMIF($T$5:$T$999,"&gt;="&amp;$H$3),0),ROUNDUP(T25*$D$3/SUMIF($T$5:$T$999,"&gt;="&amp;$H$3),0)))</f>
        <v>35</v>
      </c>
      <c r="Y25" s="21" t="n">
        <v>28</v>
      </c>
      <c r="Z25" s="16" t="n">
        <f aca="false">IF(X25=0,"",X25-Y25)</f>
        <v>7</v>
      </c>
      <c r="AA25" s="22" t="n">
        <f aca="false">IFERROR(Y25/X25,"")</f>
        <v>0.8</v>
      </c>
      <c r="AB25" s="16" t="n">
        <v>5</v>
      </c>
      <c r="AC25" s="21" t="n">
        <v>4</v>
      </c>
    </row>
    <row r="26" customFormat="false" ht="15" hidden="false" customHeight="true" outlineLevel="0" collapsed="false">
      <c r="A26" s="15" t="s">
        <v>247</v>
      </c>
      <c r="B26" s="15" t="s">
        <v>248</v>
      </c>
      <c r="C26" s="15" t="s">
        <v>249</v>
      </c>
      <c r="D26" s="15" t="s">
        <v>250</v>
      </c>
      <c r="E26" s="15" t="s">
        <v>251</v>
      </c>
      <c r="F26" s="15" t="s">
        <v>252</v>
      </c>
      <c r="G26" s="15" t="s">
        <v>253</v>
      </c>
      <c r="H26" s="15" t="s">
        <v>254</v>
      </c>
      <c r="I26" s="15" t="s">
        <v>255</v>
      </c>
      <c r="J26" s="15" t="s">
        <v>82</v>
      </c>
      <c r="K26" s="15" t="s">
        <v>47</v>
      </c>
      <c r="L26" s="15" t="s">
        <v>83</v>
      </c>
      <c r="M26" s="15" t="s">
        <v>256</v>
      </c>
      <c r="N26" s="15" t="s">
        <v>50</v>
      </c>
      <c r="O26" s="16" t="n">
        <v>20</v>
      </c>
      <c r="P26" s="16" t="n">
        <v>19</v>
      </c>
      <c r="Q26" s="16" t="n">
        <v>38</v>
      </c>
      <c r="R26" s="16" t="n">
        <v>13</v>
      </c>
      <c r="S26" s="16" t="n">
        <v>90</v>
      </c>
      <c r="T26" s="17" t="n">
        <f aca="false">AVERAGE(O26:Q26)</f>
        <v>25.6666666666667</v>
      </c>
      <c r="U26" s="18" t="str">
        <f aca="false">IF(T26&gt;=$H$3,"Eligible","Not Eligible")</f>
        <v>Eligible</v>
      </c>
      <c r="V26" s="19" t="n">
        <f aca="false">IF(T26&lt;$H$3,0,IFERROR(T26/SUMIF($T$5:$T$999,"&gt;="&amp;$H$3),0))</f>
        <v>0.0107451855986603</v>
      </c>
      <c r="W26" s="15" t="str">
        <f aca="false">IF(T26=0,"Win-Back","Active")</f>
        <v>Active</v>
      </c>
      <c r="X26" s="20" t="n">
        <f aca="false">IF(T26=0,0,IF(T26&gt;=$H$3,ROUND(T26*$D$3/SUMIF($T$5:$T$999,"&gt;="&amp;$H$3),0),ROUNDUP(T26*$D$3/SUMIF($T$5:$T$999,"&gt;="&amp;$H$3),0)))</f>
        <v>30</v>
      </c>
      <c r="Y26" s="21" t="n">
        <v>6</v>
      </c>
      <c r="Z26" s="16" t="n">
        <f aca="false">IF(X26=0,"",X26-Y26)</f>
        <v>24</v>
      </c>
      <c r="AA26" s="22" t="n">
        <f aca="false">IFERROR(Y26/X26,"")</f>
        <v>0.2</v>
      </c>
      <c r="AB26" s="16" t="n">
        <v>0</v>
      </c>
      <c r="AC26" s="21"/>
    </row>
    <row r="27" customFormat="false" ht="15" hidden="false" customHeight="true" outlineLevel="0" collapsed="false">
      <c r="A27" s="15" t="s">
        <v>257</v>
      </c>
      <c r="B27" s="15" t="s">
        <v>258</v>
      </c>
      <c r="C27" s="15" t="s">
        <v>259</v>
      </c>
      <c r="D27" s="15" t="s">
        <v>260</v>
      </c>
      <c r="E27" s="15" t="s">
        <v>261</v>
      </c>
      <c r="F27" s="15" t="s">
        <v>262</v>
      </c>
      <c r="G27" s="15" t="s">
        <v>263</v>
      </c>
      <c r="H27" s="15" t="s">
        <v>264</v>
      </c>
      <c r="I27" s="15"/>
      <c r="J27" s="15" t="s">
        <v>265</v>
      </c>
      <c r="K27" s="15" t="s">
        <v>47</v>
      </c>
      <c r="L27" s="15" t="s">
        <v>266</v>
      </c>
      <c r="M27" s="15" t="s">
        <v>267</v>
      </c>
      <c r="N27" s="15" t="s">
        <v>50</v>
      </c>
      <c r="O27" s="16" t="n">
        <v>24</v>
      </c>
      <c r="P27" s="16" t="n">
        <v>32</v>
      </c>
      <c r="Q27" s="16" t="n">
        <v>20</v>
      </c>
      <c r="R27" s="16" t="n">
        <v>4</v>
      </c>
      <c r="S27" s="16" t="n">
        <v>80</v>
      </c>
      <c r="T27" s="17" t="n">
        <f aca="false">AVERAGE(O27:Q27)</f>
        <v>25.3333333333333</v>
      </c>
      <c r="U27" s="18" t="str">
        <f aca="false">IF(T27&gt;=$H$3,"Eligible","Not Eligible")</f>
        <v>Eligible</v>
      </c>
      <c r="V27" s="19" t="n">
        <f aca="false">IF(T27&lt;$H$3,0,IFERROR(T27/SUMIF($T$5:$T$999,"&gt;="&amp;$H$3),0))</f>
        <v>0.0106056377337427</v>
      </c>
      <c r="W27" s="15" t="str">
        <f aca="false">IF(T27=0,"Win-Back","Active")</f>
        <v>Active</v>
      </c>
      <c r="X27" s="20" t="n">
        <f aca="false">IF(T27=0,0,IF(T27&gt;=$H$3,ROUND(T27*$D$3/SUMIF($T$5:$T$999,"&gt;="&amp;$H$3),0),ROUNDUP(T27*$D$3/SUMIF($T$5:$T$999,"&gt;="&amp;$H$3),0)))</f>
        <v>29</v>
      </c>
      <c r="Y27" s="21" t="n">
        <v>33</v>
      </c>
      <c r="Z27" s="16" t="n">
        <f aca="false">IF(X27=0,"",X27-Y27)</f>
        <v>-4</v>
      </c>
      <c r="AA27" s="22" t="n">
        <f aca="false">IFERROR(Y27/X27,"")</f>
        <v>1.13793103448276</v>
      </c>
      <c r="AB27" s="16" t="n">
        <v>0</v>
      </c>
      <c r="AC27" s="21"/>
    </row>
    <row r="28" customFormat="false" ht="15" hidden="false" customHeight="true" outlineLevel="0" collapsed="false">
      <c r="A28" s="15" t="s">
        <v>268</v>
      </c>
      <c r="B28" s="15" t="s">
        <v>269</v>
      </c>
      <c r="C28" s="15" t="s">
        <v>270</v>
      </c>
      <c r="D28" s="15" t="s">
        <v>271</v>
      </c>
      <c r="E28" s="15" t="s">
        <v>272</v>
      </c>
      <c r="F28" s="15" t="s">
        <v>273</v>
      </c>
      <c r="G28" s="15" t="s">
        <v>274</v>
      </c>
      <c r="H28" s="15" t="s">
        <v>275</v>
      </c>
      <c r="I28" s="15"/>
      <c r="J28" s="15" t="s">
        <v>46</v>
      </c>
      <c r="K28" s="15" t="s">
        <v>47</v>
      </c>
      <c r="L28" s="15" t="s">
        <v>48</v>
      </c>
      <c r="M28" s="15" t="s">
        <v>276</v>
      </c>
      <c r="N28" s="15" t="s">
        <v>50</v>
      </c>
      <c r="O28" s="16" t="n">
        <v>12</v>
      </c>
      <c r="P28" s="16" t="n">
        <v>28</v>
      </c>
      <c r="Q28" s="16" t="n">
        <v>33</v>
      </c>
      <c r="R28" s="16" t="n">
        <v>6</v>
      </c>
      <c r="S28" s="16" t="n">
        <v>79</v>
      </c>
      <c r="T28" s="17" t="n">
        <f aca="false">AVERAGE(O28:Q28)</f>
        <v>24.3333333333333</v>
      </c>
      <c r="U28" s="18" t="str">
        <f aca="false">IF(T28&gt;=$H$3,"Eligible","Not Eligible")</f>
        <v>Eligible</v>
      </c>
      <c r="V28" s="19" t="n">
        <f aca="false">IF(T28&lt;$H$3,0,IFERROR(T28/SUMIF($T$5:$T$999,"&gt;="&amp;$H$3),0))</f>
        <v>0.0101869941389897</v>
      </c>
      <c r="W28" s="15" t="str">
        <f aca="false">IF(T28=0,"Win-Back","Active")</f>
        <v>Active</v>
      </c>
      <c r="X28" s="20" t="n">
        <f aca="false">IF(T28=0,0,IF(T28&gt;=$H$3,ROUND(T28*$D$3/SUMIF($T$5:$T$999,"&gt;="&amp;$H$3),0),ROUNDUP(T28*$D$3/SUMIF($T$5:$T$999,"&gt;="&amp;$H$3),0)))</f>
        <v>28</v>
      </c>
      <c r="Y28" s="21" t="n">
        <v>39</v>
      </c>
      <c r="Z28" s="16" t="n">
        <f aca="false">IF(X28=0,"",X28-Y28)</f>
        <v>-11</v>
      </c>
      <c r="AA28" s="22" t="n">
        <f aca="false">IFERROR(Y28/X28,"")</f>
        <v>1.39285714285714</v>
      </c>
      <c r="AB28" s="16" t="n">
        <v>5</v>
      </c>
      <c r="AC28" s="21"/>
    </row>
    <row r="29" customFormat="false" ht="15" hidden="false" customHeight="true" outlineLevel="0" collapsed="false">
      <c r="A29" s="15" t="s">
        <v>277</v>
      </c>
      <c r="B29" s="15" t="s">
        <v>278</v>
      </c>
      <c r="C29" s="15" t="s">
        <v>279</v>
      </c>
      <c r="D29" s="15" t="s">
        <v>280</v>
      </c>
      <c r="E29" s="15" t="s">
        <v>281</v>
      </c>
      <c r="F29" s="15" t="s">
        <v>282</v>
      </c>
      <c r="G29" s="15" t="s">
        <v>283</v>
      </c>
      <c r="H29" s="15" t="s">
        <v>284</v>
      </c>
      <c r="I29" s="15" t="s">
        <v>285</v>
      </c>
      <c r="J29" s="15" t="s">
        <v>286</v>
      </c>
      <c r="K29" s="15" t="s">
        <v>70</v>
      </c>
      <c r="L29" s="15" t="s">
        <v>287</v>
      </c>
      <c r="M29" s="15" t="s">
        <v>288</v>
      </c>
      <c r="N29" s="15" t="s">
        <v>73</v>
      </c>
      <c r="O29" s="16" t="n">
        <v>19</v>
      </c>
      <c r="P29" s="16" t="n">
        <v>23</v>
      </c>
      <c r="Q29" s="16" t="n">
        <v>26</v>
      </c>
      <c r="R29" s="16" t="n">
        <v>5</v>
      </c>
      <c r="S29" s="16" t="n">
        <v>73</v>
      </c>
      <c r="T29" s="17" t="n">
        <f aca="false">AVERAGE(O29:Q29)</f>
        <v>22.6666666666667</v>
      </c>
      <c r="U29" s="18" t="str">
        <f aca="false">IF(T29&gt;=$H$3,"Eligible","Not Eligible")</f>
        <v>Eligible</v>
      </c>
      <c r="V29" s="19" t="n">
        <f aca="false">IF(T29&lt;$H$3,0,IFERROR(T29/SUMIF($T$5:$T$999,"&gt;="&amp;$H$3),0))</f>
        <v>0.00948925481440134</v>
      </c>
      <c r="W29" s="15" t="str">
        <f aca="false">IF(T29=0,"Win-Back","Active")</f>
        <v>Active</v>
      </c>
      <c r="X29" s="20" t="n">
        <f aca="false">IF(T29=0,0,IF(T29&gt;=$H$3,ROUND(T29*$D$3/SUMIF($T$5:$T$999,"&gt;="&amp;$H$3),0),ROUNDUP(T29*$D$3/SUMIF($T$5:$T$999,"&gt;="&amp;$H$3),0)))</f>
        <v>26</v>
      </c>
      <c r="Y29" s="21" t="n">
        <v>11</v>
      </c>
      <c r="Z29" s="16" t="n">
        <f aca="false">IF(X29=0,"",X29-Y29)</f>
        <v>15</v>
      </c>
      <c r="AA29" s="22" t="n">
        <f aca="false">IFERROR(Y29/X29,"")</f>
        <v>0.423076923076923</v>
      </c>
      <c r="AB29" s="16" t="n">
        <v>0</v>
      </c>
      <c r="AC29" s="21"/>
    </row>
    <row r="30" customFormat="false" ht="15" hidden="false" customHeight="true" outlineLevel="0" collapsed="false">
      <c r="A30" s="15" t="s">
        <v>289</v>
      </c>
      <c r="B30" s="15" t="s">
        <v>290</v>
      </c>
      <c r="C30" s="15" t="s">
        <v>291</v>
      </c>
      <c r="D30" s="15" t="s">
        <v>292</v>
      </c>
      <c r="E30" s="15" t="s">
        <v>293</v>
      </c>
      <c r="F30" s="15" t="s">
        <v>294</v>
      </c>
      <c r="G30" s="15" t="s">
        <v>295</v>
      </c>
      <c r="H30" s="15" t="s">
        <v>296</v>
      </c>
      <c r="I30" s="15"/>
      <c r="J30" s="15" t="s">
        <v>297</v>
      </c>
      <c r="K30" s="15" t="s">
        <v>298</v>
      </c>
      <c r="L30" s="15" t="s">
        <v>299</v>
      </c>
      <c r="M30" s="15" t="s">
        <v>300</v>
      </c>
      <c r="N30" s="15" t="s">
        <v>73</v>
      </c>
      <c r="O30" s="16" t="n">
        <v>17</v>
      </c>
      <c r="P30" s="16" t="n">
        <v>21</v>
      </c>
      <c r="Q30" s="16" t="n">
        <v>30</v>
      </c>
      <c r="R30" s="16" t="n">
        <v>0</v>
      </c>
      <c r="S30" s="16" t="n">
        <v>68</v>
      </c>
      <c r="T30" s="17" t="n">
        <f aca="false">AVERAGE(O30:Q30)</f>
        <v>22.6666666666667</v>
      </c>
      <c r="U30" s="18" t="str">
        <f aca="false">IF(T30&gt;=$H$3,"Eligible","Not Eligible")</f>
        <v>Eligible</v>
      </c>
      <c r="V30" s="19" t="n">
        <f aca="false">IF(T30&lt;$H$3,0,IFERROR(T30/SUMIF($T$5:$T$999,"&gt;="&amp;$H$3),0))</f>
        <v>0.00948925481440134</v>
      </c>
      <c r="W30" s="15" t="str">
        <f aca="false">IF(T30=0,"Win-Back","Active")</f>
        <v>Active</v>
      </c>
      <c r="X30" s="20" t="n">
        <f aca="false">IF(T30=0,0,IF(T30&gt;=$H$3,ROUND(T30*$D$3/SUMIF($T$5:$T$999,"&gt;="&amp;$H$3),0),ROUNDUP(T30*$D$3/SUMIF($T$5:$T$999,"&gt;="&amp;$H$3),0)))</f>
        <v>26</v>
      </c>
      <c r="Y30" s="21" t="n">
        <v>22</v>
      </c>
      <c r="Z30" s="16" t="n">
        <f aca="false">IF(X30=0,"",X30-Y30)</f>
        <v>4</v>
      </c>
      <c r="AA30" s="22" t="n">
        <f aca="false">IFERROR(Y30/X30,"")</f>
        <v>0.846153846153846</v>
      </c>
      <c r="AB30" s="16" t="n">
        <v>0</v>
      </c>
      <c r="AC30" s="21"/>
    </row>
    <row r="31" customFormat="false" ht="15" hidden="false" customHeight="true" outlineLevel="0" collapsed="false">
      <c r="A31" s="15" t="s">
        <v>301</v>
      </c>
      <c r="B31" s="15" t="s">
        <v>302</v>
      </c>
      <c r="C31" s="15" t="s">
        <v>303</v>
      </c>
      <c r="D31" s="15" t="s">
        <v>304</v>
      </c>
      <c r="E31" s="15" t="s">
        <v>305</v>
      </c>
      <c r="F31" s="15" t="s">
        <v>306</v>
      </c>
      <c r="G31" s="15" t="s">
        <v>307</v>
      </c>
      <c r="H31" s="15" t="s">
        <v>308</v>
      </c>
      <c r="I31" s="15" t="s">
        <v>309</v>
      </c>
      <c r="J31" s="15" t="s">
        <v>310</v>
      </c>
      <c r="K31" s="15" t="s">
        <v>70</v>
      </c>
      <c r="L31" s="15" t="s">
        <v>311</v>
      </c>
      <c r="M31" s="15" t="s">
        <v>312</v>
      </c>
      <c r="N31" s="15" t="s">
        <v>73</v>
      </c>
      <c r="O31" s="16" t="n">
        <v>18</v>
      </c>
      <c r="P31" s="16" t="n">
        <v>30</v>
      </c>
      <c r="Q31" s="16" t="n">
        <v>15</v>
      </c>
      <c r="R31" s="16" t="n">
        <v>4</v>
      </c>
      <c r="S31" s="16" t="n">
        <v>67</v>
      </c>
      <c r="T31" s="17" t="n">
        <f aca="false">AVERAGE(O31:Q31)</f>
        <v>21</v>
      </c>
      <c r="U31" s="18" t="str">
        <f aca="false">IF(T31&gt;=$H$3,"Eligible","Not Eligible")</f>
        <v>Eligible</v>
      </c>
      <c r="V31" s="19" t="n">
        <f aca="false">IF(T31&lt;$H$3,0,IFERROR(T31/SUMIF($T$5:$T$999,"&gt;="&amp;$H$3),0))</f>
        <v>0.00879151548981301</v>
      </c>
      <c r="W31" s="15" t="str">
        <f aca="false">IF(T31=0,"Win-Back","Active")</f>
        <v>Active</v>
      </c>
      <c r="X31" s="20" t="n">
        <f aca="false">IF(T31=0,0,IF(T31&gt;=$H$3,ROUND(T31*$D$3/SUMIF($T$5:$T$999,"&gt;="&amp;$H$3),0),ROUNDUP(T31*$D$3/SUMIF($T$5:$T$999,"&gt;="&amp;$H$3),0)))</f>
        <v>24</v>
      </c>
      <c r="Y31" s="21" t="n">
        <v>18</v>
      </c>
      <c r="Z31" s="16" t="n">
        <f aca="false">IF(X31=0,"",X31-Y31)</f>
        <v>6</v>
      </c>
      <c r="AA31" s="22" t="n">
        <f aca="false">IFERROR(Y31/X31,"")</f>
        <v>0.75</v>
      </c>
      <c r="AB31" s="16" t="n">
        <v>0</v>
      </c>
      <c r="AC31" s="21"/>
    </row>
    <row r="32" customFormat="false" ht="15" hidden="false" customHeight="true" outlineLevel="0" collapsed="false">
      <c r="A32" s="15" t="s">
        <v>313</v>
      </c>
      <c r="B32" s="15" t="s">
        <v>314</v>
      </c>
      <c r="C32" s="15" t="s">
        <v>315</v>
      </c>
      <c r="D32" s="15" t="s">
        <v>316</v>
      </c>
      <c r="E32" s="15" t="s">
        <v>317</v>
      </c>
      <c r="F32" s="15" t="s">
        <v>318</v>
      </c>
      <c r="G32" s="15" t="s">
        <v>319</v>
      </c>
      <c r="H32" s="15" t="s">
        <v>320</v>
      </c>
      <c r="I32" s="15"/>
      <c r="J32" s="15" t="s">
        <v>321</v>
      </c>
      <c r="K32" s="15" t="s">
        <v>47</v>
      </c>
      <c r="L32" s="15" t="s">
        <v>93</v>
      </c>
      <c r="M32" s="15" t="s">
        <v>322</v>
      </c>
      <c r="N32" s="15" t="s">
        <v>50</v>
      </c>
      <c r="O32" s="16" t="n">
        <v>6</v>
      </c>
      <c r="P32" s="16" t="n">
        <v>41</v>
      </c>
      <c r="Q32" s="16" t="n">
        <v>15</v>
      </c>
      <c r="R32" s="16" t="n">
        <v>0</v>
      </c>
      <c r="S32" s="16" t="n">
        <v>62</v>
      </c>
      <c r="T32" s="17" t="n">
        <f aca="false">AVERAGE(O32:Q32)</f>
        <v>20.6666666666667</v>
      </c>
      <c r="U32" s="18" t="str">
        <f aca="false">IF(T32&gt;=$H$3,"Eligible","Not Eligible")</f>
        <v>Eligible</v>
      </c>
      <c r="V32" s="19" t="n">
        <f aca="false">IF(T32&lt;$H$3,0,IFERROR(T32/SUMIF($T$5:$T$999,"&gt;="&amp;$H$3),0))</f>
        <v>0.00865196762489534</v>
      </c>
      <c r="W32" s="15" t="str">
        <f aca="false">IF(T32=0,"Win-Back","Active")</f>
        <v>Active</v>
      </c>
      <c r="X32" s="20" t="n">
        <f aca="false">IF(T32=0,0,IF(T32&gt;=$H$3,ROUND(T32*$D$3/SUMIF($T$5:$T$999,"&gt;="&amp;$H$3),0),ROUNDUP(T32*$D$3/SUMIF($T$5:$T$999,"&gt;="&amp;$H$3),0)))</f>
        <v>24</v>
      </c>
      <c r="Y32" s="21" t="n">
        <v>5</v>
      </c>
      <c r="Z32" s="16" t="n">
        <f aca="false">IF(X32=0,"",X32-Y32)</f>
        <v>19</v>
      </c>
      <c r="AA32" s="22" t="n">
        <f aca="false">IFERROR(Y32/X32,"")</f>
        <v>0.208333333333333</v>
      </c>
      <c r="AB32" s="16" t="n">
        <v>15</v>
      </c>
      <c r="AC32" s="21" t="n">
        <v>4</v>
      </c>
    </row>
    <row r="33" customFormat="false" ht="15" hidden="false" customHeight="true" outlineLevel="0" collapsed="false">
      <c r="A33" s="15" t="s">
        <v>323</v>
      </c>
      <c r="B33" s="15" t="s">
        <v>324</v>
      </c>
      <c r="C33" s="15" t="s">
        <v>325</v>
      </c>
      <c r="D33" s="15" t="s">
        <v>326</v>
      </c>
      <c r="E33" s="15" t="s">
        <v>327</v>
      </c>
      <c r="F33" s="15" t="s">
        <v>328</v>
      </c>
      <c r="G33" s="15" t="s">
        <v>329</v>
      </c>
      <c r="H33" s="15" t="s">
        <v>330</v>
      </c>
      <c r="I33" s="15" t="s">
        <v>331</v>
      </c>
      <c r="J33" s="15" t="s">
        <v>46</v>
      </c>
      <c r="K33" s="15" t="s">
        <v>47</v>
      </c>
      <c r="L33" s="15" t="s">
        <v>48</v>
      </c>
      <c r="M33" s="15" t="s">
        <v>332</v>
      </c>
      <c r="N33" s="15" t="s">
        <v>50</v>
      </c>
      <c r="O33" s="16" t="n">
        <v>37</v>
      </c>
      <c r="P33" s="16" t="n">
        <v>6</v>
      </c>
      <c r="Q33" s="16" t="n">
        <v>16</v>
      </c>
      <c r="R33" s="16" t="n">
        <v>1</v>
      </c>
      <c r="S33" s="16" t="n">
        <v>60</v>
      </c>
      <c r="T33" s="17" t="n">
        <f aca="false">AVERAGE(O33:Q33)</f>
        <v>19.6666666666667</v>
      </c>
      <c r="U33" s="18" t="str">
        <f aca="false">IF(T33&gt;=$H$3,"Eligible","Not Eligible")</f>
        <v>Eligible</v>
      </c>
      <c r="V33" s="19" t="n">
        <f aca="false">IF(T33&lt;$H$3,0,IFERROR(T33/SUMIF($T$5:$T$999,"&gt;="&amp;$H$3),0))</f>
        <v>0.00823332403014234</v>
      </c>
      <c r="W33" s="15" t="str">
        <f aca="false">IF(T33=0,"Win-Back","Active")</f>
        <v>Active</v>
      </c>
      <c r="X33" s="20" t="n">
        <f aca="false">IF(T33=0,0,IF(T33&gt;=$H$3,ROUND(T33*$D$3/SUMIF($T$5:$T$999,"&gt;="&amp;$H$3),0),ROUNDUP(T33*$D$3/SUMIF($T$5:$T$999,"&gt;="&amp;$H$3),0)))</f>
        <v>23</v>
      </c>
      <c r="Y33" s="21" t="n">
        <v>55</v>
      </c>
      <c r="Z33" s="16" t="n">
        <f aca="false">IF(X33=0,"",X33-Y33)</f>
        <v>-32</v>
      </c>
      <c r="AA33" s="22" t="n">
        <f aca="false">IFERROR(Y33/X33,"")</f>
        <v>2.39130434782609</v>
      </c>
      <c r="AB33" s="16" t="n">
        <v>6</v>
      </c>
      <c r="AC33" s="21"/>
    </row>
    <row r="34" customFormat="false" ht="15" hidden="false" customHeight="true" outlineLevel="0" collapsed="false">
      <c r="A34" s="15" t="s">
        <v>333</v>
      </c>
      <c r="B34" s="15" t="s">
        <v>334</v>
      </c>
      <c r="C34" s="15" t="s">
        <v>335</v>
      </c>
      <c r="D34" s="15" t="s">
        <v>336</v>
      </c>
      <c r="E34" s="15" t="s">
        <v>337</v>
      </c>
      <c r="F34" s="15" t="s">
        <v>338</v>
      </c>
      <c r="G34" s="15" t="s">
        <v>339</v>
      </c>
      <c r="H34" s="15" t="s">
        <v>340</v>
      </c>
      <c r="I34" s="15" t="s">
        <v>341</v>
      </c>
      <c r="J34" s="15" t="s">
        <v>342</v>
      </c>
      <c r="K34" s="15" t="s">
        <v>343</v>
      </c>
      <c r="L34" s="15" t="s">
        <v>344</v>
      </c>
      <c r="M34" s="15" t="s">
        <v>345</v>
      </c>
      <c r="N34" s="15" t="s">
        <v>346</v>
      </c>
      <c r="O34" s="16" t="n">
        <v>9</v>
      </c>
      <c r="P34" s="16" t="n">
        <v>49</v>
      </c>
      <c r="Q34" s="16" t="n">
        <v>1</v>
      </c>
      <c r="R34" s="16" t="n">
        <v>0</v>
      </c>
      <c r="S34" s="16" t="n">
        <v>59</v>
      </c>
      <c r="T34" s="17" t="n">
        <f aca="false">AVERAGE(O34:Q34)</f>
        <v>19.6666666666667</v>
      </c>
      <c r="U34" s="18" t="str">
        <f aca="false">IF(T34&gt;=$H$3,"Eligible","Not Eligible")</f>
        <v>Eligible</v>
      </c>
      <c r="V34" s="19" t="n">
        <f aca="false">IF(T34&lt;$H$3,0,IFERROR(T34/SUMIF($T$5:$T$999,"&gt;="&amp;$H$3),0))</f>
        <v>0.00823332403014234</v>
      </c>
      <c r="W34" s="15" t="str">
        <f aca="false">IF(T34=0,"Win-Back","Active")</f>
        <v>Active</v>
      </c>
      <c r="X34" s="20" t="n">
        <f aca="false">IF(T34=0,0,IF(T34&gt;=$H$3,ROUND(T34*$D$3/SUMIF($T$5:$T$999,"&gt;="&amp;$H$3),0),ROUNDUP(T34*$D$3/SUMIF($T$5:$T$999,"&gt;="&amp;$H$3),0)))</f>
        <v>23</v>
      </c>
      <c r="Y34" s="21" t="n">
        <v>3</v>
      </c>
      <c r="Z34" s="16" t="n">
        <f aca="false">IF(X34=0,"",X34-Y34)</f>
        <v>20</v>
      </c>
      <c r="AA34" s="22" t="n">
        <f aca="false">IFERROR(Y34/X34,"")</f>
        <v>0.130434782608696</v>
      </c>
      <c r="AB34" s="16" t="n">
        <v>0</v>
      </c>
      <c r="AC34" s="21"/>
    </row>
    <row r="35" customFormat="false" ht="15" hidden="false" customHeight="true" outlineLevel="0" collapsed="false">
      <c r="A35" s="15" t="s">
        <v>347</v>
      </c>
      <c r="B35" s="15" t="s">
        <v>348</v>
      </c>
      <c r="C35" s="15" t="s">
        <v>349</v>
      </c>
      <c r="D35" s="15" t="s">
        <v>350</v>
      </c>
      <c r="E35" s="15" t="s">
        <v>351</v>
      </c>
      <c r="F35" s="15" t="s">
        <v>352</v>
      </c>
      <c r="G35" s="15" t="s">
        <v>353</v>
      </c>
      <c r="H35" s="15" t="s">
        <v>354</v>
      </c>
      <c r="I35" s="15"/>
      <c r="J35" s="15" t="s">
        <v>355</v>
      </c>
      <c r="K35" s="15" t="s">
        <v>70</v>
      </c>
      <c r="L35" s="15" t="s">
        <v>356</v>
      </c>
      <c r="M35" s="15" t="s">
        <v>357</v>
      </c>
      <c r="N35" s="15" t="s">
        <v>73</v>
      </c>
      <c r="O35" s="16" t="n">
        <v>2</v>
      </c>
      <c r="P35" s="16" t="n">
        <v>0</v>
      </c>
      <c r="Q35" s="16" t="n">
        <v>53</v>
      </c>
      <c r="R35" s="16" t="n">
        <v>0</v>
      </c>
      <c r="S35" s="16" t="n">
        <v>55</v>
      </c>
      <c r="T35" s="17" t="n">
        <f aca="false">AVERAGE(O35:Q35)</f>
        <v>18.3333333333333</v>
      </c>
      <c r="U35" s="18" t="str">
        <f aca="false">IF(T35&gt;=$H$3,"Eligible","Not Eligible")</f>
        <v>Eligible</v>
      </c>
      <c r="V35" s="19" t="n">
        <f aca="false">IF(T35&lt;$H$3,0,IFERROR(T35/SUMIF($T$5:$T$999,"&gt;="&amp;$H$3),0))</f>
        <v>0.00767513257047167</v>
      </c>
      <c r="W35" s="15" t="str">
        <f aca="false">IF(T35=0,"Win-Back","Active")</f>
        <v>Active</v>
      </c>
      <c r="X35" s="20" t="n">
        <f aca="false">IF(T35=0,0,IF(T35&gt;=$H$3,ROUND(T35*$D$3/SUMIF($T$5:$T$999,"&gt;="&amp;$H$3),0),ROUNDUP(T35*$D$3/SUMIF($T$5:$T$999,"&gt;="&amp;$H$3),0)))</f>
        <v>21</v>
      </c>
      <c r="Y35" s="21" t="n">
        <v>1</v>
      </c>
      <c r="Z35" s="16" t="n">
        <f aca="false">IF(X35=0,"",X35-Y35)</f>
        <v>20</v>
      </c>
      <c r="AA35" s="22" t="n">
        <f aca="false">IFERROR(Y35/X35,"")</f>
        <v>0.0476190476190476</v>
      </c>
      <c r="AB35" s="16" t="n">
        <v>0</v>
      </c>
      <c r="AC35" s="21"/>
    </row>
    <row r="36" customFormat="false" ht="15" hidden="false" customHeight="true" outlineLevel="0" collapsed="false">
      <c r="A36" s="15" t="s">
        <v>358</v>
      </c>
      <c r="B36" s="15" t="s">
        <v>359</v>
      </c>
      <c r="C36" s="15" t="s">
        <v>360</v>
      </c>
      <c r="D36" s="15" t="s">
        <v>361</v>
      </c>
      <c r="E36" s="15" t="s">
        <v>362</v>
      </c>
      <c r="F36" s="15" t="s">
        <v>363</v>
      </c>
      <c r="G36" s="15" t="s">
        <v>364</v>
      </c>
      <c r="H36" s="15" t="s">
        <v>365</v>
      </c>
      <c r="I36" s="15" t="s">
        <v>366</v>
      </c>
      <c r="J36" s="15" t="s">
        <v>367</v>
      </c>
      <c r="K36" s="15" t="s">
        <v>368</v>
      </c>
      <c r="L36" s="15" t="s">
        <v>369</v>
      </c>
      <c r="M36" s="15" t="s">
        <v>370</v>
      </c>
      <c r="N36" s="15" t="s">
        <v>73</v>
      </c>
      <c r="O36" s="16" t="n">
        <v>3</v>
      </c>
      <c r="P36" s="16" t="n">
        <v>33</v>
      </c>
      <c r="Q36" s="16" t="n">
        <v>17</v>
      </c>
      <c r="R36" s="16" t="n">
        <v>2</v>
      </c>
      <c r="S36" s="16" t="n">
        <v>55</v>
      </c>
      <c r="T36" s="17" t="n">
        <f aca="false">AVERAGE(O36:Q36)</f>
        <v>17.6666666666667</v>
      </c>
      <c r="U36" s="18" t="str">
        <f aca="false">IF(T36&gt;=$H$3,"Eligible","Not Eligible")</f>
        <v>Eligible</v>
      </c>
      <c r="V36" s="19" t="n">
        <f aca="false">IF(T36&lt;$H$3,0,IFERROR(T36/SUMIF($T$5:$T$999,"&gt;="&amp;$H$3),0))</f>
        <v>0.00739603684063634</v>
      </c>
      <c r="W36" s="15" t="str">
        <f aca="false">IF(T36=0,"Win-Back","Active")</f>
        <v>Active</v>
      </c>
      <c r="X36" s="20" t="n">
        <f aca="false">IF(T36=0,0,IF(T36&gt;=$H$3,ROUND(T36*$D$3/SUMIF($T$5:$T$999,"&gt;="&amp;$H$3),0),ROUNDUP(T36*$D$3/SUMIF($T$5:$T$999,"&gt;="&amp;$H$3),0)))</f>
        <v>20</v>
      </c>
      <c r="Y36" s="21"/>
      <c r="Z36" s="16" t="n">
        <f aca="false">IF(X36=0,"",X36-Y36)</f>
        <v>20</v>
      </c>
      <c r="AA36" s="22" t="n">
        <f aca="false">IFERROR(Y36/X36,"")</f>
        <v>0</v>
      </c>
      <c r="AB36" s="16" t="n">
        <v>0</v>
      </c>
      <c r="AC36" s="21"/>
    </row>
    <row r="37" customFormat="false" ht="15" hidden="false" customHeight="true" outlineLevel="0" collapsed="false">
      <c r="A37" s="15" t="s">
        <v>371</v>
      </c>
      <c r="B37" s="15" t="s">
        <v>372</v>
      </c>
      <c r="C37" s="15" t="s">
        <v>373</v>
      </c>
      <c r="D37" s="15" t="s">
        <v>374</v>
      </c>
      <c r="E37" s="15" t="s">
        <v>375</v>
      </c>
      <c r="F37" s="15" t="s">
        <v>376</v>
      </c>
      <c r="G37" s="15" t="s">
        <v>377</v>
      </c>
      <c r="H37" s="15" t="s">
        <v>378</v>
      </c>
      <c r="I37" s="15"/>
      <c r="J37" s="15" t="s">
        <v>379</v>
      </c>
      <c r="K37" s="15" t="s">
        <v>368</v>
      </c>
      <c r="L37" s="15" t="s">
        <v>380</v>
      </c>
      <c r="M37" s="15" t="s">
        <v>381</v>
      </c>
      <c r="N37" s="15" t="s">
        <v>73</v>
      </c>
      <c r="O37" s="16" t="n">
        <v>18</v>
      </c>
      <c r="P37" s="16" t="n">
        <v>15</v>
      </c>
      <c r="Q37" s="16" t="n">
        <v>10</v>
      </c>
      <c r="R37" s="16" t="n">
        <v>0</v>
      </c>
      <c r="S37" s="16" t="n">
        <v>43</v>
      </c>
      <c r="T37" s="17" t="n">
        <f aca="false">AVERAGE(O37:Q37)</f>
        <v>14.3333333333333</v>
      </c>
      <c r="U37" s="18" t="str">
        <f aca="false">IF(T37&gt;=$H$3,"Eligible","Not Eligible")</f>
        <v>Eligible</v>
      </c>
      <c r="V37" s="19" t="n">
        <f aca="false">IF(T37&lt;$H$3,0,IFERROR(T37/SUMIF($T$5:$T$999,"&gt;="&amp;$H$3),0))</f>
        <v>0.00600055819145967</v>
      </c>
      <c r="W37" s="15" t="str">
        <f aca="false">IF(T37=0,"Win-Back","Active")</f>
        <v>Active</v>
      </c>
      <c r="X37" s="20" t="n">
        <f aca="false">IF(T37=0,0,IF(T37&gt;=$H$3,ROUND(T37*$D$3/SUMIF($T$5:$T$999,"&gt;="&amp;$H$3),0),ROUNDUP(T37*$D$3/SUMIF($T$5:$T$999,"&gt;="&amp;$H$3),0)))</f>
        <v>17</v>
      </c>
      <c r="Y37" s="21" t="n">
        <v>6</v>
      </c>
      <c r="Z37" s="16" t="n">
        <f aca="false">IF(X37=0,"",X37-Y37)</f>
        <v>11</v>
      </c>
      <c r="AA37" s="22" t="n">
        <f aca="false">IFERROR(Y37/X37,"")</f>
        <v>0.352941176470588</v>
      </c>
      <c r="AB37" s="16" t="n">
        <v>0</v>
      </c>
      <c r="AC37" s="21"/>
    </row>
    <row r="38" customFormat="false" ht="15" hidden="false" customHeight="true" outlineLevel="0" collapsed="false">
      <c r="A38" s="15" t="s">
        <v>382</v>
      </c>
      <c r="B38" s="15" t="s">
        <v>383</v>
      </c>
      <c r="C38" s="15" t="s">
        <v>384</v>
      </c>
      <c r="D38" s="15" t="s">
        <v>385</v>
      </c>
      <c r="E38" s="15" t="s">
        <v>386</v>
      </c>
      <c r="F38" s="15" t="s">
        <v>387</v>
      </c>
      <c r="G38" s="15" t="s">
        <v>388</v>
      </c>
      <c r="H38" s="15" t="s">
        <v>389</v>
      </c>
      <c r="I38" s="15"/>
      <c r="J38" s="15" t="s">
        <v>390</v>
      </c>
      <c r="K38" s="15" t="s">
        <v>70</v>
      </c>
      <c r="L38" s="15" t="s">
        <v>391</v>
      </c>
      <c r="M38" s="15" t="s">
        <v>392</v>
      </c>
      <c r="N38" s="15" t="s">
        <v>73</v>
      </c>
      <c r="O38" s="16" t="n">
        <v>1</v>
      </c>
      <c r="P38" s="16" t="n">
        <v>15</v>
      </c>
      <c r="Q38" s="16" t="n">
        <v>26</v>
      </c>
      <c r="R38" s="16" t="n">
        <v>6</v>
      </c>
      <c r="S38" s="16" t="n">
        <v>48</v>
      </c>
      <c r="T38" s="17" t="n">
        <f aca="false">AVERAGE(O38:Q38)</f>
        <v>14</v>
      </c>
      <c r="U38" s="18" t="str">
        <f aca="false">IF(T38&gt;=$H$3,"Eligible","Not Eligible")</f>
        <v>Eligible</v>
      </c>
      <c r="V38" s="19" t="n">
        <f aca="false">IF(T38&lt;$H$3,0,IFERROR(T38/SUMIF($T$5:$T$999,"&gt;="&amp;$H$3),0))</f>
        <v>0.005861010326542</v>
      </c>
      <c r="W38" s="15" t="str">
        <f aca="false">IF(T38=0,"Win-Back","Active")</f>
        <v>Active</v>
      </c>
      <c r="X38" s="20" t="n">
        <f aca="false">IF(T38=0,0,IF(T38&gt;=$H$3,ROUND(T38*$D$3/SUMIF($T$5:$T$999,"&gt;="&amp;$H$3),0),ROUNDUP(T38*$D$3/SUMIF($T$5:$T$999,"&gt;="&amp;$H$3),0)))</f>
        <v>16</v>
      </c>
      <c r="Y38" s="21" t="n">
        <v>19</v>
      </c>
      <c r="Z38" s="16" t="n">
        <f aca="false">IF(X38=0,"",X38-Y38)</f>
        <v>-3</v>
      </c>
      <c r="AA38" s="22" t="n">
        <f aca="false">IFERROR(Y38/X38,"")</f>
        <v>1.1875</v>
      </c>
      <c r="AB38" s="16" t="n">
        <v>0</v>
      </c>
      <c r="AC38" s="21"/>
    </row>
    <row r="39" customFormat="false" ht="15" hidden="false" customHeight="true" outlineLevel="0" collapsed="false">
      <c r="A39" s="15" t="s">
        <v>393</v>
      </c>
      <c r="B39" s="15" t="s">
        <v>394</v>
      </c>
      <c r="C39" s="15" t="s">
        <v>395</v>
      </c>
      <c r="D39" s="15" t="s">
        <v>396</v>
      </c>
      <c r="E39" s="15" t="s">
        <v>397</v>
      </c>
      <c r="F39" s="15" t="s">
        <v>398</v>
      </c>
      <c r="G39" s="15" t="s">
        <v>399</v>
      </c>
      <c r="H39" s="15" t="s">
        <v>400</v>
      </c>
      <c r="I39" s="15"/>
      <c r="J39" s="15" t="s">
        <v>401</v>
      </c>
      <c r="K39" s="15" t="s">
        <v>402</v>
      </c>
      <c r="L39" s="15" t="s">
        <v>403</v>
      </c>
      <c r="M39" s="15" t="s">
        <v>404</v>
      </c>
      <c r="N39" s="15" t="s">
        <v>73</v>
      </c>
      <c r="O39" s="16" t="n">
        <v>11</v>
      </c>
      <c r="P39" s="16" t="n">
        <v>18</v>
      </c>
      <c r="Q39" s="16" t="n">
        <v>13</v>
      </c>
      <c r="R39" s="16" t="n">
        <v>2</v>
      </c>
      <c r="S39" s="16" t="n">
        <v>44</v>
      </c>
      <c r="T39" s="17" t="n">
        <f aca="false">AVERAGE(O39:Q39)</f>
        <v>14</v>
      </c>
      <c r="U39" s="18" t="str">
        <f aca="false">IF(T39&gt;=$H$3,"Eligible","Not Eligible")</f>
        <v>Eligible</v>
      </c>
      <c r="V39" s="19" t="n">
        <f aca="false">IF(T39&lt;$H$3,0,IFERROR(T39/SUMIF($T$5:$T$999,"&gt;="&amp;$H$3),0))</f>
        <v>0.005861010326542</v>
      </c>
      <c r="W39" s="15" t="str">
        <f aca="false">IF(T39=0,"Win-Back","Active")</f>
        <v>Active</v>
      </c>
      <c r="X39" s="20" t="n">
        <f aca="false">IF(T39=0,0,IF(T39&gt;=$H$3,ROUND(T39*$D$3/SUMIF($T$5:$T$999,"&gt;="&amp;$H$3),0),ROUNDUP(T39*$D$3/SUMIF($T$5:$T$999,"&gt;="&amp;$H$3),0)))</f>
        <v>16</v>
      </c>
      <c r="Y39" s="21" t="n">
        <v>13</v>
      </c>
      <c r="Z39" s="16" t="n">
        <f aca="false">IF(X39=0,"",X39-Y39)</f>
        <v>3</v>
      </c>
      <c r="AA39" s="22" t="n">
        <f aca="false">IFERROR(Y39/X39,"")</f>
        <v>0.8125</v>
      </c>
      <c r="AB39" s="16" t="n">
        <v>0</v>
      </c>
      <c r="AC39" s="21"/>
    </row>
    <row r="40" customFormat="false" ht="15" hidden="false" customHeight="true" outlineLevel="0" collapsed="false">
      <c r="A40" s="15" t="s">
        <v>405</v>
      </c>
      <c r="B40" s="15" t="s">
        <v>406</v>
      </c>
      <c r="C40" s="15" t="s">
        <v>407</v>
      </c>
      <c r="D40" s="15" t="s">
        <v>408</v>
      </c>
      <c r="E40" s="15" t="s">
        <v>409</v>
      </c>
      <c r="F40" s="15" t="s">
        <v>410</v>
      </c>
      <c r="G40" s="15" t="s">
        <v>411</v>
      </c>
      <c r="H40" s="15" t="s">
        <v>412</v>
      </c>
      <c r="I40" s="15"/>
      <c r="J40" s="15" t="s">
        <v>46</v>
      </c>
      <c r="K40" s="15" t="s">
        <v>47</v>
      </c>
      <c r="L40" s="15" t="s">
        <v>48</v>
      </c>
      <c r="M40" s="15" t="s">
        <v>413</v>
      </c>
      <c r="N40" s="15" t="s">
        <v>50</v>
      </c>
      <c r="O40" s="16" t="n">
        <v>21</v>
      </c>
      <c r="P40" s="16" t="n">
        <v>10</v>
      </c>
      <c r="Q40" s="16" t="n">
        <v>11</v>
      </c>
      <c r="R40" s="16" t="n">
        <v>1</v>
      </c>
      <c r="S40" s="16" t="n">
        <v>43</v>
      </c>
      <c r="T40" s="17" t="n">
        <f aca="false">AVERAGE(O40:Q40)</f>
        <v>14</v>
      </c>
      <c r="U40" s="18" t="str">
        <f aca="false">IF(T40&gt;=$H$3,"Eligible","Not Eligible")</f>
        <v>Eligible</v>
      </c>
      <c r="V40" s="19" t="n">
        <f aca="false">IF(T40&lt;$H$3,0,IFERROR(T40/SUMIF($T$5:$T$999,"&gt;="&amp;$H$3),0))</f>
        <v>0.005861010326542</v>
      </c>
      <c r="W40" s="15" t="str">
        <f aca="false">IF(T40=0,"Win-Back","Active")</f>
        <v>Active</v>
      </c>
      <c r="X40" s="20" t="n">
        <f aca="false">IF(T40=0,0,IF(T40&gt;=$H$3,ROUND(T40*$D$3/SUMIF($T$5:$T$999,"&gt;="&amp;$H$3),0),ROUNDUP(T40*$D$3/SUMIF($T$5:$T$999,"&gt;="&amp;$H$3),0)))</f>
        <v>16</v>
      </c>
      <c r="Y40" s="21" t="n">
        <v>55</v>
      </c>
      <c r="Z40" s="16" t="n">
        <f aca="false">IF(X40=0,"",X40-Y40)</f>
        <v>-39</v>
      </c>
      <c r="AA40" s="22" t="n">
        <f aca="false">IFERROR(Y40/X40,"")</f>
        <v>3.4375</v>
      </c>
      <c r="AB40" s="16" t="n">
        <v>0</v>
      </c>
      <c r="AC40" s="21"/>
    </row>
    <row r="41" customFormat="false" ht="15" hidden="false" customHeight="true" outlineLevel="0" collapsed="false">
      <c r="A41" s="15" t="s">
        <v>414</v>
      </c>
      <c r="B41" s="15" t="s">
        <v>415</v>
      </c>
      <c r="C41" s="15" t="s">
        <v>416</v>
      </c>
      <c r="D41" s="15" t="s">
        <v>417</v>
      </c>
      <c r="E41" s="15" t="s">
        <v>418</v>
      </c>
      <c r="F41" s="15" t="s">
        <v>419</v>
      </c>
      <c r="G41" s="15" t="s">
        <v>420</v>
      </c>
      <c r="H41" s="15" t="s">
        <v>421</v>
      </c>
      <c r="I41" s="15" t="s">
        <v>422</v>
      </c>
      <c r="J41" s="15" t="s">
        <v>423</v>
      </c>
      <c r="K41" s="15" t="s">
        <v>70</v>
      </c>
      <c r="L41" s="15" t="s">
        <v>424</v>
      </c>
      <c r="M41" s="15" t="s">
        <v>425</v>
      </c>
      <c r="N41" s="15" t="s">
        <v>73</v>
      </c>
      <c r="O41" s="16" t="n">
        <v>15</v>
      </c>
      <c r="P41" s="16" t="n">
        <v>13</v>
      </c>
      <c r="Q41" s="16" t="n">
        <v>14</v>
      </c>
      <c r="R41" s="16" t="n">
        <v>0</v>
      </c>
      <c r="S41" s="16" t="n">
        <v>42</v>
      </c>
      <c r="T41" s="17" t="n">
        <f aca="false">AVERAGE(O41:Q41)</f>
        <v>14</v>
      </c>
      <c r="U41" s="18" t="str">
        <f aca="false">IF(T41&gt;=$H$3,"Eligible","Not Eligible")</f>
        <v>Eligible</v>
      </c>
      <c r="V41" s="19" t="n">
        <f aca="false">IF(T41&lt;$H$3,0,IFERROR(T41/SUMIF($T$5:$T$999,"&gt;="&amp;$H$3),0))</f>
        <v>0.005861010326542</v>
      </c>
      <c r="W41" s="15" t="str">
        <f aca="false">IF(T41=0,"Win-Back","Active")</f>
        <v>Active</v>
      </c>
      <c r="X41" s="20" t="n">
        <f aca="false">IF(T41=0,0,IF(T41&gt;=$H$3,ROUND(T41*$D$3/SUMIF($T$5:$T$999,"&gt;="&amp;$H$3),0),ROUNDUP(T41*$D$3/SUMIF($T$5:$T$999,"&gt;="&amp;$H$3),0)))</f>
        <v>16</v>
      </c>
      <c r="Y41" s="21" t="n">
        <v>7</v>
      </c>
      <c r="Z41" s="16" t="n">
        <f aca="false">IF(X41=0,"",X41-Y41)</f>
        <v>9</v>
      </c>
      <c r="AA41" s="22" t="n">
        <f aca="false">IFERROR(Y41/X41,"")</f>
        <v>0.4375</v>
      </c>
      <c r="AB41" s="16" t="n">
        <v>0</v>
      </c>
      <c r="AC41" s="21"/>
    </row>
    <row r="42" customFormat="false" ht="15" hidden="false" customHeight="true" outlineLevel="0" collapsed="false">
      <c r="A42" s="15" t="s">
        <v>426</v>
      </c>
      <c r="B42" s="15" t="s">
        <v>427</v>
      </c>
      <c r="C42" s="15" t="s">
        <v>428</v>
      </c>
      <c r="D42" s="15" t="s">
        <v>429</v>
      </c>
      <c r="E42" s="15" t="s">
        <v>430</v>
      </c>
      <c r="F42" s="15" t="s">
        <v>431</v>
      </c>
      <c r="G42" s="15" t="s">
        <v>432</v>
      </c>
      <c r="H42" s="15" t="s">
        <v>433</v>
      </c>
      <c r="I42" s="15" t="s">
        <v>434</v>
      </c>
      <c r="J42" s="15" t="s">
        <v>82</v>
      </c>
      <c r="K42" s="15" t="s">
        <v>47</v>
      </c>
      <c r="L42" s="15" t="s">
        <v>93</v>
      </c>
      <c r="M42" s="15" t="s">
        <v>435</v>
      </c>
      <c r="N42" s="15" t="s">
        <v>50</v>
      </c>
      <c r="O42" s="16" t="n">
        <v>9</v>
      </c>
      <c r="P42" s="16" t="n">
        <v>18</v>
      </c>
      <c r="Q42" s="16" t="n">
        <v>13</v>
      </c>
      <c r="R42" s="16" t="n">
        <v>1</v>
      </c>
      <c r="S42" s="16" t="n">
        <v>41</v>
      </c>
      <c r="T42" s="17" t="n">
        <f aca="false">AVERAGE(O42:Q42)</f>
        <v>13.3333333333333</v>
      </c>
      <c r="U42" s="18" t="str">
        <f aca="false">IF(T42&gt;=$H$3,"Eligible","Not Eligible")</f>
        <v>Eligible</v>
      </c>
      <c r="V42" s="19" t="n">
        <f aca="false">IF(T42&lt;$H$3,0,IFERROR(T42/SUMIF($T$5:$T$999,"&gt;="&amp;$H$3),0))</f>
        <v>0.00558191459670667</v>
      </c>
      <c r="W42" s="15" t="str">
        <f aca="false">IF(T42=0,"Win-Back","Active")</f>
        <v>Active</v>
      </c>
      <c r="X42" s="20" t="n">
        <f aca="false">IF(T42=0,0,IF(T42&gt;=$H$3,ROUND(T42*$D$3/SUMIF($T$5:$T$999,"&gt;="&amp;$H$3),0),ROUNDUP(T42*$D$3/SUMIF($T$5:$T$999,"&gt;="&amp;$H$3),0)))</f>
        <v>15</v>
      </c>
      <c r="Y42" s="21" t="n">
        <v>8</v>
      </c>
      <c r="Z42" s="16" t="n">
        <f aca="false">IF(X42=0,"",X42-Y42)</f>
        <v>7</v>
      </c>
      <c r="AA42" s="22" t="n">
        <f aca="false">IFERROR(Y42/X42,"")</f>
        <v>0.533333333333333</v>
      </c>
      <c r="AB42" s="16" t="n">
        <v>0</v>
      </c>
      <c r="AC42" s="21"/>
    </row>
    <row r="43" customFormat="false" ht="15" hidden="false" customHeight="true" outlineLevel="0" collapsed="false">
      <c r="A43" s="15" t="s">
        <v>436</v>
      </c>
      <c r="B43" s="15" t="s">
        <v>437</v>
      </c>
      <c r="C43" s="15" t="s">
        <v>438</v>
      </c>
      <c r="D43" s="15" t="s">
        <v>439</v>
      </c>
      <c r="E43" s="15" t="s">
        <v>440</v>
      </c>
      <c r="F43" s="15" t="s">
        <v>441</v>
      </c>
      <c r="G43" s="15" t="s">
        <v>442</v>
      </c>
      <c r="H43" s="15" t="s">
        <v>443</v>
      </c>
      <c r="I43" s="15" t="s">
        <v>444</v>
      </c>
      <c r="J43" s="15" t="s">
        <v>46</v>
      </c>
      <c r="K43" s="15" t="s">
        <v>47</v>
      </c>
      <c r="L43" s="15" t="s">
        <v>48</v>
      </c>
      <c r="M43" s="15" t="s">
        <v>445</v>
      </c>
      <c r="N43" s="15" t="s">
        <v>50</v>
      </c>
      <c r="O43" s="16" t="n">
        <v>1</v>
      </c>
      <c r="P43" s="16" t="n">
        <v>12</v>
      </c>
      <c r="Q43" s="16" t="n">
        <v>26</v>
      </c>
      <c r="R43" s="16" t="n">
        <v>8</v>
      </c>
      <c r="S43" s="16" t="n">
        <v>47</v>
      </c>
      <c r="T43" s="17" t="n">
        <f aca="false">AVERAGE(O43:Q43)</f>
        <v>13</v>
      </c>
      <c r="U43" s="18" t="str">
        <f aca="false">IF(T43&gt;=$H$3,"Eligible","Not Eligible")</f>
        <v>Eligible</v>
      </c>
      <c r="V43" s="19" t="n">
        <f aca="false">IF(T43&lt;$H$3,0,IFERROR(T43/SUMIF($T$5:$T$999,"&gt;="&amp;$H$3),0))</f>
        <v>0.005442366731789</v>
      </c>
      <c r="W43" s="15" t="str">
        <f aca="false">IF(T43=0,"Win-Back","Active")</f>
        <v>Active</v>
      </c>
      <c r="X43" s="20" t="n">
        <f aca="false">IF(T43=0,0,IF(T43&gt;=$H$3,ROUND(T43*$D$3/SUMIF($T$5:$T$999,"&gt;="&amp;$H$3),0),ROUNDUP(T43*$D$3/SUMIF($T$5:$T$999,"&gt;="&amp;$H$3),0)))</f>
        <v>15</v>
      </c>
      <c r="Y43" s="21" t="n">
        <v>20</v>
      </c>
      <c r="Z43" s="16" t="n">
        <f aca="false">IF(X43=0,"",X43-Y43)</f>
        <v>-5</v>
      </c>
      <c r="AA43" s="22" t="n">
        <f aca="false">IFERROR(Y43/X43,"")</f>
        <v>1.33333333333333</v>
      </c>
      <c r="AB43" s="16" t="n">
        <v>13</v>
      </c>
      <c r="AC43" s="21" t="n">
        <v>7</v>
      </c>
    </row>
    <row r="44" customFormat="false" ht="15" hidden="false" customHeight="true" outlineLevel="0" collapsed="false">
      <c r="A44" s="15" t="s">
        <v>446</v>
      </c>
      <c r="B44" s="15" t="s">
        <v>447</v>
      </c>
      <c r="C44" s="15" t="s">
        <v>448</v>
      </c>
      <c r="D44" s="15" t="s">
        <v>449</v>
      </c>
      <c r="E44" s="15" t="s">
        <v>450</v>
      </c>
      <c r="F44" s="15" t="s">
        <v>451</v>
      </c>
      <c r="G44" s="15" t="s">
        <v>452</v>
      </c>
      <c r="H44" s="15" t="s">
        <v>453</v>
      </c>
      <c r="I44" s="15" t="s">
        <v>454</v>
      </c>
      <c r="J44" s="15" t="s">
        <v>82</v>
      </c>
      <c r="K44" s="15" t="s">
        <v>47</v>
      </c>
      <c r="L44" s="15" t="s">
        <v>93</v>
      </c>
      <c r="M44" s="15" t="s">
        <v>455</v>
      </c>
      <c r="N44" s="15" t="s">
        <v>73</v>
      </c>
      <c r="O44" s="16" t="n">
        <v>4</v>
      </c>
      <c r="P44" s="16" t="n">
        <v>9</v>
      </c>
      <c r="Q44" s="16" t="n">
        <v>22</v>
      </c>
      <c r="R44" s="16" t="n">
        <v>6</v>
      </c>
      <c r="S44" s="16" t="n">
        <v>41</v>
      </c>
      <c r="T44" s="17" t="n">
        <f aca="false">AVERAGE(O44:Q44)</f>
        <v>11.6666666666667</v>
      </c>
      <c r="U44" s="18" t="str">
        <f aca="false">IF(T44&gt;=$H$3,"Eligible","Not Eligible")</f>
        <v>Eligible</v>
      </c>
      <c r="V44" s="19" t="n">
        <f aca="false">IF(T44&lt;$H$3,0,IFERROR(T44/SUMIF($T$5:$T$999,"&gt;="&amp;$H$3),0))</f>
        <v>0.00488417527211834</v>
      </c>
      <c r="W44" s="15" t="str">
        <f aca="false">IF(T44=0,"Win-Back","Active")</f>
        <v>Active</v>
      </c>
      <c r="X44" s="20" t="n">
        <f aca="false">IF(T44=0,0,IF(T44&gt;=$H$3,ROUND(T44*$D$3/SUMIF($T$5:$T$999,"&gt;="&amp;$H$3),0),ROUNDUP(T44*$D$3/SUMIF($T$5:$T$999,"&gt;="&amp;$H$3),0)))</f>
        <v>13</v>
      </c>
      <c r="Y44" s="21" t="n">
        <v>4</v>
      </c>
      <c r="Z44" s="16" t="n">
        <f aca="false">IF(X44=0,"",X44-Y44)</f>
        <v>9</v>
      </c>
      <c r="AA44" s="22" t="n">
        <f aca="false">IFERROR(Y44/X44,"")</f>
        <v>0.307692307692308</v>
      </c>
      <c r="AB44" s="16" t="n">
        <v>0</v>
      </c>
      <c r="AC44" s="21"/>
    </row>
    <row r="45" customFormat="false" ht="15" hidden="false" customHeight="true" outlineLevel="0" collapsed="false">
      <c r="A45" s="15" t="s">
        <v>456</v>
      </c>
      <c r="B45" s="15" t="s">
        <v>457</v>
      </c>
      <c r="C45" s="15" t="s">
        <v>458</v>
      </c>
      <c r="D45" s="15" t="s">
        <v>459</v>
      </c>
      <c r="E45" s="15" t="s">
        <v>460</v>
      </c>
      <c r="F45" s="15" t="s">
        <v>461</v>
      </c>
      <c r="G45" s="15" t="s">
        <v>462</v>
      </c>
      <c r="H45" s="15" t="s">
        <v>463</v>
      </c>
      <c r="I45" s="15"/>
      <c r="J45" s="15" t="s">
        <v>464</v>
      </c>
      <c r="K45" s="15" t="s">
        <v>47</v>
      </c>
      <c r="L45" s="15" t="s">
        <v>266</v>
      </c>
      <c r="M45" s="15" t="s">
        <v>465</v>
      </c>
      <c r="N45" s="15" t="s">
        <v>50</v>
      </c>
      <c r="O45" s="16" t="n">
        <v>5</v>
      </c>
      <c r="P45" s="16" t="n">
        <v>15</v>
      </c>
      <c r="Q45" s="16" t="n">
        <v>13</v>
      </c>
      <c r="R45" s="16" t="n">
        <v>5</v>
      </c>
      <c r="S45" s="16" t="n">
        <v>38</v>
      </c>
      <c r="T45" s="17" t="n">
        <f aca="false">AVERAGE(O45:Q45)</f>
        <v>11</v>
      </c>
      <c r="U45" s="18" t="str">
        <f aca="false">IF(T45&gt;=$H$3,"Eligible","Not Eligible")</f>
        <v>Eligible</v>
      </c>
      <c r="V45" s="19" t="n">
        <f aca="false">IF(T45&lt;$H$3,0,IFERROR(T45/SUMIF($T$5:$T$999,"&gt;="&amp;$H$3),0))</f>
        <v>0.004605079542283</v>
      </c>
      <c r="W45" s="15" t="str">
        <f aca="false">IF(T45=0,"Win-Back","Active")</f>
        <v>Active</v>
      </c>
      <c r="X45" s="20" t="n">
        <f aca="false">IF(T45=0,0,IF(T45&gt;=$H$3,ROUND(T45*$D$3/SUMIF($T$5:$T$999,"&gt;="&amp;$H$3),0),ROUNDUP(T45*$D$3/SUMIF($T$5:$T$999,"&gt;="&amp;$H$3),0)))</f>
        <v>13</v>
      </c>
      <c r="Y45" s="21" t="n">
        <v>9</v>
      </c>
      <c r="Z45" s="16" t="n">
        <f aca="false">IF(X45=0,"",X45-Y45)</f>
        <v>4</v>
      </c>
      <c r="AA45" s="22" t="n">
        <f aca="false">IFERROR(Y45/X45,"")</f>
        <v>0.692307692307692</v>
      </c>
      <c r="AB45" s="16" t="n">
        <v>0</v>
      </c>
      <c r="AC45" s="21"/>
    </row>
    <row r="46" customFormat="false" ht="15" hidden="false" customHeight="true" outlineLevel="0" collapsed="false">
      <c r="A46" s="15" t="s">
        <v>466</v>
      </c>
      <c r="B46" s="15" t="s">
        <v>467</v>
      </c>
      <c r="C46" s="15" t="s">
        <v>468</v>
      </c>
      <c r="D46" s="15" t="s">
        <v>469</v>
      </c>
      <c r="E46" s="15" t="s">
        <v>470</v>
      </c>
      <c r="F46" s="15" t="s">
        <v>471</v>
      </c>
      <c r="G46" s="15" t="s">
        <v>472</v>
      </c>
      <c r="H46" s="15" t="s">
        <v>473</v>
      </c>
      <c r="I46" s="15"/>
      <c r="J46" s="15" t="s">
        <v>46</v>
      </c>
      <c r="K46" s="15" t="s">
        <v>47</v>
      </c>
      <c r="L46" s="15" t="s">
        <v>474</v>
      </c>
      <c r="M46" s="15" t="s">
        <v>475</v>
      </c>
      <c r="N46" s="15" t="s">
        <v>50</v>
      </c>
      <c r="O46" s="16" t="n">
        <v>9</v>
      </c>
      <c r="P46" s="16" t="n">
        <v>9</v>
      </c>
      <c r="Q46" s="16" t="n">
        <v>15</v>
      </c>
      <c r="R46" s="16" t="n">
        <v>1</v>
      </c>
      <c r="S46" s="16" t="n">
        <v>34</v>
      </c>
      <c r="T46" s="17" t="n">
        <f aca="false">AVERAGE(O46:Q46)</f>
        <v>11</v>
      </c>
      <c r="U46" s="18" t="str">
        <f aca="false">IF(T46&gt;=$H$3,"Eligible","Not Eligible")</f>
        <v>Eligible</v>
      </c>
      <c r="V46" s="19" t="n">
        <f aca="false">IF(T46&lt;$H$3,0,IFERROR(T46/SUMIF($T$5:$T$999,"&gt;="&amp;$H$3),0))</f>
        <v>0.004605079542283</v>
      </c>
      <c r="W46" s="15" t="str">
        <f aca="false">IF(T46=0,"Win-Back","Active")</f>
        <v>Active</v>
      </c>
      <c r="X46" s="20" t="n">
        <f aca="false">IF(T46=0,0,IF(T46&gt;=$H$3,ROUND(T46*$D$3/SUMIF($T$5:$T$999,"&gt;="&amp;$H$3),0),ROUNDUP(T46*$D$3/SUMIF($T$5:$T$999,"&gt;="&amp;$H$3),0)))</f>
        <v>13</v>
      </c>
      <c r="Y46" s="21" t="n">
        <v>14</v>
      </c>
      <c r="Z46" s="16" t="n">
        <f aca="false">IF(X46=0,"",X46-Y46)</f>
        <v>-1</v>
      </c>
      <c r="AA46" s="22" t="n">
        <f aca="false">IFERROR(Y46/X46,"")</f>
        <v>1.07692307692308</v>
      </c>
      <c r="AB46" s="16" t="n">
        <v>0</v>
      </c>
      <c r="AC46" s="21"/>
    </row>
    <row r="47" customFormat="false" ht="15" hidden="false" customHeight="true" outlineLevel="0" collapsed="false">
      <c r="A47" s="15" t="s">
        <v>476</v>
      </c>
      <c r="B47" s="15" t="s">
        <v>477</v>
      </c>
      <c r="C47" s="15" t="s">
        <v>478</v>
      </c>
      <c r="D47" s="15" t="s">
        <v>479</v>
      </c>
      <c r="E47" s="15" t="s">
        <v>104</v>
      </c>
      <c r="F47" s="15" t="s">
        <v>480</v>
      </c>
      <c r="G47" s="15" t="s">
        <v>481</v>
      </c>
      <c r="H47" s="15" t="s">
        <v>482</v>
      </c>
      <c r="I47" s="15"/>
      <c r="J47" s="15" t="s">
        <v>46</v>
      </c>
      <c r="K47" s="15" t="s">
        <v>47</v>
      </c>
      <c r="L47" s="15" t="s">
        <v>48</v>
      </c>
      <c r="M47" s="15" t="s">
        <v>483</v>
      </c>
      <c r="N47" s="15" t="s">
        <v>50</v>
      </c>
      <c r="O47" s="16" t="n">
        <v>10</v>
      </c>
      <c r="P47" s="16" t="n">
        <v>12</v>
      </c>
      <c r="Q47" s="16" t="n">
        <v>11</v>
      </c>
      <c r="R47" s="16" t="n">
        <v>0</v>
      </c>
      <c r="S47" s="16" t="n">
        <v>33</v>
      </c>
      <c r="T47" s="17" t="n">
        <f aca="false">AVERAGE(O47:Q47)</f>
        <v>11</v>
      </c>
      <c r="U47" s="18" t="str">
        <f aca="false">IF(T47&gt;=$H$3,"Eligible","Not Eligible")</f>
        <v>Eligible</v>
      </c>
      <c r="V47" s="19" t="n">
        <f aca="false">IF(T47&lt;$H$3,0,IFERROR(T47/SUMIF($T$5:$T$999,"&gt;="&amp;$H$3),0))</f>
        <v>0.004605079542283</v>
      </c>
      <c r="W47" s="15" t="str">
        <f aca="false">IF(T47=0,"Win-Back","Active")</f>
        <v>Active</v>
      </c>
      <c r="X47" s="20" t="n">
        <f aca="false">IF(T47=0,0,IF(T47&gt;=$H$3,ROUND(T47*$D$3/SUMIF($T$5:$T$999,"&gt;="&amp;$H$3),0),ROUNDUP(T47*$D$3/SUMIF($T$5:$T$999,"&gt;="&amp;$H$3),0)))</f>
        <v>13</v>
      </c>
      <c r="Y47" s="21" t="n">
        <v>3</v>
      </c>
      <c r="Z47" s="16" t="n">
        <f aca="false">IF(X47=0,"",X47-Y47)</f>
        <v>10</v>
      </c>
      <c r="AA47" s="22" t="n">
        <f aca="false">IFERROR(Y47/X47,"")</f>
        <v>0.230769230769231</v>
      </c>
      <c r="AB47" s="16" t="n">
        <v>0</v>
      </c>
      <c r="AC47" s="21"/>
    </row>
    <row r="48" customFormat="false" ht="15" hidden="false" customHeight="true" outlineLevel="0" collapsed="false">
      <c r="A48" s="15" t="s">
        <v>484</v>
      </c>
      <c r="B48" s="15" t="s">
        <v>485</v>
      </c>
      <c r="C48" s="15" t="s">
        <v>486</v>
      </c>
      <c r="D48" s="15" t="s">
        <v>487</v>
      </c>
      <c r="E48" s="15" t="s">
        <v>488</v>
      </c>
      <c r="F48" s="15" t="s">
        <v>489</v>
      </c>
      <c r="G48" s="15" t="s">
        <v>490</v>
      </c>
      <c r="H48" s="15" t="s">
        <v>491</v>
      </c>
      <c r="I48" s="15"/>
      <c r="J48" s="15" t="s">
        <v>492</v>
      </c>
      <c r="K48" s="15" t="s">
        <v>493</v>
      </c>
      <c r="L48" s="15" t="s">
        <v>494</v>
      </c>
      <c r="M48" s="15" t="s">
        <v>495</v>
      </c>
      <c r="N48" s="15" t="s">
        <v>73</v>
      </c>
      <c r="O48" s="16" t="n">
        <v>10</v>
      </c>
      <c r="P48" s="16" t="n">
        <v>12</v>
      </c>
      <c r="Q48" s="16" t="n">
        <v>8</v>
      </c>
      <c r="R48" s="16" t="n">
        <v>0</v>
      </c>
      <c r="S48" s="16" t="n">
        <v>30</v>
      </c>
      <c r="T48" s="17" t="n">
        <f aca="false">AVERAGE(O48:Q48)</f>
        <v>10</v>
      </c>
      <c r="U48" s="18" t="str">
        <f aca="false">IF(T48&gt;=$H$3,"Eligible","Not Eligible")</f>
        <v>Eligible</v>
      </c>
      <c r="V48" s="19" t="n">
        <f aca="false">IF(T48&lt;$H$3,0,IFERROR(T48/SUMIF($T$5:$T$999,"&gt;="&amp;$H$3),0))</f>
        <v>0.00418643594753</v>
      </c>
      <c r="W48" s="15" t="str">
        <f aca="false">IF(T48=0,"Win-Back","Active")</f>
        <v>Active</v>
      </c>
      <c r="X48" s="20" t="n">
        <f aca="false">IF(T48=0,0,IF(T48&gt;=$H$3,ROUND(T48*$D$3/SUMIF($T$5:$T$999,"&gt;="&amp;$H$3),0),ROUNDUP(T48*$D$3/SUMIF($T$5:$T$999,"&gt;="&amp;$H$3),0)))</f>
        <v>12</v>
      </c>
      <c r="Y48" s="21" t="n">
        <v>13</v>
      </c>
      <c r="Z48" s="16" t="n">
        <f aca="false">IF(X48=0,"",X48-Y48)</f>
        <v>-1</v>
      </c>
      <c r="AA48" s="22" t="n">
        <f aca="false">IFERROR(Y48/X48,"")</f>
        <v>1.08333333333333</v>
      </c>
      <c r="AB48" s="16" t="n">
        <v>0</v>
      </c>
      <c r="AC48" s="21" t="n">
        <v>10</v>
      </c>
    </row>
    <row r="49" customFormat="false" ht="15" hidden="false" customHeight="true" outlineLevel="0" collapsed="false">
      <c r="A49" s="15" t="s">
        <v>496</v>
      </c>
      <c r="B49" s="15" t="s">
        <v>497</v>
      </c>
      <c r="C49" s="15" t="s">
        <v>498</v>
      </c>
      <c r="D49" s="15" t="s">
        <v>499</v>
      </c>
      <c r="E49" s="15" t="s">
        <v>500</v>
      </c>
      <c r="F49" s="15" t="s">
        <v>501</v>
      </c>
      <c r="G49" s="15" t="s">
        <v>502</v>
      </c>
      <c r="H49" s="15" t="s">
        <v>503</v>
      </c>
      <c r="I49" s="15" t="s">
        <v>331</v>
      </c>
      <c r="J49" s="15" t="s">
        <v>504</v>
      </c>
      <c r="K49" s="15" t="s">
        <v>70</v>
      </c>
      <c r="L49" s="15" t="s">
        <v>505</v>
      </c>
      <c r="M49" s="15" t="s">
        <v>506</v>
      </c>
      <c r="N49" s="15" t="s">
        <v>73</v>
      </c>
      <c r="O49" s="16" t="n">
        <v>16</v>
      </c>
      <c r="P49" s="16" t="n">
        <v>8</v>
      </c>
      <c r="Q49" s="16" t="n">
        <v>6</v>
      </c>
      <c r="R49" s="16" t="n">
        <v>0</v>
      </c>
      <c r="S49" s="16" t="n">
        <v>30</v>
      </c>
      <c r="T49" s="17" t="n">
        <f aca="false">AVERAGE(O49:Q49)</f>
        <v>10</v>
      </c>
      <c r="U49" s="18" t="str">
        <f aca="false">IF(T49&gt;=$H$3,"Eligible","Not Eligible")</f>
        <v>Eligible</v>
      </c>
      <c r="V49" s="19" t="n">
        <f aca="false">IF(T49&lt;$H$3,0,IFERROR(T49/SUMIF($T$5:$T$999,"&gt;="&amp;$H$3),0))</f>
        <v>0.00418643594753</v>
      </c>
      <c r="W49" s="15" t="str">
        <f aca="false">IF(T49=0,"Win-Back","Active")</f>
        <v>Active</v>
      </c>
      <c r="X49" s="20" t="n">
        <f aca="false">IF(T49=0,0,IF(T49&gt;=$H$3,ROUND(T49*$D$3/SUMIF($T$5:$T$999,"&gt;="&amp;$H$3),0),ROUNDUP(T49*$D$3/SUMIF($T$5:$T$999,"&gt;="&amp;$H$3),0)))</f>
        <v>12</v>
      </c>
      <c r="Y49" s="21" t="n">
        <v>71</v>
      </c>
      <c r="Z49" s="16" t="n">
        <f aca="false">IF(X49=0,"",X49-Y49)</f>
        <v>-59</v>
      </c>
      <c r="AA49" s="22" t="n">
        <f aca="false">IFERROR(Y49/X49,"")</f>
        <v>5.91666666666667</v>
      </c>
      <c r="AB49" s="16" t="n">
        <v>0</v>
      </c>
      <c r="AC49" s="21"/>
    </row>
    <row r="50" customFormat="false" ht="15" hidden="false" customHeight="true" outlineLevel="0" collapsed="false">
      <c r="A50" s="15" t="s">
        <v>507</v>
      </c>
      <c r="B50" s="15" t="s">
        <v>508</v>
      </c>
      <c r="C50" s="15" t="s">
        <v>509</v>
      </c>
      <c r="D50" s="15" t="s">
        <v>510</v>
      </c>
      <c r="E50" s="15" t="s">
        <v>511</v>
      </c>
      <c r="F50" s="15" t="s">
        <v>512</v>
      </c>
      <c r="G50" s="15" t="s">
        <v>513</v>
      </c>
      <c r="H50" s="15" t="s">
        <v>514</v>
      </c>
      <c r="I50" s="15"/>
      <c r="J50" s="15" t="s">
        <v>46</v>
      </c>
      <c r="K50" s="15" t="s">
        <v>47</v>
      </c>
      <c r="L50" s="15" t="s">
        <v>223</v>
      </c>
      <c r="M50" s="15" t="s">
        <v>515</v>
      </c>
      <c r="N50" s="15" t="s">
        <v>73</v>
      </c>
      <c r="O50" s="16" t="n">
        <v>2</v>
      </c>
      <c r="P50" s="16" t="n">
        <v>16</v>
      </c>
      <c r="Q50" s="16" t="n">
        <v>11</v>
      </c>
      <c r="R50" s="16" t="n">
        <v>0</v>
      </c>
      <c r="S50" s="16" t="n">
        <v>29</v>
      </c>
      <c r="T50" s="17" t="n">
        <f aca="false">AVERAGE(O50:Q50)</f>
        <v>9.66666666666667</v>
      </c>
      <c r="U50" s="18" t="str">
        <f aca="false">IF(T50&gt;=$H$3,"Eligible","Not Eligible")</f>
        <v>Eligible</v>
      </c>
      <c r="V50" s="19" t="n">
        <f aca="false">IF(T50&lt;$H$3,0,IFERROR(T50/SUMIF($T$5:$T$999,"&gt;="&amp;$H$3),0))</f>
        <v>0.00404688808261234</v>
      </c>
      <c r="W50" s="15" t="str">
        <f aca="false">IF(T50=0,"Win-Back","Active")</f>
        <v>Active</v>
      </c>
      <c r="X50" s="20" t="n">
        <f aca="false">IF(T50=0,0,IF(T50&gt;=$H$3,ROUND(T50*$D$3/SUMIF($T$5:$T$999,"&gt;="&amp;$H$3),0),ROUNDUP(T50*$D$3/SUMIF($T$5:$T$999,"&gt;="&amp;$H$3),0)))</f>
        <v>11</v>
      </c>
      <c r="Y50" s="21" t="n">
        <v>5</v>
      </c>
      <c r="Z50" s="16" t="n">
        <f aca="false">IF(X50=0,"",X50-Y50)</f>
        <v>6</v>
      </c>
      <c r="AA50" s="22" t="n">
        <f aca="false">IFERROR(Y50/X50,"")</f>
        <v>0.454545454545455</v>
      </c>
      <c r="AB50" s="16" t="n">
        <v>0</v>
      </c>
      <c r="AC50" s="21" t="n">
        <v>5</v>
      </c>
    </row>
    <row r="51" customFormat="false" ht="15" hidden="false" customHeight="true" outlineLevel="0" collapsed="false">
      <c r="A51" s="15" t="s">
        <v>516</v>
      </c>
      <c r="B51" s="15" t="s">
        <v>517</v>
      </c>
      <c r="C51" s="15" t="s">
        <v>518</v>
      </c>
      <c r="D51" s="15" t="s">
        <v>519</v>
      </c>
      <c r="E51" s="15" t="s">
        <v>520</v>
      </c>
      <c r="F51" s="15" t="s">
        <v>521</v>
      </c>
      <c r="G51" s="15" t="s">
        <v>522</v>
      </c>
      <c r="H51" s="15" t="s">
        <v>523</v>
      </c>
      <c r="I51" s="15"/>
      <c r="J51" s="15" t="s">
        <v>69</v>
      </c>
      <c r="K51" s="15" t="s">
        <v>70</v>
      </c>
      <c r="L51" s="15" t="s">
        <v>71</v>
      </c>
      <c r="M51" s="15" t="s">
        <v>524</v>
      </c>
      <c r="N51" s="15" t="s">
        <v>73</v>
      </c>
      <c r="O51" s="16" t="n">
        <v>8</v>
      </c>
      <c r="P51" s="16" t="n">
        <v>7</v>
      </c>
      <c r="Q51" s="16" t="n">
        <v>14</v>
      </c>
      <c r="R51" s="16" t="n">
        <v>0</v>
      </c>
      <c r="S51" s="16" t="n">
        <v>29</v>
      </c>
      <c r="T51" s="17" t="n">
        <f aca="false">AVERAGE(O51:Q51)</f>
        <v>9.66666666666667</v>
      </c>
      <c r="U51" s="18" t="str">
        <f aca="false">IF(T51&gt;=$H$3,"Eligible","Not Eligible")</f>
        <v>Eligible</v>
      </c>
      <c r="V51" s="19" t="n">
        <f aca="false">IF(T51&lt;$H$3,0,IFERROR(T51/SUMIF($T$5:$T$999,"&gt;="&amp;$H$3),0))</f>
        <v>0.00404688808261234</v>
      </c>
      <c r="W51" s="15" t="str">
        <f aca="false">IF(T51=0,"Win-Back","Active")</f>
        <v>Active</v>
      </c>
      <c r="X51" s="20" t="n">
        <f aca="false">IF(T51=0,0,IF(T51&gt;=$H$3,ROUND(T51*$D$3/SUMIF($T$5:$T$999,"&gt;="&amp;$H$3),0),ROUNDUP(T51*$D$3/SUMIF($T$5:$T$999,"&gt;="&amp;$H$3),0)))</f>
        <v>11</v>
      </c>
      <c r="Y51" s="21" t="n">
        <v>14</v>
      </c>
      <c r="Z51" s="16" t="n">
        <f aca="false">IF(X51=0,"",X51-Y51)</f>
        <v>-3</v>
      </c>
      <c r="AA51" s="22" t="n">
        <f aca="false">IFERROR(Y51/X51,"")</f>
        <v>1.27272727272727</v>
      </c>
      <c r="AB51" s="16" t="n">
        <v>0</v>
      </c>
      <c r="AC51" s="21"/>
    </row>
    <row r="52" customFormat="false" ht="15" hidden="false" customHeight="true" outlineLevel="0" collapsed="false">
      <c r="A52" s="15" t="s">
        <v>525</v>
      </c>
      <c r="B52" s="15" t="s">
        <v>526</v>
      </c>
      <c r="C52" s="15" t="s">
        <v>527</v>
      </c>
      <c r="D52" s="15" t="s">
        <v>528</v>
      </c>
      <c r="E52" s="15" t="s">
        <v>529</v>
      </c>
      <c r="F52" s="15" t="s">
        <v>530</v>
      </c>
      <c r="G52" s="15" t="s">
        <v>531</v>
      </c>
      <c r="H52" s="15" t="s">
        <v>532</v>
      </c>
      <c r="I52" s="15"/>
      <c r="J52" s="15" t="s">
        <v>533</v>
      </c>
      <c r="K52" s="15" t="s">
        <v>368</v>
      </c>
      <c r="L52" s="15" t="s">
        <v>534</v>
      </c>
      <c r="M52" s="15" t="s">
        <v>535</v>
      </c>
      <c r="N52" s="15" t="s">
        <v>73</v>
      </c>
      <c r="O52" s="16" t="n">
        <v>0</v>
      </c>
      <c r="P52" s="16" t="n">
        <v>9</v>
      </c>
      <c r="Q52" s="16" t="n">
        <v>18</v>
      </c>
      <c r="R52" s="16" t="n">
        <v>0</v>
      </c>
      <c r="S52" s="16" t="n">
        <v>27</v>
      </c>
      <c r="T52" s="17" t="n">
        <f aca="false">AVERAGE(O52:Q52)</f>
        <v>9</v>
      </c>
      <c r="U52" s="18" t="str">
        <f aca="false">IF(T52&gt;=$H$3,"Eligible","Not Eligible")</f>
        <v>Eligible</v>
      </c>
      <c r="V52" s="19" t="n">
        <f aca="false">IF(T52&lt;$H$3,0,IFERROR(T52/SUMIF($T$5:$T$999,"&gt;="&amp;$H$3),0))</f>
        <v>0.003767792352777</v>
      </c>
      <c r="W52" s="15" t="str">
        <f aca="false">IF(T52=0,"Win-Back","Active")</f>
        <v>Active</v>
      </c>
      <c r="X52" s="20" t="n">
        <f aca="false">IF(T52=0,0,IF(T52&gt;=$H$3,ROUND(T52*$D$3/SUMIF($T$5:$T$999,"&gt;="&amp;$H$3),0),ROUNDUP(T52*$D$3/SUMIF($T$5:$T$999,"&gt;="&amp;$H$3),0)))</f>
        <v>10</v>
      </c>
      <c r="Y52" s="21"/>
      <c r="Z52" s="16" t="n">
        <f aca="false">IF(X52=0,"",X52-Y52)</f>
        <v>10</v>
      </c>
      <c r="AA52" s="22" t="n">
        <f aca="false">IFERROR(Y52/X52,"")</f>
        <v>0</v>
      </c>
      <c r="AB52" s="16" t="n">
        <v>0</v>
      </c>
      <c r="AC52" s="21"/>
    </row>
    <row r="53" customFormat="false" ht="15" hidden="false" customHeight="true" outlineLevel="0" collapsed="false">
      <c r="A53" s="15" t="s">
        <v>536</v>
      </c>
      <c r="B53" s="15" t="s">
        <v>537</v>
      </c>
      <c r="C53" s="15" t="s">
        <v>538</v>
      </c>
      <c r="D53" s="15" t="s">
        <v>539</v>
      </c>
      <c r="E53" s="15" t="s">
        <v>540</v>
      </c>
      <c r="F53" s="15" t="s">
        <v>541</v>
      </c>
      <c r="G53" s="15" t="s">
        <v>542</v>
      </c>
      <c r="H53" s="15" t="s">
        <v>543</v>
      </c>
      <c r="I53" s="15"/>
      <c r="J53" s="15" t="s">
        <v>46</v>
      </c>
      <c r="K53" s="15" t="s">
        <v>47</v>
      </c>
      <c r="L53" s="15" t="s">
        <v>48</v>
      </c>
      <c r="M53" s="15" t="s">
        <v>544</v>
      </c>
      <c r="N53" s="15" t="s">
        <v>50</v>
      </c>
      <c r="O53" s="16" t="n">
        <v>2</v>
      </c>
      <c r="P53" s="16" t="n">
        <v>11</v>
      </c>
      <c r="Q53" s="16" t="n">
        <v>13</v>
      </c>
      <c r="R53" s="16" t="n">
        <v>2</v>
      </c>
      <c r="S53" s="16" t="n">
        <v>28</v>
      </c>
      <c r="T53" s="17" t="n">
        <f aca="false">AVERAGE(O53:Q53)</f>
        <v>8.66666666666667</v>
      </c>
      <c r="U53" s="18" t="str">
        <f aca="false">IF(T53&gt;=$H$3,"Eligible","Not Eligible")</f>
        <v>Eligible</v>
      </c>
      <c r="V53" s="19" t="n">
        <f aca="false">IF(T53&lt;$H$3,0,IFERROR(T53/SUMIF($T$5:$T$999,"&gt;="&amp;$H$3),0))</f>
        <v>0.00362824448785934</v>
      </c>
      <c r="W53" s="15" t="str">
        <f aca="false">IF(T53=0,"Win-Back","Active")</f>
        <v>Active</v>
      </c>
      <c r="X53" s="20" t="n">
        <f aca="false">IF(T53=0,0,IF(T53&gt;=$H$3,ROUND(T53*$D$3/SUMIF($T$5:$T$999,"&gt;="&amp;$H$3),0),ROUNDUP(T53*$D$3/SUMIF($T$5:$T$999,"&gt;="&amp;$H$3),0)))</f>
        <v>10</v>
      </c>
      <c r="Y53" s="21" t="n">
        <v>2</v>
      </c>
      <c r="Z53" s="16" t="n">
        <f aca="false">IF(X53=0,"",X53-Y53)</f>
        <v>8</v>
      </c>
      <c r="AA53" s="22" t="n">
        <f aca="false">IFERROR(Y53/X53,"")</f>
        <v>0.2</v>
      </c>
      <c r="AB53" s="16" t="n">
        <v>0</v>
      </c>
      <c r="AC53" s="21"/>
    </row>
    <row r="54" customFormat="false" ht="15" hidden="false" customHeight="true" outlineLevel="0" collapsed="false">
      <c r="A54" s="15" t="s">
        <v>545</v>
      </c>
      <c r="B54" s="15" t="s">
        <v>546</v>
      </c>
      <c r="C54" s="15" t="s">
        <v>547</v>
      </c>
      <c r="D54" s="15" t="s">
        <v>548</v>
      </c>
      <c r="E54" s="15" t="s">
        <v>549</v>
      </c>
      <c r="F54" s="15" t="s">
        <v>550</v>
      </c>
      <c r="G54" s="15" t="s">
        <v>551</v>
      </c>
      <c r="H54" s="15" t="s">
        <v>365</v>
      </c>
      <c r="I54" s="15" t="s">
        <v>552</v>
      </c>
      <c r="J54" s="15" t="s">
        <v>367</v>
      </c>
      <c r="K54" s="15" t="s">
        <v>368</v>
      </c>
      <c r="L54" s="15" t="s">
        <v>369</v>
      </c>
      <c r="M54" s="15" t="s">
        <v>553</v>
      </c>
      <c r="N54" s="15" t="s">
        <v>73</v>
      </c>
      <c r="O54" s="16" t="n">
        <v>8</v>
      </c>
      <c r="P54" s="16" t="n">
        <v>11</v>
      </c>
      <c r="Q54" s="16" t="n">
        <v>7</v>
      </c>
      <c r="R54" s="16" t="n">
        <v>1</v>
      </c>
      <c r="S54" s="16" t="n">
        <v>27</v>
      </c>
      <c r="T54" s="17" t="n">
        <f aca="false">AVERAGE(O54:Q54)</f>
        <v>8.66666666666667</v>
      </c>
      <c r="U54" s="18" t="str">
        <f aca="false">IF(T54&gt;=$H$3,"Eligible","Not Eligible")</f>
        <v>Eligible</v>
      </c>
      <c r="V54" s="19" t="n">
        <f aca="false">IF(T54&lt;$H$3,0,IFERROR(T54/SUMIF($T$5:$T$999,"&gt;="&amp;$H$3),0))</f>
        <v>0.00362824448785934</v>
      </c>
      <c r="W54" s="15" t="str">
        <f aca="false">IF(T54=0,"Win-Back","Active")</f>
        <v>Active</v>
      </c>
      <c r="X54" s="20" t="n">
        <f aca="false">IF(T54=0,0,IF(T54&gt;=$H$3,ROUND(T54*$D$3/SUMIF($T$5:$T$999,"&gt;="&amp;$H$3),0),ROUNDUP(T54*$D$3/SUMIF($T$5:$T$999,"&gt;="&amp;$H$3),0)))</f>
        <v>10</v>
      </c>
      <c r="Y54" s="21" t="n">
        <v>4</v>
      </c>
      <c r="Z54" s="16" t="n">
        <f aca="false">IF(X54=0,"",X54-Y54)</f>
        <v>6</v>
      </c>
      <c r="AA54" s="22" t="n">
        <f aca="false">IFERROR(Y54/X54,"")</f>
        <v>0.4</v>
      </c>
      <c r="AB54" s="16" t="n">
        <v>11</v>
      </c>
      <c r="AC54" s="21"/>
    </row>
    <row r="55" customFormat="false" ht="15" hidden="false" customHeight="true" outlineLevel="0" collapsed="false">
      <c r="A55" s="15" t="s">
        <v>554</v>
      </c>
      <c r="B55" s="15" t="s">
        <v>555</v>
      </c>
      <c r="C55" s="15" t="s">
        <v>556</v>
      </c>
      <c r="D55" s="15" t="s">
        <v>557</v>
      </c>
      <c r="E55" s="15" t="s">
        <v>558</v>
      </c>
      <c r="F55" s="15" t="s">
        <v>559</v>
      </c>
      <c r="G55" s="15" t="s">
        <v>560</v>
      </c>
      <c r="H55" s="15" t="s">
        <v>561</v>
      </c>
      <c r="I55" s="15"/>
      <c r="J55" s="15" t="s">
        <v>562</v>
      </c>
      <c r="K55" s="15" t="s">
        <v>563</v>
      </c>
      <c r="L55" s="15" t="s">
        <v>564</v>
      </c>
      <c r="M55" s="15" t="s">
        <v>565</v>
      </c>
      <c r="N55" s="15" t="s">
        <v>73</v>
      </c>
      <c r="O55" s="16" t="n">
        <v>4</v>
      </c>
      <c r="P55" s="16" t="n">
        <v>10</v>
      </c>
      <c r="Q55" s="16" t="n">
        <v>12</v>
      </c>
      <c r="R55" s="16" t="n">
        <v>1</v>
      </c>
      <c r="S55" s="16" t="n">
        <v>27</v>
      </c>
      <c r="T55" s="17" t="n">
        <f aca="false">AVERAGE(O55:Q55)</f>
        <v>8.66666666666667</v>
      </c>
      <c r="U55" s="18" t="str">
        <f aca="false">IF(T55&gt;=$H$3,"Eligible","Not Eligible")</f>
        <v>Eligible</v>
      </c>
      <c r="V55" s="19" t="n">
        <f aca="false">IF(T55&lt;$H$3,0,IFERROR(T55/SUMIF($T$5:$T$999,"&gt;="&amp;$H$3),0))</f>
        <v>0.00362824448785934</v>
      </c>
      <c r="W55" s="15" t="str">
        <f aca="false">IF(T55=0,"Win-Back","Active")</f>
        <v>Active</v>
      </c>
      <c r="X55" s="20" t="n">
        <f aca="false">IF(T55=0,0,IF(T55&gt;=$H$3,ROUND(T55*$D$3/SUMIF($T$5:$T$999,"&gt;="&amp;$H$3),0),ROUNDUP(T55*$D$3/SUMIF($T$5:$T$999,"&gt;="&amp;$H$3),0)))</f>
        <v>10</v>
      </c>
      <c r="Y55" s="21" t="n">
        <v>6</v>
      </c>
      <c r="Z55" s="16" t="n">
        <f aca="false">IF(X55=0,"",X55-Y55)</f>
        <v>4</v>
      </c>
      <c r="AA55" s="22" t="n">
        <f aca="false">IFERROR(Y55/X55,"")</f>
        <v>0.6</v>
      </c>
      <c r="AB55" s="16" t="n">
        <v>0</v>
      </c>
      <c r="AC55" s="21"/>
    </row>
    <row r="56" customFormat="false" ht="15" hidden="false" customHeight="true" outlineLevel="0" collapsed="false">
      <c r="A56" s="15" t="s">
        <v>566</v>
      </c>
      <c r="B56" s="15" t="s">
        <v>567</v>
      </c>
      <c r="C56" s="15" t="s">
        <v>568</v>
      </c>
      <c r="D56" s="15" t="s">
        <v>569</v>
      </c>
      <c r="E56" s="15" t="s">
        <v>570</v>
      </c>
      <c r="F56" s="15" t="s">
        <v>571</v>
      </c>
      <c r="G56" s="15" t="s">
        <v>572</v>
      </c>
      <c r="H56" s="15" t="s">
        <v>573</v>
      </c>
      <c r="I56" s="15"/>
      <c r="J56" s="15" t="s">
        <v>367</v>
      </c>
      <c r="K56" s="15" t="s">
        <v>368</v>
      </c>
      <c r="L56" s="15" t="s">
        <v>369</v>
      </c>
      <c r="M56" s="15" t="s">
        <v>574</v>
      </c>
      <c r="N56" s="15" t="s">
        <v>73</v>
      </c>
      <c r="O56" s="16" t="n">
        <v>4</v>
      </c>
      <c r="P56" s="16" t="n">
        <v>2</v>
      </c>
      <c r="Q56" s="16" t="n">
        <v>18</v>
      </c>
      <c r="R56" s="16" t="n">
        <v>5</v>
      </c>
      <c r="S56" s="16" t="n">
        <v>29</v>
      </c>
      <c r="T56" s="17" t="n">
        <f aca="false">AVERAGE(O56:Q56)</f>
        <v>8</v>
      </c>
      <c r="U56" s="18" t="str">
        <f aca="false">IF(T56&gt;=$H$3,"Eligible","Not Eligible")</f>
        <v>Eligible</v>
      </c>
      <c r="V56" s="19" t="n">
        <f aca="false">IF(T56&lt;$H$3,0,IFERROR(T56/SUMIF($T$5:$T$999,"&gt;="&amp;$H$3),0))</f>
        <v>0.003349148758024</v>
      </c>
      <c r="W56" s="15" t="str">
        <f aca="false">IF(T56=0,"Win-Back","Active")</f>
        <v>Active</v>
      </c>
      <c r="X56" s="20" t="n">
        <f aca="false">IF(T56=0,0,IF(T56&gt;=$H$3,ROUND(T56*$D$3/SUMIF($T$5:$T$999,"&gt;="&amp;$H$3),0),ROUNDUP(T56*$D$3/SUMIF($T$5:$T$999,"&gt;="&amp;$H$3),0)))</f>
        <v>9</v>
      </c>
      <c r="Y56" s="21" t="n">
        <v>7</v>
      </c>
      <c r="Z56" s="16" t="n">
        <f aca="false">IF(X56=0,"",X56-Y56)</f>
        <v>2</v>
      </c>
      <c r="AA56" s="22" t="n">
        <f aca="false">IFERROR(Y56/X56,"")</f>
        <v>0.777777777777778</v>
      </c>
      <c r="AB56" s="16" t="n">
        <v>0</v>
      </c>
      <c r="AC56" s="21"/>
    </row>
    <row r="57" customFormat="false" ht="15" hidden="false" customHeight="true" outlineLevel="0" collapsed="false">
      <c r="A57" s="15" t="s">
        <v>575</v>
      </c>
      <c r="B57" s="15" t="s">
        <v>576</v>
      </c>
      <c r="C57" s="15" t="s">
        <v>577</v>
      </c>
      <c r="D57" s="15" t="s">
        <v>578</v>
      </c>
      <c r="E57" s="15" t="s">
        <v>579</v>
      </c>
      <c r="F57" s="15" t="s">
        <v>580</v>
      </c>
      <c r="G57" s="15" t="s">
        <v>581</v>
      </c>
      <c r="H57" s="15" t="s">
        <v>582</v>
      </c>
      <c r="I57" s="15"/>
      <c r="J57" s="15" t="s">
        <v>583</v>
      </c>
      <c r="K57" s="15" t="s">
        <v>234</v>
      </c>
      <c r="L57" s="15" t="s">
        <v>584</v>
      </c>
      <c r="M57" s="15" t="s">
        <v>585</v>
      </c>
      <c r="N57" s="15" t="s">
        <v>73</v>
      </c>
      <c r="O57" s="16" t="n">
        <v>11</v>
      </c>
      <c r="P57" s="16" t="n">
        <v>8</v>
      </c>
      <c r="Q57" s="16" t="n">
        <v>5</v>
      </c>
      <c r="R57" s="16" t="n">
        <v>0</v>
      </c>
      <c r="S57" s="16" t="n">
        <v>24</v>
      </c>
      <c r="T57" s="17" t="n">
        <f aca="false">AVERAGE(O57:Q57)</f>
        <v>8</v>
      </c>
      <c r="U57" s="18" t="str">
        <f aca="false">IF(T57&gt;=$H$3,"Eligible","Not Eligible")</f>
        <v>Eligible</v>
      </c>
      <c r="V57" s="19" t="n">
        <f aca="false">IF(T57&lt;$H$3,0,IFERROR(T57/SUMIF($T$5:$T$999,"&gt;="&amp;$H$3),0))</f>
        <v>0.003349148758024</v>
      </c>
      <c r="W57" s="15" t="str">
        <f aca="false">IF(T57=0,"Win-Back","Active")</f>
        <v>Active</v>
      </c>
      <c r="X57" s="20" t="n">
        <f aca="false">IF(T57=0,0,IF(T57&gt;=$H$3,ROUND(T57*$D$3/SUMIF($T$5:$T$999,"&gt;="&amp;$H$3),0),ROUNDUP(T57*$D$3/SUMIF($T$5:$T$999,"&gt;="&amp;$H$3),0)))</f>
        <v>9</v>
      </c>
      <c r="Y57" s="21" t="n">
        <v>17</v>
      </c>
      <c r="Z57" s="16" t="n">
        <f aca="false">IF(X57=0,"",X57-Y57)</f>
        <v>-8</v>
      </c>
      <c r="AA57" s="22" t="n">
        <f aca="false">IFERROR(Y57/X57,"")</f>
        <v>1.88888888888889</v>
      </c>
      <c r="AB57" s="16" t="n">
        <v>0</v>
      </c>
      <c r="AC57" s="21"/>
    </row>
    <row r="58" customFormat="false" ht="15" hidden="false" customHeight="true" outlineLevel="0" collapsed="false">
      <c r="A58" s="15" t="s">
        <v>586</v>
      </c>
      <c r="B58" s="15" t="s">
        <v>587</v>
      </c>
      <c r="C58" s="15" t="s">
        <v>588</v>
      </c>
      <c r="D58" s="15" t="s">
        <v>589</v>
      </c>
      <c r="E58" s="15" t="s">
        <v>590</v>
      </c>
      <c r="F58" s="15" t="s">
        <v>591</v>
      </c>
      <c r="G58" s="15" t="s">
        <v>592</v>
      </c>
      <c r="H58" s="15" t="s">
        <v>593</v>
      </c>
      <c r="I58" s="15"/>
      <c r="J58" s="15" t="s">
        <v>594</v>
      </c>
      <c r="K58" s="15" t="s">
        <v>368</v>
      </c>
      <c r="L58" s="15" t="s">
        <v>595</v>
      </c>
      <c r="M58" s="15" t="s">
        <v>596</v>
      </c>
      <c r="N58" s="15" t="s">
        <v>73</v>
      </c>
      <c r="O58" s="16" t="n">
        <v>5</v>
      </c>
      <c r="P58" s="16" t="n">
        <v>9</v>
      </c>
      <c r="Q58" s="16" t="n">
        <v>9</v>
      </c>
      <c r="R58" s="16" t="n">
        <v>3</v>
      </c>
      <c r="S58" s="16" t="n">
        <v>26</v>
      </c>
      <c r="T58" s="17" t="n">
        <f aca="false">AVERAGE(O58:Q58)</f>
        <v>7.66666666666667</v>
      </c>
      <c r="U58" s="18" t="str">
        <f aca="false">IF(T58&gt;=$H$3,"Eligible","Not Eligible")</f>
        <v>Eligible</v>
      </c>
      <c r="V58" s="19" t="n">
        <f aca="false">IF(T58&lt;$H$3,0,IFERROR(T58/SUMIF($T$5:$T$999,"&gt;="&amp;$H$3),0))</f>
        <v>0.00320960089310634</v>
      </c>
      <c r="W58" s="15" t="str">
        <f aca="false">IF(T58=0,"Win-Back","Active")</f>
        <v>Active</v>
      </c>
      <c r="X58" s="20" t="n">
        <f aca="false">IF(T58=0,0,IF(T58&gt;=$H$3,ROUND(T58*$D$3/SUMIF($T$5:$T$999,"&gt;="&amp;$H$3),0),ROUNDUP(T58*$D$3/SUMIF($T$5:$T$999,"&gt;="&amp;$H$3),0)))</f>
        <v>9</v>
      </c>
      <c r="Y58" s="21" t="n">
        <v>7</v>
      </c>
      <c r="Z58" s="16" t="n">
        <f aca="false">IF(X58=0,"",X58-Y58)</f>
        <v>2</v>
      </c>
      <c r="AA58" s="22" t="n">
        <f aca="false">IFERROR(Y58/X58,"")</f>
        <v>0.777777777777778</v>
      </c>
      <c r="AB58" s="16" t="n">
        <v>3</v>
      </c>
      <c r="AC58" s="21"/>
    </row>
    <row r="59" customFormat="false" ht="15" hidden="false" customHeight="true" outlineLevel="0" collapsed="false">
      <c r="A59" s="15" t="s">
        <v>597</v>
      </c>
      <c r="B59" s="15" t="s">
        <v>598</v>
      </c>
      <c r="C59" s="15" t="s">
        <v>599</v>
      </c>
      <c r="D59" s="15" t="s">
        <v>600</v>
      </c>
      <c r="E59" s="15" t="s">
        <v>601</v>
      </c>
      <c r="F59" s="15" t="s">
        <v>602</v>
      </c>
      <c r="G59" s="15" t="s">
        <v>603</v>
      </c>
      <c r="H59" s="15" t="s">
        <v>604</v>
      </c>
      <c r="I59" s="15"/>
      <c r="J59" s="15" t="s">
        <v>46</v>
      </c>
      <c r="K59" s="15" t="s">
        <v>47</v>
      </c>
      <c r="L59" s="15" t="s">
        <v>474</v>
      </c>
      <c r="M59" s="15" t="s">
        <v>605</v>
      </c>
      <c r="N59" s="15" t="s">
        <v>50</v>
      </c>
      <c r="O59" s="16" t="n">
        <v>2</v>
      </c>
      <c r="P59" s="16" t="n">
        <v>12</v>
      </c>
      <c r="Q59" s="16" t="n">
        <v>9</v>
      </c>
      <c r="R59" s="16" t="n">
        <v>1</v>
      </c>
      <c r="S59" s="16" t="n">
        <v>24</v>
      </c>
      <c r="T59" s="17" t="n">
        <f aca="false">AVERAGE(O59:Q59)</f>
        <v>7.66666666666667</v>
      </c>
      <c r="U59" s="18" t="str">
        <f aca="false">IF(T59&gt;=$H$3,"Eligible","Not Eligible")</f>
        <v>Eligible</v>
      </c>
      <c r="V59" s="19" t="n">
        <f aca="false">IF(T59&lt;$H$3,0,IFERROR(T59/SUMIF($T$5:$T$999,"&gt;="&amp;$H$3),0))</f>
        <v>0.00320960089310634</v>
      </c>
      <c r="W59" s="15" t="str">
        <f aca="false">IF(T59=0,"Win-Back","Active")</f>
        <v>Active</v>
      </c>
      <c r="X59" s="20" t="n">
        <f aca="false">IF(T59=0,0,IF(T59&gt;=$H$3,ROUND(T59*$D$3/SUMIF($T$5:$T$999,"&gt;="&amp;$H$3),0),ROUNDUP(T59*$D$3/SUMIF($T$5:$T$999,"&gt;="&amp;$H$3),0)))</f>
        <v>9</v>
      </c>
      <c r="Y59" s="21" t="n">
        <v>4</v>
      </c>
      <c r="Z59" s="16" t="n">
        <f aca="false">IF(X59=0,"",X59-Y59)</f>
        <v>5</v>
      </c>
      <c r="AA59" s="22" t="n">
        <f aca="false">IFERROR(Y59/X59,"")</f>
        <v>0.444444444444444</v>
      </c>
      <c r="AB59" s="16" t="n">
        <v>0</v>
      </c>
      <c r="AC59" s="21"/>
    </row>
    <row r="60" customFormat="false" ht="15" hidden="false" customHeight="true" outlineLevel="0" collapsed="false">
      <c r="A60" s="15" t="s">
        <v>606</v>
      </c>
      <c r="B60" s="15" t="s">
        <v>607</v>
      </c>
      <c r="C60" s="15" t="s">
        <v>608</v>
      </c>
      <c r="D60" s="15" t="s">
        <v>609</v>
      </c>
      <c r="E60" s="15" t="s">
        <v>610</v>
      </c>
      <c r="F60" s="15"/>
      <c r="G60" s="15" t="s">
        <v>611</v>
      </c>
      <c r="H60" s="15" t="s">
        <v>612</v>
      </c>
      <c r="I60" s="15" t="s">
        <v>613</v>
      </c>
      <c r="J60" s="15" t="s">
        <v>614</v>
      </c>
      <c r="K60" s="15" t="s">
        <v>615</v>
      </c>
      <c r="L60" s="15" t="s">
        <v>616</v>
      </c>
      <c r="M60" s="15" t="s">
        <v>617</v>
      </c>
      <c r="N60" s="15" t="s">
        <v>73</v>
      </c>
      <c r="O60" s="16" t="n">
        <v>6</v>
      </c>
      <c r="P60" s="16" t="n">
        <v>9</v>
      </c>
      <c r="Q60" s="16" t="n">
        <v>7</v>
      </c>
      <c r="R60" s="16" t="n">
        <v>0</v>
      </c>
      <c r="S60" s="16" t="n">
        <v>22</v>
      </c>
      <c r="T60" s="17" t="n">
        <f aca="false">AVERAGE(O60:Q60)</f>
        <v>7.33333333333333</v>
      </c>
      <c r="U60" s="18" t="str">
        <f aca="false">IF(T60&gt;=$H$3,"Eligible","Not Eligible")</f>
        <v>Eligible</v>
      </c>
      <c r="V60" s="19" t="n">
        <f aca="false">IF(T60&lt;$H$3,0,IFERROR(T60/SUMIF($T$5:$T$999,"&gt;="&amp;$H$3),0))</f>
        <v>0.00307005302818867</v>
      </c>
      <c r="W60" s="15" t="str">
        <f aca="false">IF(T60=0,"Win-Back","Active")</f>
        <v>Active</v>
      </c>
      <c r="X60" s="20" t="n">
        <f aca="false">IF(T60=0,0,IF(T60&gt;=$H$3,ROUND(T60*$D$3/SUMIF($T$5:$T$999,"&gt;="&amp;$H$3),0),ROUNDUP(T60*$D$3/SUMIF($T$5:$T$999,"&gt;="&amp;$H$3),0)))</f>
        <v>8</v>
      </c>
      <c r="Y60" s="21" t="n">
        <v>9</v>
      </c>
      <c r="Z60" s="16" t="n">
        <f aca="false">IF(X60=0,"",X60-Y60)</f>
        <v>-1</v>
      </c>
      <c r="AA60" s="22" t="n">
        <f aca="false">IFERROR(Y60/X60,"")</f>
        <v>1.125</v>
      </c>
      <c r="AB60" s="16" t="n">
        <v>0</v>
      </c>
      <c r="AC60" s="21"/>
    </row>
    <row r="61" customFormat="false" ht="15" hidden="false" customHeight="true" outlineLevel="0" collapsed="false">
      <c r="A61" s="15" t="s">
        <v>618</v>
      </c>
      <c r="B61" s="15" t="s">
        <v>619</v>
      </c>
      <c r="C61" s="15" t="s">
        <v>620</v>
      </c>
      <c r="D61" s="15" t="s">
        <v>621</v>
      </c>
      <c r="E61" s="15" t="s">
        <v>622</v>
      </c>
      <c r="F61" s="15" t="s">
        <v>623</v>
      </c>
      <c r="G61" s="15" t="s">
        <v>624</v>
      </c>
      <c r="H61" s="15" t="s">
        <v>625</v>
      </c>
      <c r="I61" s="15"/>
      <c r="J61" s="15" t="s">
        <v>46</v>
      </c>
      <c r="K61" s="15" t="s">
        <v>47</v>
      </c>
      <c r="L61" s="15" t="s">
        <v>626</v>
      </c>
      <c r="M61" s="15" t="s">
        <v>627</v>
      </c>
      <c r="N61" s="15" t="s">
        <v>50</v>
      </c>
      <c r="O61" s="16" t="n">
        <v>5</v>
      </c>
      <c r="P61" s="16" t="n">
        <v>13</v>
      </c>
      <c r="Q61" s="16" t="n">
        <v>4</v>
      </c>
      <c r="R61" s="16" t="n">
        <v>0</v>
      </c>
      <c r="S61" s="16" t="n">
        <v>22</v>
      </c>
      <c r="T61" s="17" t="n">
        <f aca="false">AVERAGE(O61:Q61)</f>
        <v>7.33333333333333</v>
      </c>
      <c r="U61" s="18" t="str">
        <f aca="false">IF(T61&gt;=$H$3,"Eligible","Not Eligible")</f>
        <v>Eligible</v>
      </c>
      <c r="V61" s="19" t="n">
        <f aca="false">IF(T61&lt;$H$3,0,IFERROR(T61/SUMIF($T$5:$T$999,"&gt;="&amp;$H$3),0))</f>
        <v>0.00307005302818867</v>
      </c>
      <c r="W61" s="15" t="str">
        <f aca="false">IF(T61=0,"Win-Back","Active")</f>
        <v>Active</v>
      </c>
      <c r="X61" s="20" t="n">
        <f aca="false">IF(T61=0,0,IF(T61&gt;=$H$3,ROUND(T61*$D$3/SUMIF($T$5:$T$999,"&gt;="&amp;$H$3),0),ROUNDUP(T61*$D$3/SUMIF($T$5:$T$999,"&gt;="&amp;$H$3),0)))</f>
        <v>8</v>
      </c>
      <c r="Y61" s="21" t="n">
        <v>2</v>
      </c>
      <c r="Z61" s="16" t="n">
        <f aca="false">IF(X61=0,"",X61-Y61)</f>
        <v>6</v>
      </c>
      <c r="AA61" s="22" t="n">
        <f aca="false">IFERROR(Y61/X61,"")</f>
        <v>0.25</v>
      </c>
      <c r="AB61" s="16" t="n">
        <v>0</v>
      </c>
      <c r="AC61" s="21"/>
    </row>
    <row r="62" customFormat="false" ht="15" hidden="false" customHeight="true" outlineLevel="0" collapsed="false">
      <c r="A62" s="15" t="s">
        <v>628</v>
      </c>
      <c r="B62" s="15" t="s">
        <v>629</v>
      </c>
      <c r="C62" s="15" t="s">
        <v>630</v>
      </c>
      <c r="D62" s="15" t="s">
        <v>631</v>
      </c>
      <c r="E62" s="15" t="s">
        <v>632</v>
      </c>
      <c r="F62" s="15" t="s">
        <v>633</v>
      </c>
      <c r="G62" s="15" t="s">
        <v>634</v>
      </c>
      <c r="H62" s="15" t="s">
        <v>635</v>
      </c>
      <c r="I62" s="15"/>
      <c r="J62" s="15" t="s">
        <v>492</v>
      </c>
      <c r="K62" s="15" t="s">
        <v>493</v>
      </c>
      <c r="L62" s="15" t="s">
        <v>636</v>
      </c>
      <c r="M62" s="15" t="s">
        <v>637</v>
      </c>
      <c r="N62" s="15" t="s">
        <v>73</v>
      </c>
      <c r="O62" s="16" t="n">
        <v>0</v>
      </c>
      <c r="P62" s="16" t="n">
        <v>5</v>
      </c>
      <c r="Q62" s="16" t="n">
        <v>16</v>
      </c>
      <c r="R62" s="16" t="n">
        <v>3</v>
      </c>
      <c r="S62" s="16" t="n">
        <v>24</v>
      </c>
      <c r="T62" s="17" t="n">
        <f aca="false">AVERAGE(O62:Q62)</f>
        <v>7</v>
      </c>
      <c r="U62" s="18" t="str">
        <f aca="false">IF(T62&gt;=$H$3,"Eligible","Not Eligible")</f>
        <v>Eligible</v>
      </c>
      <c r="V62" s="19" t="n">
        <f aca="false">IF(T62&lt;$H$3,0,IFERROR(T62/SUMIF($T$5:$T$999,"&gt;="&amp;$H$3),0))</f>
        <v>0.002930505163271</v>
      </c>
      <c r="W62" s="15" t="str">
        <f aca="false">IF(T62=0,"Win-Back","Active")</f>
        <v>Active</v>
      </c>
      <c r="X62" s="20" t="n">
        <f aca="false">IF(T62=0,0,IF(T62&gt;=$H$3,ROUND(T62*$D$3/SUMIF($T$5:$T$999,"&gt;="&amp;$H$3),0),ROUNDUP(T62*$D$3/SUMIF($T$5:$T$999,"&gt;="&amp;$H$3),0)))</f>
        <v>8</v>
      </c>
      <c r="Y62" s="21" t="n">
        <v>5</v>
      </c>
      <c r="Z62" s="16" t="n">
        <f aca="false">IF(X62=0,"",X62-Y62)</f>
        <v>3</v>
      </c>
      <c r="AA62" s="22" t="n">
        <f aca="false">IFERROR(Y62/X62,"")</f>
        <v>0.625</v>
      </c>
      <c r="AB62" s="16" t="n">
        <v>0</v>
      </c>
      <c r="AC62" s="21"/>
    </row>
    <row r="63" customFormat="false" ht="15" hidden="false" customHeight="true" outlineLevel="0" collapsed="false">
      <c r="A63" s="15" t="s">
        <v>638</v>
      </c>
      <c r="B63" s="15" t="s">
        <v>639</v>
      </c>
      <c r="C63" s="15" t="s">
        <v>640</v>
      </c>
      <c r="D63" s="15" t="s">
        <v>641</v>
      </c>
      <c r="E63" s="15" t="s">
        <v>642</v>
      </c>
      <c r="F63" s="15" t="s">
        <v>643</v>
      </c>
      <c r="G63" s="15" t="s">
        <v>644</v>
      </c>
      <c r="H63" s="15" t="s">
        <v>645</v>
      </c>
      <c r="I63" s="15"/>
      <c r="J63" s="15" t="s">
        <v>646</v>
      </c>
      <c r="K63" s="15" t="s">
        <v>47</v>
      </c>
      <c r="L63" s="15" t="s">
        <v>647</v>
      </c>
      <c r="M63" s="15" t="s">
        <v>648</v>
      </c>
      <c r="N63" s="15" t="s">
        <v>73</v>
      </c>
      <c r="O63" s="16" t="n">
        <v>10</v>
      </c>
      <c r="P63" s="16" t="n">
        <v>5</v>
      </c>
      <c r="Q63" s="16" t="n">
        <v>6</v>
      </c>
      <c r="R63" s="16" t="n">
        <v>0</v>
      </c>
      <c r="S63" s="16" t="n">
        <v>21</v>
      </c>
      <c r="T63" s="17" t="n">
        <f aca="false">AVERAGE(O63:Q63)</f>
        <v>7</v>
      </c>
      <c r="U63" s="18" t="str">
        <f aca="false">IF(T63&gt;=$H$3,"Eligible","Not Eligible")</f>
        <v>Eligible</v>
      </c>
      <c r="V63" s="19" t="n">
        <f aca="false">IF(T63&lt;$H$3,0,IFERROR(T63/SUMIF($T$5:$T$999,"&gt;="&amp;$H$3),0))</f>
        <v>0.002930505163271</v>
      </c>
      <c r="W63" s="15" t="str">
        <f aca="false">IF(T63=0,"Win-Back","Active")</f>
        <v>Active</v>
      </c>
      <c r="X63" s="20" t="n">
        <f aca="false">IF(T63=0,0,IF(T63&gt;=$H$3,ROUND(T63*$D$3/SUMIF($T$5:$T$999,"&gt;="&amp;$H$3),0),ROUNDUP(T63*$D$3/SUMIF($T$5:$T$999,"&gt;="&amp;$H$3),0)))</f>
        <v>8</v>
      </c>
      <c r="Y63" s="21" t="n">
        <v>8</v>
      </c>
      <c r="Z63" s="16" t="n">
        <f aca="false">IF(X63=0,"",X63-Y63)</f>
        <v>0</v>
      </c>
      <c r="AA63" s="22" t="n">
        <f aca="false">IFERROR(Y63/X63,"")</f>
        <v>1</v>
      </c>
      <c r="AB63" s="16" t="n">
        <v>0</v>
      </c>
      <c r="AC63" s="21"/>
    </row>
    <row r="64" customFormat="false" ht="15" hidden="false" customHeight="true" outlineLevel="0" collapsed="false">
      <c r="A64" s="15" t="s">
        <v>649</v>
      </c>
      <c r="B64" s="15" t="s">
        <v>650</v>
      </c>
      <c r="C64" s="15" t="s">
        <v>651</v>
      </c>
      <c r="D64" s="15" t="s">
        <v>280</v>
      </c>
      <c r="E64" s="15" t="s">
        <v>652</v>
      </c>
      <c r="F64" s="15" t="s">
        <v>653</v>
      </c>
      <c r="G64" s="15" t="s">
        <v>283</v>
      </c>
      <c r="H64" s="15" t="s">
        <v>654</v>
      </c>
      <c r="I64" s="15"/>
      <c r="J64" s="15" t="s">
        <v>655</v>
      </c>
      <c r="K64" s="15" t="s">
        <v>70</v>
      </c>
      <c r="L64" s="15" t="s">
        <v>656</v>
      </c>
      <c r="M64" s="15" t="s">
        <v>288</v>
      </c>
      <c r="N64" s="15" t="s">
        <v>73</v>
      </c>
      <c r="O64" s="16" t="n">
        <v>0</v>
      </c>
      <c r="P64" s="16" t="n">
        <v>4</v>
      </c>
      <c r="Q64" s="16" t="n">
        <v>16</v>
      </c>
      <c r="R64" s="16" t="n">
        <v>3</v>
      </c>
      <c r="S64" s="16" t="n">
        <v>23</v>
      </c>
      <c r="T64" s="17" t="n">
        <f aca="false">AVERAGE(O64:Q64)</f>
        <v>6.66666666666667</v>
      </c>
      <c r="U64" s="18" t="str">
        <f aca="false">IF(T64&gt;=$H$3,"Eligible","Not Eligible")</f>
        <v>Eligible</v>
      </c>
      <c r="V64" s="19" t="n">
        <f aca="false">IF(T64&lt;$H$3,0,IFERROR(T64/SUMIF($T$5:$T$999,"&gt;="&amp;$H$3),0))</f>
        <v>0.00279095729835334</v>
      </c>
      <c r="W64" s="15" t="str">
        <f aca="false">IF(T64=0,"Win-Back","Active")</f>
        <v>Active</v>
      </c>
      <c r="X64" s="20" t="n">
        <f aca="false">IF(T64=0,0,IF(T64&gt;=$H$3,ROUND(T64*$D$3/SUMIF($T$5:$T$999,"&gt;="&amp;$H$3),0),ROUNDUP(T64*$D$3/SUMIF($T$5:$T$999,"&gt;="&amp;$H$3),0)))</f>
        <v>8</v>
      </c>
      <c r="Y64" s="21" t="n">
        <v>2</v>
      </c>
      <c r="Z64" s="16" t="n">
        <f aca="false">IF(X64=0,"",X64-Y64)</f>
        <v>6</v>
      </c>
      <c r="AA64" s="22" t="n">
        <f aca="false">IFERROR(Y64/X64,"")</f>
        <v>0.25</v>
      </c>
      <c r="AB64" s="16" t="n">
        <v>0</v>
      </c>
      <c r="AC64" s="21"/>
    </row>
    <row r="65" customFormat="false" ht="15" hidden="false" customHeight="true" outlineLevel="0" collapsed="false">
      <c r="A65" s="15" t="s">
        <v>657</v>
      </c>
      <c r="B65" s="15" t="s">
        <v>658</v>
      </c>
      <c r="C65" s="15" t="s">
        <v>659</v>
      </c>
      <c r="D65" s="15" t="s">
        <v>660</v>
      </c>
      <c r="E65" s="15" t="s">
        <v>661</v>
      </c>
      <c r="F65" s="15" t="s">
        <v>662</v>
      </c>
      <c r="G65" s="15" t="s">
        <v>663</v>
      </c>
      <c r="H65" s="15" t="s">
        <v>664</v>
      </c>
      <c r="I65" s="15" t="s">
        <v>665</v>
      </c>
      <c r="J65" s="15" t="s">
        <v>666</v>
      </c>
      <c r="K65" s="15" t="s">
        <v>47</v>
      </c>
      <c r="L65" s="15" t="s">
        <v>667</v>
      </c>
      <c r="M65" s="15" t="s">
        <v>668</v>
      </c>
      <c r="N65" s="15" t="s">
        <v>50</v>
      </c>
      <c r="O65" s="16" t="n">
        <v>1</v>
      </c>
      <c r="P65" s="16" t="n">
        <v>11</v>
      </c>
      <c r="Q65" s="16" t="n">
        <v>8</v>
      </c>
      <c r="R65" s="16" t="n">
        <v>3</v>
      </c>
      <c r="S65" s="16" t="n">
        <v>23</v>
      </c>
      <c r="T65" s="17" t="n">
        <f aca="false">AVERAGE(O65:Q65)</f>
        <v>6.66666666666667</v>
      </c>
      <c r="U65" s="18" t="str">
        <f aca="false">IF(T65&gt;=$H$3,"Eligible","Not Eligible")</f>
        <v>Eligible</v>
      </c>
      <c r="V65" s="19" t="n">
        <f aca="false">IF(T65&lt;$H$3,0,IFERROR(T65/SUMIF($T$5:$T$999,"&gt;="&amp;$H$3),0))</f>
        <v>0.00279095729835334</v>
      </c>
      <c r="W65" s="15" t="str">
        <f aca="false">IF(T65=0,"Win-Back","Active")</f>
        <v>Active</v>
      </c>
      <c r="X65" s="20" t="n">
        <f aca="false">IF(T65=0,0,IF(T65&gt;=$H$3,ROUND(T65*$D$3/SUMIF($T$5:$T$999,"&gt;="&amp;$H$3),0),ROUNDUP(T65*$D$3/SUMIF($T$5:$T$999,"&gt;="&amp;$H$3),0)))</f>
        <v>8</v>
      </c>
      <c r="Y65" s="21" t="n">
        <v>2</v>
      </c>
      <c r="Z65" s="16" t="n">
        <f aca="false">IF(X65=0,"",X65-Y65)</f>
        <v>6</v>
      </c>
      <c r="AA65" s="22" t="n">
        <f aca="false">IFERROR(Y65/X65,"")</f>
        <v>0.25</v>
      </c>
      <c r="AB65" s="16" t="n">
        <v>0</v>
      </c>
      <c r="AC65" s="21"/>
    </row>
    <row r="66" customFormat="false" ht="15" hidden="false" customHeight="true" outlineLevel="0" collapsed="false">
      <c r="A66" s="15" t="s">
        <v>669</v>
      </c>
      <c r="B66" s="15" t="s">
        <v>670</v>
      </c>
      <c r="C66" s="15" t="s">
        <v>671</v>
      </c>
      <c r="D66" s="15" t="s">
        <v>672</v>
      </c>
      <c r="E66" s="15" t="s">
        <v>673</v>
      </c>
      <c r="F66" s="15" t="s">
        <v>674</v>
      </c>
      <c r="G66" s="15" t="s">
        <v>675</v>
      </c>
      <c r="H66" s="15" t="s">
        <v>676</v>
      </c>
      <c r="I66" s="15"/>
      <c r="J66" s="15" t="s">
        <v>677</v>
      </c>
      <c r="K66" s="15" t="s">
        <v>678</v>
      </c>
      <c r="L66" s="15" t="s">
        <v>679</v>
      </c>
      <c r="M66" s="15" t="s">
        <v>680</v>
      </c>
      <c r="N66" s="15" t="s">
        <v>73</v>
      </c>
      <c r="O66" s="16" t="n">
        <v>1</v>
      </c>
      <c r="P66" s="16" t="n">
        <v>4</v>
      </c>
      <c r="Q66" s="16" t="n">
        <v>15</v>
      </c>
      <c r="R66" s="16" t="n">
        <v>0</v>
      </c>
      <c r="S66" s="16" t="n">
        <v>20</v>
      </c>
      <c r="T66" s="17" t="n">
        <f aca="false">AVERAGE(O66:Q66)</f>
        <v>6.66666666666667</v>
      </c>
      <c r="U66" s="18" t="str">
        <f aca="false">IF(T66&gt;=$H$3,"Eligible","Not Eligible")</f>
        <v>Eligible</v>
      </c>
      <c r="V66" s="19" t="n">
        <f aca="false">IF(T66&lt;$H$3,0,IFERROR(T66/SUMIF($T$5:$T$999,"&gt;="&amp;$H$3),0))</f>
        <v>0.00279095729835334</v>
      </c>
      <c r="W66" s="15" t="str">
        <f aca="false">IF(T66=0,"Win-Back","Active")</f>
        <v>Active</v>
      </c>
      <c r="X66" s="20" t="n">
        <f aca="false">IF(T66=0,0,IF(T66&gt;=$H$3,ROUND(T66*$D$3/SUMIF($T$5:$T$999,"&gt;="&amp;$H$3),0),ROUNDUP(T66*$D$3/SUMIF($T$5:$T$999,"&gt;="&amp;$H$3),0)))</f>
        <v>8</v>
      </c>
      <c r="Y66" s="21" t="n">
        <v>5</v>
      </c>
      <c r="Z66" s="16" t="n">
        <f aca="false">IF(X66=0,"",X66-Y66)</f>
        <v>3</v>
      </c>
      <c r="AA66" s="22" t="n">
        <f aca="false">IFERROR(Y66/X66,"")</f>
        <v>0.625</v>
      </c>
      <c r="AB66" s="16" t="n">
        <v>0</v>
      </c>
      <c r="AC66" s="21"/>
    </row>
    <row r="67" customFormat="false" ht="15" hidden="false" customHeight="true" outlineLevel="0" collapsed="false">
      <c r="A67" s="15" t="s">
        <v>681</v>
      </c>
      <c r="B67" s="15" t="s">
        <v>682</v>
      </c>
      <c r="C67" s="15" t="s">
        <v>683</v>
      </c>
      <c r="D67" s="15" t="s">
        <v>684</v>
      </c>
      <c r="E67" s="15" t="s">
        <v>685</v>
      </c>
      <c r="F67" s="15" t="s">
        <v>686</v>
      </c>
      <c r="G67" s="15" t="s">
        <v>687</v>
      </c>
      <c r="H67" s="15" t="s">
        <v>688</v>
      </c>
      <c r="I67" s="15"/>
      <c r="J67" s="15" t="s">
        <v>689</v>
      </c>
      <c r="K67" s="15" t="s">
        <v>47</v>
      </c>
      <c r="L67" s="15" t="s">
        <v>690</v>
      </c>
      <c r="M67" s="15" t="s">
        <v>691</v>
      </c>
      <c r="N67" s="15" t="s">
        <v>73</v>
      </c>
      <c r="O67" s="16" t="n">
        <v>6</v>
      </c>
      <c r="P67" s="16" t="n">
        <v>6</v>
      </c>
      <c r="Q67" s="16" t="n">
        <v>8</v>
      </c>
      <c r="R67" s="16" t="n">
        <v>0</v>
      </c>
      <c r="S67" s="16" t="n">
        <v>20</v>
      </c>
      <c r="T67" s="17" t="n">
        <f aca="false">AVERAGE(O67:Q67)</f>
        <v>6.66666666666667</v>
      </c>
      <c r="U67" s="18" t="str">
        <f aca="false">IF(T67&gt;=$H$3,"Eligible","Not Eligible")</f>
        <v>Eligible</v>
      </c>
      <c r="V67" s="19" t="n">
        <f aca="false">IF(T67&lt;$H$3,0,IFERROR(T67/SUMIF($T$5:$T$999,"&gt;="&amp;$H$3),0))</f>
        <v>0.00279095729835334</v>
      </c>
      <c r="W67" s="15" t="str">
        <f aca="false">IF(T67=0,"Win-Back","Active")</f>
        <v>Active</v>
      </c>
      <c r="X67" s="20" t="n">
        <f aca="false">IF(T67=0,0,IF(T67&gt;=$H$3,ROUND(T67*$D$3/SUMIF($T$5:$T$999,"&gt;="&amp;$H$3),0),ROUNDUP(T67*$D$3/SUMIF($T$5:$T$999,"&gt;="&amp;$H$3),0)))</f>
        <v>8</v>
      </c>
      <c r="Y67" s="21" t="n">
        <v>1</v>
      </c>
      <c r="Z67" s="16" t="n">
        <f aca="false">IF(X67=0,"",X67-Y67)</f>
        <v>7</v>
      </c>
      <c r="AA67" s="22" t="n">
        <f aca="false">IFERROR(Y67/X67,"")</f>
        <v>0.125</v>
      </c>
      <c r="AB67" s="16" t="n">
        <v>0</v>
      </c>
      <c r="AC67" s="21"/>
    </row>
    <row r="68" customFormat="false" ht="15" hidden="false" customHeight="true" outlineLevel="0" collapsed="false">
      <c r="A68" s="15" t="s">
        <v>692</v>
      </c>
      <c r="B68" s="15" t="s">
        <v>693</v>
      </c>
      <c r="C68" s="15" t="s">
        <v>694</v>
      </c>
      <c r="D68" s="15" t="s">
        <v>695</v>
      </c>
      <c r="E68" s="15" t="s">
        <v>696</v>
      </c>
      <c r="F68" s="15" t="s">
        <v>697</v>
      </c>
      <c r="G68" s="15" t="s">
        <v>698</v>
      </c>
      <c r="H68" s="15" t="s">
        <v>699</v>
      </c>
      <c r="I68" s="15"/>
      <c r="J68" s="15" t="s">
        <v>700</v>
      </c>
      <c r="K68" s="15" t="s">
        <v>70</v>
      </c>
      <c r="L68" s="15" t="s">
        <v>701</v>
      </c>
      <c r="M68" s="15" t="s">
        <v>702</v>
      </c>
      <c r="N68" s="15" t="s">
        <v>73</v>
      </c>
      <c r="O68" s="16" t="n">
        <v>7</v>
      </c>
      <c r="P68" s="16" t="n">
        <v>9</v>
      </c>
      <c r="Q68" s="16" t="n">
        <v>3</v>
      </c>
      <c r="R68" s="16" t="n">
        <v>1</v>
      </c>
      <c r="S68" s="16" t="n">
        <v>20</v>
      </c>
      <c r="T68" s="17" t="n">
        <f aca="false">AVERAGE(O68:Q68)</f>
        <v>6.33333333333333</v>
      </c>
      <c r="U68" s="18" t="str">
        <f aca="false">IF(T68&gt;=$H$3,"Eligible","Not Eligible")</f>
        <v>Eligible</v>
      </c>
      <c r="V68" s="19" t="n">
        <f aca="false">IF(T68&lt;$H$3,0,IFERROR(T68/SUMIF($T$5:$T$999,"&gt;="&amp;$H$3),0))</f>
        <v>0.00265140943343567</v>
      </c>
      <c r="W68" s="15" t="str">
        <f aca="false">IF(T68=0,"Win-Back","Active")</f>
        <v>Active</v>
      </c>
      <c r="X68" s="20" t="n">
        <f aca="false">IF(T68=0,0,IF(T68&gt;=$H$3,ROUND(T68*$D$3/SUMIF($T$5:$T$999,"&gt;="&amp;$H$3),0),ROUNDUP(T68*$D$3/SUMIF($T$5:$T$999,"&gt;="&amp;$H$3),0)))</f>
        <v>7</v>
      </c>
      <c r="Y68" s="21" t="n">
        <v>5</v>
      </c>
      <c r="Z68" s="16" t="n">
        <f aca="false">IF(X68=0,"",X68-Y68)</f>
        <v>2</v>
      </c>
      <c r="AA68" s="22" t="n">
        <f aca="false">IFERROR(Y68/X68,"")</f>
        <v>0.714285714285714</v>
      </c>
      <c r="AB68" s="16" t="n">
        <v>0</v>
      </c>
      <c r="AC68" s="21"/>
    </row>
    <row r="69" customFormat="false" ht="15" hidden="false" customHeight="true" outlineLevel="0" collapsed="false">
      <c r="A69" s="15" t="s">
        <v>703</v>
      </c>
      <c r="B69" s="15" t="s">
        <v>704</v>
      </c>
      <c r="C69" s="15" t="s">
        <v>705</v>
      </c>
      <c r="D69" s="15" t="s">
        <v>706</v>
      </c>
      <c r="E69" s="15" t="s">
        <v>707</v>
      </c>
      <c r="F69" s="15" t="s">
        <v>708</v>
      </c>
      <c r="G69" s="15" t="s">
        <v>709</v>
      </c>
      <c r="H69" s="15" t="s">
        <v>710</v>
      </c>
      <c r="I69" s="15" t="s">
        <v>711</v>
      </c>
      <c r="J69" s="15" t="s">
        <v>712</v>
      </c>
      <c r="K69" s="15" t="s">
        <v>70</v>
      </c>
      <c r="L69" s="15" t="s">
        <v>713</v>
      </c>
      <c r="M69" s="15" t="s">
        <v>714</v>
      </c>
      <c r="N69" s="15" t="s">
        <v>73</v>
      </c>
      <c r="O69" s="16" t="n">
        <v>4</v>
      </c>
      <c r="P69" s="16" t="n">
        <v>9</v>
      </c>
      <c r="Q69" s="16" t="n">
        <v>6</v>
      </c>
      <c r="R69" s="16" t="n">
        <v>1</v>
      </c>
      <c r="S69" s="16" t="n">
        <v>20</v>
      </c>
      <c r="T69" s="17" t="n">
        <f aca="false">AVERAGE(O69:Q69)</f>
        <v>6.33333333333333</v>
      </c>
      <c r="U69" s="18" t="str">
        <f aca="false">IF(T69&gt;=$H$3,"Eligible","Not Eligible")</f>
        <v>Eligible</v>
      </c>
      <c r="V69" s="19" t="n">
        <f aca="false">IF(T69&lt;$H$3,0,IFERROR(T69/SUMIF($T$5:$T$999,"&gt;="&amp;$H$3),0))</f>
        <v>0.00265140943343567</v>
      </c>
      <c r="W69" s="15" t="str">
        <f aca="false">IF(T69=0,"Win-Back","Active")</f>
        <v>Active</v>
      </c>
      <c r="X69" s="20" t="n">
        <f aca="false">IF(T69=0,0,IF(T69&gt;=$H$3,ROUND(T69*$D$3/SUMIF($T$5:$T$999,"&gt;="&amp;$H$3),0),ROUNDUP(T69*$D$3/SUMIF($T$5:$T$999,"&gt;="&amp;$H$3),0)))</f>
        <v>7</v>
      </c>
      <c r="Y69" s="21" t="n">
        <v>3</v>
      </c>
      <c r="Z69" s="16" t="n">
        <f aca="false">IF(X69=0,"",X69-Y69)</f>
        <v>4</v>
      </c>
      <c r="AA69" s="22" t="n">
        <f aca="false">IFERROR(Y69/X69,"")</f>
        <v>0.428571428571429</v>
      </c>
      <c r="AB69" s="16" t="n">
        <v>0</v>
      </c>
      <c r="AC69" s="21"/>
    </row>
    <row r="70" customFormat="false" ht="15" hidden="false" customHeight="true" outlineLevel="0" collapsed="false">
      <c r="A70" s="15" t="s">
        <v>715</v>
      </c>
      <c r="B70" s="15" t="s">
        <v>716</v>
      </c>
      <c r="C70" s="15" t="s">
        <v>717</v>
      </c>
      <c r="D70" s="15" t="s">
        <v>718</v>
      </c>
      <c r="E70" s="15" t="s">
        <v>719</v>
      </c>
      <c r="F70" s="15" t="s">
        <v>720</v>
      </c>
      <c r="G70" s="15" t="s">
        <v>721</v>
      </c>
      <c r="H70" s="15" t="s">
        <v>722</v>
      </c>
      <c r="I70" s="15"/>
      <c r="J70" s="15" t="s">
        <v>723</v>
      </c>
      <c r="K70" s="15" t="s">
        <v>70</v>
      </c>
      <c r="L70" s="15" t="s">
        <v>724</v>
      </c>
      <c r="M70" s="15" t="s">
        <v>725</v>
      </c>
      <c r="N70" s="15" t="s">
        <v>73</v>
      </c>
      <c r="O70" s="16" t="n">
        <v>8</v>
      </c>
      <c r="P70" s="16" t="n">
        <v>6</v>
      </c>
      <c r="Q70" s="16" t="n">
        <v>5</v>
      </c>
      <c r="R70" s="16" t="n">
        <v>1</v>
      </c>
      <c r="S70" s="16" t="n">
        <v>20</v>
      </c>
      <c r="T70" s="17" t="n">
        <f aca="false">AVERAGE(O70:Q70)</f>
        <v>6.33333333333333</v>
      </c>
      <c r="U70" s="18" t="str">
        <f aca="false">IF(T70&gt;=$H$3,"Eligible","Not Eligible")</f>
        <v>Eligible</v>
      </c>
      <c r="V70" s="19" t="n">
        <f aca="false">IF(T70&lt;$H$3,0,IFERROR(T70/SUMIF($T$5:$T$999,"&gt;="&amp;$H$3),0))</f>
        <v>0.00265140943343567</v>
      </c>
      <c r="W70" s="15" t="str">
        <f aca="false">IF(T70=0,"Win-Back","Active")</f>
        <v>Active</v>
      </c>
      <c r="X70" s="20" t="n">
        <f aca="false">IF(T70=0,0,IF(T70&gt;=$H$3,ROUND(T70*$D$3/SUMIF($T$5:$T$999,"&gt;="&amp;$H$3),0),ROUNDUP(T70*$D$3/SUMIF($T$5:$T$999,"&gt;="&amp;$H$3),0)))</f>
        <v>7</v>
      </c>
      <c r="Y70" s="21" t="n">
        <v>3</v>
      </c>
      <c r="Z70" s="16" t="n">
        <f aca="false">IF(X70=0,"",X70-Y70)</f>
        <v>4</v>
      </c>
      <c r="AA70" s="22" t="n">
        <f aca="false">IFERROR(Y70/X70,"")</f>
        <v>0.428571428571429</v>
      </c>
      <c r="AB70" s="16" t="n">
        <v>3</v>
      </c>
      <c r="AC70" s="21"/>
    </row>
    <row r="71" customFormat="false" ht="15" hidden="false" customHeight="true" outlineLevel="0" collapsed="false">
      <c r="A71" s="15" t="s">
        <v>726</v>
      </c>
      <c r="B71" s="15" t="s">
        <v>727</v>
      </c>
      <c r="C71" s="15" t="s">
        <v>728</v>
      </c>
      <c r="D71" s="15" t="s">
        <v>729</v>
      </c>
      <c r="E71" s="15" t="s">
        <v>730</v>
      </c>
      <c r="F71" s="15" t="s">
        <v>731</v>
      </c>
      <c r="G71" s="15" t="s">
        <v>732</v>
      </c>
      <c r="H71" s="15" t="s">
        <v>733</v>
      </c>
      <c r="I71" s="15"/>
      <c r="J71" s="15" t="s">
        <v>734</v>
      </c>
      <c r="K71" s="15" t="s">
        <v>735</v>
      </c>
      <c r="L71" s="15" t="s">
        <v>736</v>
      </c>
      <c r="M71" s="15" t="s">
        <v>737</v>
      </c>
      <c r="N71" s="15" t="s">
        <v>73</v>
      </c>
      <c r="O71" s="16" t="n">
        <v>6</v>
      </c>
      <c r="P71" s="16" t="n">
        <v>6</v>
      </c>
      <c r="Q71" s="16" t="n">
        <v>6</v>
      </c>
      <c r="R71" s="16" t="n">
        <v>3</v>
      </c>
      <c r="S71" s="16" t="n">
        <v>21</v>
      </c>
      <c r="T71" s="17" t="n">
        <f aca="false">AVERAGE(O71:Q71)</f>
        <v>6</v>
      </c>
      <c r="U71" s="18" t="str">
        <f aca="false">IF(T71&gt;=$H$3,"Eligible","Not Eligible")</f>
        <v>Eligible</v>
      </c>
      <c r="V71" s="19" t="n">
        <f aca="false">IF(T71&lt;$H$3,0,IFERROR(T71/SUMIF($T$5:$T$999,"&gt;="&amp;$H$3),0))</f>
        <v>0.002511861568518</v>
      </c>
      <c r="W71" s="15" t="str">
        <f aca="false">IF(T71=0,"Win-Back","Active")</f>
        <v>Active</v>
      </c>
      <c r="X71" s="20" t="n">
        <f aca="false">IF(T71=0,0,IF(T71&gt;=$H$3,ROUND(T71*$D$3/SUMIF($T$5:$T$999,"&gt;="&amp;$H$3),0),ROUNDUP(T71*$D$3/SUMIF($T$5:$T$999,"&gt;="&amp;$H$3),0)))</f>
        <v>7</v>
      </c>
      <c r="Y71" s="21" t="n">
        <v>5</v>
      </c>
      <c r="Z71" s="16" t="n">
        <f aca="false">IF(X71=0,"",X71-Y71)</f>
        <v>2</v>
      </c>
      <c r="AA71" s="22" t="n">
        <f aca="false">IFERROR(Y71/X71,"")</f>
        <v>0.714285714285714</v>
      </c>
      <c r="AB71" s="16" t="n">
        <v>0</v>
      </c>
      <c r="AC71" s="21"/>
    </row>
    <row r="72" customFormat="false" ht="15" hidden="false" customHeight="true" outlineLevel="0" collapsed="false">
      <c r="A72" s="15" t="s">
        <v>738</v>
      </c>
      <c r="B72" s="15" t="s">
        <v>739</v>
      </c>
      <c r="C72" s="15" t="s">
        <v>740</v>
      </c>
      <c r="D72" s="15" t="s">
        <v>741</v>
      </c>
      <c r="E72" s="15" t="s">
        <v>742</v>
      </c>
      <c r="F72" s="15" t="s">
        <v>743</v>
      </c>
      <c r="G72" s="15" t="s">
        <v>744</v>
      </c>
      <c r="H72" s="15" t="s">
        <v>745</v>
      </c>
      <c r="I72" s="15" t="s">
        <v>746</v>
      </c>
      <c r="J72" s="15" t="s">
        <v>379</v>
      </c>
      <c r="K72" s="15" t="s">
        <v>368</v>
      </c>
      <c r="L72" s="15" t="s">
        <v>747</v>
      </c>
      <c r="M72" s="15" t="s">
        <v>748</v>
      </c>
      <c r="N72" s="15" t="s">
        <v>73</v>
      </c>
      <c r="O72" s="16" t="n">
        <v>4</v>
      </c>
      <c r="P72" s="16" t="n">
        <v>6</v>
      </c>
      <c r="Q72" s="16" t="n">
        <v>8</v>
      </c>
      <c r="R72" s="16" t="n">
        <v>3</v>
      </c>
      <c r="S72" s="16" t="n">
        <v>21</v>
      </c>
      <c r="T72" s="17" t="n">
        <f aca="false">AVERAGE(O72:Q72)</f>
        <v>6</v>
      </c>
      <c r="U72" s="18" t="str">
        <f aca="false">IF(T72&gt;=$H$3,"Eligible","Not Eligible")</f>
        <v>Eligible</v>
      </c>
      <c r="V72" s="19" t="n">
        <f aca="false">IF(T72&lt;$H$3,0,IFERROR(T72/SUMIF($T$5:$T$999,"&gt;="&amp;$H$3),0))</f>
        <v>0.002511861568518</v>
      </c>
      <c r="W72" s="15" t="str">
        <f aca="false">IF(T72=0,"Win-Back","Active")</f>
        <v>Active</v>
      </c>
      <c r="X72" s="20" t="n">
        <f aca="false">IF(T72=0,0,IF(T72&gt;=$H$3,ROUND(T72*$D$3/SUMIF($T$5:$T$999,"&gt;="&amp;$H$3),0),ROUNDUP(T72*$D$3/SUMIF($T$5:$T$999,"&gt;="&amp;$H$3),0)))</f>
        <v>7</v>
      </c>
      <c r="Y72" s="21" t="n">
        <v>2</v>
      </c>
      <c r="Z72" s="16" t="n">
        <f aca="false">IF(X72=0,"",X72-Y72)</f>
        <v>5</v>
      </c>
      <c r="AA72" s="22" t="n">
        <f aca="false">IFERROR(Y72/X72,"")</f>
        <v>0.285714285714286</v>
      </c>
      <c r="AB72" s="16" t="n">
        <v>0</v>
      </c>
      <c r="AC72" s="21"/>
    </row>
    <row r="73" customFormat="false" ht="15" hidden="false" customHeight="true" outlineLevel="0" collapsed="false">
      <c r="A73" s="15" t="s">
        <v>749</v>
      </c>
      <c r="B73" s="15" t="s">
        <v>750</v>
      </c>
      <c r="C73" s="15" t="s">
        <v>751</v>
      </c>
      <c r="D73" s="15" t="s">
        <v>752</v>
      </c>
      <c r="E73" s="15" t="s">
        <v>753</v>
      </c>
      <c r="F73" s="15" t="s">
        <v>754</v>
      </c>
      <c r="G73" s="15" t="s">
        <v>755</v>
      </c>
      <c r="H73" s="15" t="s">
        <v>756</v>
      </c>
      <c r="I73" s="15"/>
      <c r="J73" s="15" t="s">
        <v>46</v>
      </c>
      <c r="K73" s="15" t="s">
        <v>47</v>
      </c>
      <c r="L73" s="15" t="s">
        <v>48</v>
      </c>
      <c r="M73" s="15" t="s">
        <v>757</v>
      </c>
      <c r="N73" s="15" t="s">
        <v>50</v>
      </c>
      <c r="O73" s="16" t="n">
        <v>6</v>
      </c>
      <c r="P73" s="16" t="n">
        <v>5</v>
      </c>
      <c r="Q73" s="16" t="n">
        <v>7</v>
      </c>
      <c r="R73" s="16" t="n">
        <v>1</v>
      </c>
      <c r="S73" s="16" t="n">
        <v>19</v>
      </c>
      <c r="T73" s="17" t="n">
        <f aca="false">AVERAGE(O73:Q73)</f>
        <v>6</v>
      </c>
      <c r="U73" s="18" t="str">
        <f aca="false">IF(T73&gt;=$H$3,"Eligible","Not Eligible")</f>
        <v>Eligible</v>
      </c>
      <c r="V73" s="19" t="n">
        <f aca="false">IF(T73&lt;$H$3,0,IFERROR(T73/SUMIF($T$5:$T$999,"&gt;="&amp;$H$3),0))</f>
        <v>0.002511861568518</v>
      </c>
      <c r="W73" s="15" t="str">
        <f aca="false">IF(T73=0,"Win-Back","Active")</f>
        <v>Active</v>
      </c>
      <c r="X73" s="20" t="n">
        <f aca="false">IF(T73=0,0,IF(T73&gt;=$H$3,ROUND(T73*$D$3/SUMIF($T$5:$T$999,"&gt;="&amp;$H$3),0),ROUNDUP(T73*$D$3/SUMIF($T$5:$T$999,"&gt;="&amp;$H$3),0)))</f>
        <v>7</v>
      </c>
      <c r="Y73" s="21" t="n">
        <v>12</v>
      </c>
      <c r="Z73" s="16" t="n">
        <f aca="false">IF(X73=0,"",X73-Y73)</f>
        <v>-5</v>
      </c>
      <c r="AA73" s="22" t="n">
        <f aca="false">IFERROR(Y73/X73,"")</f>
        <v>1.71428571428571</v>
      </c>
      <c r="AB73" s="16" t="n">
        <v>0</v>
      </c>
      <c r="AC73" s="21"/>
    </row>
    <row r="74" customFormat="false" ht="15" hidden="false" customHeight="true" outlineLevel="0" collapsed="false">
      <c r="A74" s="15" t="s">
        <v>758</v>
      </c>
      <c r="B74" s="15" t="s">
        <v>759</v>
      </c>
      <c r="C74" s="15" t="s">
        <v>760</v>
      </c>
      <c r="D74" s="15" t="s">
        <v>761</v>
      </c>
      <c r="E74" s="15" t="s">
        <v>762</v>
      </c>
      <c r="F74" s="15" t="s">
        <v>763</v>
      </c>
      <c r="G74" s="15" t="s">
        <v>764</v>
      </c>
      <c r="H74" s="15" t="s">
        <v>765</v>
      </c>
      <c r="I74" s="15"/>
      <c r="J74" s="15" t="s">
        <v>766</v>
      </c>
      <c r="K74" s="15" t="s">
        <v>402</v>
      </c>
      <c r="L74" s="15" t="s">
        <v>767</v>
      </c>
      <c r="M74" s="15" t="s">
        <v>768</v>
      </c>
      <c r="N74" s="15" t="s">
        <v>73</v>
      </c>
      <c r="O74" s="16" t="n">
        <v>3</v>
      </c>
      <c r="P74" s="16" t="n">
        <v>7</v>
      </c>
      <c r="Q74" s="16" t="n">
        <v>8</v>
      </c>
      <c r="R74" s="16" t="n">
        <v>0</v>
      </c>
      <c r="S74" s="16" t="n">
        <v>18</v>
      </c>
      <c r="T74" s="17" t="n">
        <f aca="false">AVERAGE(O74:Q74)</f>
        <v>6</v>
      </c>
      <c r="U74" s="18" t="str">
        <f aca="false">IF(T74&gt;=$H$3,"Eligible","Not Eligible")</f>
        <v>Eligible</v>
      </c>
      <c r="V74" s="19" t="n">
        <f aca="false">IF(T74&lt;$H$3,0,IFERROR(T74/SUMIF($T$5:$T$999,"&gt;="&amp;$H$3),0))</f>
        <v>0.002511861568518</v>
      </c>
      <c r="W74" s="15" t="str">
        <f aca="false">IF(T74=0,"Win-Back","Active")</f>
        <v>Active</v>
      </c>
      <c r="X74" s="20" t="n">
        <f aca="false">IF(T74=0,0,IF(T74&gt;=$H$3,ROUND(T74*$D$3/SUMIF($T$5:$T$999,"&gt;="&amp;$H$3),0),ROUNDUP(T74*$D$3/SUMIF($T$5:$T$999,"&gt;="&amp;$H$3),0)))</f>
        <v>7</v>
      </c>
      <c r="Y74" s="21" t="n">
        <v>2</v>
      </c>
      <c r="Z74" s="16" t="n">
        <f aca="false">IF(X74=0,"",X74-Y74)</f>
        <v>5</v>
      </c>
      <c r="AA74" s="22" t="n">
        <f aca="false">IFERROR(Y74/X74,"")</f>
        <v>0.285714285714286</v>
      </c>
      <c r="AB74" s="16" t="n">
        <v>0</v>
      </c>
      <c r="AC74" s="21"/>
    </row>
    <row r="75" customFormat="false" ht="15" hidden="false" customHeight="true" outlineLevel="0" collapsed="false">
      <c r="A75" s="15" t="s">
        <v>769</v>
      </c>
      <c r="B75" s="15" t="s">
        <v>770</v>
      </c>
      <c r="C75" s="15" t="s">
        <v>771</v>
      </c>
      <c r="D75" s="15" t="s">
        <v>772</v>
      </c>
      <c r="E75" s="15" t="s">
        <v>773</v>
      </c>
      <c r="F75" s="15" t="s">
        <v>774</v>
      </c>
      <c r="G75" s="15" t="s">
        <v>775</v>
      </c>
      <c r="H75" s="15" t="s">
        <v>776</v>
      </c>
      <c r="I75" s="15"/>
      <c r="J75" s="15" t="s">
        <v>777</v>
      </c>
      <c r="K75" s="15" t="s">
        <v>70</v>
      </c>
      <c r="L75" s="15" t="s">
        <v>778</v>
      </c>
      <c r="M75" s="15" t="s">
        <v>779</v>
      </c>
      <c r="N75" s="15" t="s">
        <v>73</v>
      </c>
      <c r="O75" s="16" t="n">
        <v>7</v>
      </c>
      <c r="P75" s="16" t="n">
        <v>7</v>
      </c>
      <c r="Q75" s="16" t="n">
        <v>4</v>
      </c>
      <c r="R75" s="16" t="n">
        <v>0</v>
      </c>
      <c r="S75" s="16" t="n">
        <v>18</v>
      </c>
      <c r="T75" s="17" t="n">
        <f aca="false">AVERAGE(O75:Q75)</f>
        <v>6</v>
      </c>
      <c r="U75" s="18" t="str">
        <f aca="false">IF(T75&gt;=$H$3,"Eligible","Not Eligible")</f>
        <v>Eligible</v>
      </c>
      <c r="V75" s="19" t="n">
        <f aca="false">IF(T75&lt;$H$3,0,IFERROR(T75/SUMIF($T$5:$T$999,"&gt;="&amp;$H$3),0))</f>
        <v>0.002511861568518</v>
      </c>
      <c r="W75" s="15" t="str">
        <f aca="false">IF(T75=0,"Win-Back","Active")</f>
        <v>Active</v>
      </c>
      <c r="X75" s="20" t="n">
        <f aca="false">IF(T75=0,0,IF(T75&gt;=$H$3,ROUND(T75*$D$3/SUMIF($T$5:$T$999,"&gt;="&amp;$H$3),0),ROUNDUP(T75*$D$3/SUMIF($T$5:$T$999,"&gt;="&amp;$H$3),0)))</f>
        <v>7</v>
      </c>
      <c r="Y75" s="21" t="n">
        <v>3</v>
      </c>
      <c r="Z75" s="16" t="n">
        <f aca="false">IF(X75=0,"",X75-Y75)</f>
        <v>4</v>
      </c>
      <c r="AA75" s="22" t="n">
        <f aca="false">IFERROR(Y75/X75,"")</f>
        <v>0.428571428571429</v>
      </c>
      <c r="AB75" s="16" t="n">
        <v>0</v>
      </c>
      <c r="AC75" s="21"/>
    </row>
    <row r="76" customFormat="false" ht="15" hidden="false" customHeight="true" outlineLevel="0" collapsed="false">
      <c r="A76" s="15" t="s">
        <v>780</v>
      </c>
      <c r="B76" s="15" t="s">
        <v>781</v>
      </c>
      <c r="C76" s="15" t="s">
        <v>782</v>
      </c>
      <c r="D76" s="15" t="s">
        <v>783</v>
      </c>
      <c r="E76" s="15" t="s">
        <v>784</v>
      </c>
      <c r="F76" s="15" t="s">
        <v>785</v>
      </c>
      <c r="G76" s="15" t="s">
        <v>786</v>
      </c>
      <c r="H76" s="15" t="s">
        <v>787</v>
      </c>
      <c r="I76" s="15"/>
      <c r="J76" s="15" t="s">
        <v>777</v>
      </c>
      <c r="K76" s="15" t="s">
        <v>70</v>
      </c>
      <c r="L76" s="15" t="s">
        <v>788</v>
      </c>
      <c r="M76" s="15" t="s">
        <v>789</v>
      </c>
      <c r="N76" s="15" t="s">
        <v>73</v>
      </c>
      <c r="O76" s="16" t="n">
        <v>1</v>
      </c>
      <c r="P76" s="16" t="n">
        <v>7</v>
      </c>
      <c r="Q76" s="16" t="n">
        <v>9</v>
      </c>
      <c r="R76" s="16" t="n">
        <v>3</v>
      </c>
      <c r="S76" s="16" t="n">
        <v>20</v>
      </c>
      <c r="T76" s="17" t="n">
        <f aca="false">AVERAGE(O76:Q76)</f>
        <v>5.66666666666667</v>
      </c>
      <c r="U76" s="18" t="str">
        <f aca="false">IF(T76&gt;=$H$3,"Eligible","Not Eligible")</f>
        <v>Eligible</v>
      </c>
      <c r="V76" s="19" t="n">
        <f aca="false">IF(T76&lt;$H$3,0,IFERROR(T76/SUMIF($T$5:$T$999,"&gt;="&amp;$H$3),0))</f>
        <v>0.00237231370360034</v>
      </c>
      <c r="W76" s="15" t="str">
        <f aca="false">IF(T76=0,"Win-Back","Active")</f>
        <v>Active</v>
      </c>
      <c r="X76" s="20" t="n">
        <f aca="false">IF(T76=0,0,IF(T76&gt;=$H$3,ROUND(T76*$D$3/SUMIF($T$5:$T$999,"&gt;="&amp;$H$3),0),ROUNDUP(T76*$D$3/SUMIF($T$5:$T$999,"&gt;="&amp;$H$3),0)))</f>
        <v>7</v>
      </c>
      <c r="Y76" s="21" t="n">
        <v>5</v>
      </c>
      <c r="Z76" s="16" t="n">
        <f aca="false">IF(X76=0,"",X76-Y76)</f>
        <v>2</v>
      </c>
      <c r="AA76" s="22" t="n">
        <f aca="false">IFERROR(Y76/X76,"")</f>
        <v>0.714285714285714</v>
      </c>
      <c r="AB76" s="16" t="n">
        <v>0</v>
      </c>
      <c r="AC76" s="21" t="n">
        <v>4</v>
      </c>
    </row>
    <row r="77" customFormat="false" ht="15" hidden="false" customHeight="true" outlineLevel="0" collapsed="false">
      <c r="A77" s="15" t="s">
        <v>790</v>
      </c>
      <c r="B77" s="15" t="s">
        <v>791</v>
      </c>
      <c r="C77" s="15" t="s">
        <v>792</v>
      </c>
      <c r="D77" s="15" t="s">
        <v>793</v>
      </c>
      <c r="E77" s="15" t="s">
        <v>794</v>
      </c>
      <c r="F77" s="15" t="s">
        <v>795</v>
      </c>
      <c r="G77" s="15" t="s">
        <v>796</v>
      </c>
      <c r="H77" s="15" t="s">
        <v>797</v>
      </c>
      <c r="I77" s="15"/>
      <c r="J77" s="15" t="s">
        <v>798</v>
      </c>
      <c r="K77" s="15" t="s">
        <v>47</v>
      </c>
      <c r="L77" s="15" t="s">
        <v>48</v>
      </c>
      <c r="M77" s="15" t="s">
        <v>799</v>
      </c>
      <c r="N77" s="15" t="s">
        <v>50</v>
      </c>
      <c r="O77" s="16" t="n">
        <v>1</v>
      </c>
      <c r="P77" s="16" t="n">
        <v>11</v>
      </c>
      <c r="Q77" s="16" t="n">
        <v>5</v>
      </c>
      <c r="R77" s="16" t="n">
        <v>1</v>
      </c>
      <c r="S77" s="16" t="n">
        <v>18</v>
      </c>
      <c r="T77" s="17" t="n">
        <f aca="false">AVERAGE(O77:Q77)</f>
        <v>5.66666666666667</v>
      </c>
      <c r="U77" s="18" t="str">
        <f aca="false">IF(T77&gt;=$H$3,"Eligible","Not Eligible")</f>
        <v>Eligible</v>
      </c>
      <c r="V77" s="19" t="n">
        <f aca="false">IF(T77&lt;$H$3,0,IFERROR(T77/SUMIF($T$5:$T$999,"&gt;="&amp;$H$3),0))</f>
        <v>0.00237231370360034</v>
      </c>
      <c r="W77" s="15" t="str">
        <f aca="false">IF(T77=0,"Win-Back","Active")</f>
        <v>Active</v>
      </c>
      <c r="X77" s="20" t="n">
        <f aca="false">IF(T77=0,0,IF(T77&gt;=$H$3,ROUND(T77*$D$3/SUMIF($T$5:$T$999,"&gt;="&amp;$H$3),0),ROUNDUP(T77*$D$3/SUMIF($T$5:$T$999,"&gt;="&amp;$H$3),0)))</f>
        <v>7</v>
      </c>
      <c r="Y77" s="21"/>
      <c r="Z77" s="16" t="n">
        <f aca="false">IF(X77=0,"",X77-Y77)</f>
        <v>7</v>
      </c>
      <c r="AA77" s="22" t="n">
        <f aca="false">IFERROR(Y77/X77,"")</f>
        <v>0</v>
      </c>
      <c r="AB77" s="16" t="n">
        <v>0</v>
      </c>
      <c r="AC77" s="21"/>
    </row>
    <row r="78" customFormat="false" ht="15" hidden="false" customHeight="true" outlineLevel="0" collapsed="false">
      <c r="A78" s="15" t="s">
        <v>800</v>
      </c>
      <c r="B78" s="15" t="s">
        <v>801</v>
      </c>
      <c r="C78" s="15" t="s">
        <v>802</v>
      </c>
      <c r="D78" s="15" t="s">
        <v>803</v>
      </c>
      <c r="E78" s="15" t="s">
        <v>804</v>
      </c>
      <c r="F78" s="15" t="s">
        <v>805</v>
      </c>
      <c r="G78" s="15" t="s">
        <v>806</v>
      </c>
      <c r="H78" s="15" t="s">
        <v>807</v>
      </c>
      <c r="I78" s="15" t="s">
        <v>808</v>
      </c>
      <c r="J78" s="15" t="s">
        <v>809</v>
      </c>
      <c r="K78" s="15" t="s">
        <v>735</v>
      </c>
      <c r="L78" s="15" t="s">
        <v>810</v>
      </c>
      <c r="M78" s="15" t="s">
        <v>811</v>
      </c>
      <c r="N78" s="15" t="s">
        <v>73</v>
      </c>
      <c r="O78" s="16" t="n">
        <v>7</v>
      </c>
      <c r="P78" s="16" t="n">
        <v>6</v>
      </c>
      <c r="Q78" s="16" t="n">
        <v>4</v>
      </c>
      <c r="R78" s="16" t="n">
        <v>0</v>
      </c>
      <c r="S78" s="16" t="n">
        <v>17</v>
      </c>
      <c r="T78" s="17" t="n">
        <f aca="false">AVERAGE(O78:Q78)</f>
        <v>5.66666666666667</v>
      </c>
      <c r="U78" s="18" t="str">
        <f aca="false">IF(T78&gt;=$H$3,"Eligible","Not Eligible")</f>
        <v>Eligible</v>
      </c>
      <c r="V78" s="19" t="n">
        <f aca="false">IF(T78&lt;$H$3,0,IFERROR(T78/SUMIF($T$5:$T$999,"&gt;="&amp;$H$3),0))</f>
        <v>0.00237231370360034</v>
      </c>
      <c r="W78" s="15" t="str">
        <f aca="false">IF(T78=0,"Win-Back","Active")</f>
        <v>Active</v>
      </c>
      <c r="X78" s="20" t="n">
        <f aca="false">IF(T78=0,0,IF(T78&gt;=$H$3,ROUND(T78*$D$3/SUMIF($T$5:$T$999,"&gt;="&amp;$H$3),0),ROUNDUP(T78*$D$3/SUMIF($T$5:$T$999,"&gt;="&amp;$H$3),0)))</f>
        <v>7</v>
      </c>
      <c r="Y78" s="21" t="n">
        <v>11</v>
      </c>
      <c r="Z78" s="16" t="n">
        <f aca="false">IF(X78=0,"",X78-Y78)</f>
        <v>-4</v>
      </c>
      <c r="AA78" s="22" t="n">
        <f aca="false">IFERROR(Y78/X78,"")</f>
        <v>1.57142857142857</v>
      </c>
      <c r="AB78" s="16" t="n">
        <v>0</v>
      </c>
      <c r="AC78" s="21"/>
    </row>
    <row r="79" customFormat="false" ht="15" hidden="false" customHeight="true" outlineLevel="0" collapsed="false">
      <c r="A79" s="15" t="s">
        <v>812</v>
      </c>
      <c r="B79" s="15" t="s">
        <v>813</v>
      </c>
      <c r="C79" s="15" t="s">
        <v>814</v>
      </c>
      <c r="D79" s="15" t="s">
        <v>815</v>
      </c>
      <c r="E79" s="15" t="s">
        <v>816</v>
      </c>
      <c r="F79" s="15"/>
      <c r="G79" s="15" t="s">
        <v>817</v>
      </c>
      <c r="H79" s="15" t="s">
        <v>818</v>
      </c>
      <c r="I79" s="15"/>
      <c r="J79" s="15" t="s">
        <v>46</v>
      </c>
      <c r="K79" s="15" t="s">
        <v>47</v>
      </c>
      <c r="L79" s="15" t="s">
        <v>48</v>
      </c>
      <c r="M79" s="15" t="s">
        <v>819</v>
      </c>
      <c r="N79" s="15" t="s">
        <v>50</v>
      </c>
      <c r="O79" s="16" t="n">
        <v>8</v>
      </c>
      <c r="P79" s="16" t="n">
        <v>9</v>
      </c>
      <c r="Q79" s="16" t="n">
        <v>0</v>
      </c>
      <c r="R79" s="16" t="n">
        <v>0</v>
      </c>
      <c r="S79" s="16" t="n">
        <v>17</v>
      </c>
      <c r="T79" s="17" t="n">
        <f aca="false">AVERAGE(O79:Q79)</f>
        <v>5.66666666666667</v>
      </c>
      <c r="U79" s="18" t="str">
        <f aca="false">IF(T79&gt;=$H$3,"Eligible","Not Eligible")</f>
        <v>Eligible</v>
      </c>
      <c r="V79" s="19" t="n">
        <f aca="false">IF(T79&lt;$H$3,0,IFERROR(T79/SUMIF($T$5:$T$999,"&gt;="&amp;$H$3),0))</f>
        <v>0.00237231370360034</v>
      </c>
      <c r="W79" s="15" t="str">
        <f aca="false">IF(T79=0,"Win-Back","Active")</f>
        <v>Active</v>
      </c>
      <c r="X79" s="20" t="n">
        <f aca="false">IF(T79=0,0,IF(T79&gt;=$H$3,ROUND(T79*$D$3/SUMIF($T$5:$T$999,"&gt;="&amp;$H$3),0),ROUNDUP(T79*$D$3/SUMIF($T$5:$T$999,"&gt;="&amp;$H$3),0)))</f>
        <v>7</v>
      </c>
      <c r="Y79" s="21" t="n">
        <v>9</v>
      </c>
      <c r="Z79" s="16" t="n">
        <f aca="false">IF(X79=0,"",X79-Y79)</f>
        <v>-2</v>
      </c>
      <c r="AA79" s="22" t="n">
        <f aca="false">IFERROR(Y79/X79,"")</f>
        <v>1.28571428571429</v>
      </c>
      <c r="AB79" s="16" t="n">
        <v>0</v>
      </c>
      <c r="AC79" s="21"/>
    </row>
    <row r="80" customFormat="false" ht="15" hidden="false" customHeight="true" outlineLevel="0" collapsed="false">
      <c r="A80" s="15" t="s">
        <v>820</v>
      </c>
      <c r="B80" s="15" t="s">
        <v>821</v>
      </c>
      <c r="C80" s="15" t="s">
        <v>822</v>
      </c>
      <c r="D80" s="15" t="s">
        <v>823</v>
      </c>
      <c r="E80" s="15" t="s">
        <v>824</v>
      </c>
      <c r="F80" s="15" t="s">
        <v>825</v>
      </c>
      <c r="G80" s="15" t="s">
        <v>826</v>
      </c>
      <c r="H80" s="15" t="s">
        <v>827</v>
      </c>
      <c r="I80" s="15"/>
      <c r="J80" s="15" t="s">
        <v>828</v>
      </c>
      <c r="K80" s="15" t="s">
        <v>368</v>
      </c>
      <c r="L80" s="15" t="s">
        <v>829</v>
      </c>
      <c r="M80" s="15" t="s">
        <v>830</v>
      </c>
      <c r="N80" s="15" t="s">
        <v>73</v>
      </c>
      <c r="O80" s="16" t="n">
        <v>4</v>
      </c>
      <c r="P80" s="16" t="n">
        <v>5</v>
      </c>
      <c r="Q80" s="16" t="n">
        <v>8</v>
      </c>
      <c r="R80" s="16" t="n">
        <v>0</v>
      </c>
      <c r="S80" s="16" t="n">
        <v>17</v>
      </c>
      <c r="T80" s="17" t="n">
        <f aca="false">AVERAGE(O80:Q80)</f>
        <v>5.66666666666667</v>
      </c>
      <c r="U80" s="18" t="str">
        <f aca="false">IF(T80&gt;=$H$3,"Eligible","Not Eligible")</f>
        <v>Eligible</v>
      </c>
      <c r="V80" s="19" t="n">
        <f aca="false">IF(T80&lt;$H$3,0,IFERROR(T80/SUMIF($T$5:$T$999,"&gt;="&amp;$H$3),0))</f>
        <v>0.00237231370360034</v>
      </c>
      <c r="W80" s="15" t="str">
        <f aca="false">IF(T80=0,"Win-Back","Active")</f>
        <v>Active</v>
      </c>
      <c r="X80" s="20" t="n">
        <f aca="false">IF(T80=0,0,IF(T80&gt;=$H$3,ROUND(T80*$D$3/SUMIF($T$5:$T$999,"&gt;="&amp;$H$3),0),ROUNDUP(T80*$D$3/SUMIF($T$5:$T$999,"&gt;="&amp;$H$3),0)))</f>
        <v>7</v>
      </c>
      <c r="Y80" s="21" t="n">
        <v>3</v>
      </c>
      <c r="Z80" s="16" t="n">
        <f aca="false">IF(X80=0,"",X80-Y80)</f>
        <v>4</v>
      </c>
      <c r="AA80" s="22" t="n">
        <f aca="false">IFERROR(Y80/X80,"")</f>
        <v>0.428571428571429</v>
      </c>
      <c r="AB80" s="16" t="n">
        <v>0</v>
      </c>
      <c r="AC80" s="21"/>
    </row>
    <row r="81" customFormat="false" ht="15" hidden="false" customHeight="true" outlineLevel="0" collapsed="false">
      <c r="A81" s="15" t="s">
        <v>831</v>
      </c>
      <c r="B81" s="15" t="s">
        <v>832</v>
      </c>
      <c r="C81" s="15" t="s">
        <v>833</v>
      </c>
      <c r="D81" s="15" t="s">
        <v>834</v>
      </c>
      <c r="E81" s="15" t="s">
        <v>835</v>
      </c>
      <c r="F81" s="15" t="s">
        <v>836</v>
      </c>
      <c r="G81" s="15" t="s">
        <v>837</v>
      </c>
      <c r="H81" s="15" t="s">
        <v>838</v>
      </c>
      <c r="I81" s="15" t="s">
        <v>839</v>
      </c>
      <c r="J81" s="15" t="s">
        <v>840</v>
      </c>
      <c r="K81" s="15" t="s">
        <v>70</v>
      </c>
      <c r="L81" s="15" t="s">
        <v>841</v>
      </c>
      <c r="M81" s="15" t="s">
        <v>842</v>
      </c>
      <c r="N81" s="15" t="s">
        <v>73</v>
      </c>
      <c r="O81" s="16" t="n">
        <v>7</v>
      </c>
      <c r="P81" s="16" t="n">
        <v>5</v>
      </c>
      <c r="Q81" s="16" t="n">
        <v>5</v>
      </c>
      <c r="R81" s="16" t="n">
        <v>0</v>
      </c>
      <c r="S81" s="16" t="n">
        <v>17</v>
      </c>
      <c r="T81" s="17" t="n">
        <f aca="false">AVERAGE(O81:Q81)</f>
        <v>5.66666666666667</v>
      </c>
      <c r="U81" s="18" t="str">
        <f aca="false">IF(T81&gt;=$H$3,"Eligible","Not Eligible")</f>
        <v>Eligible</v>
      </c>
      <c r="V81" s="19" t="n">
        <f aca="false">IF(T81&lt;$H$3,0,IFERROR(T81/SUMIF($T$5:$T$999,"&gt;="&amp;$H$3),0))</f>
        <v>0.00237231370360034</v>
      </c>
      <c r="W81" s="15" t="str">
        <f aca="false">IF(T81=0,"Win-Back","Active")</f>
        <v>Active</v>
      </c>
      <c r="X81" s="20" t="n">
        <f aca="false">IF(T81=0,0,IF(T81&gt;=$H$3,ROUND(T81*$D$3/SUMIF($T$5:$T$999,"&gt;="&amp;$H$3),0),ROUNDUP(T81*$D$3/SUMIF($T$5:$T$999,"&gt;="&amp;$H$3),0)))</f>
        <v>7</v>
      </c>
      <c r="Y81" s="21" t="n">
        <v>12</v>
      </c>
      <c r="Z81" s="16" t="n">
        <f aca="false">IF(X81=0,"",X81-Y81)</f>
        <v>-5</v>
      </c>
      <c r="AA81" s="22" t="n">
        <f aca="false">IFERROR(Y81/X81,"")</f>
        <v>1.71428571428571</v>
      </c>
      <c r="AB81" s="16" t="n">
        <v>0</v>
      </c>
      <c r="AC81" s="21" t="n">
        <v>7</v>
      </c>
    </row>
    <row r="82" customFormat="false" ht="15" hidden="false" customHeight="true" outlineLevel="0" collapsed="false">
      <c r="A82" s="15" t="s">
        <v>843</v>
      </c>
      <c r="B82" s="15" t="s">
        <v>844</v>
      </c>
      <c r="C82" s="15" t="s">
        <v>845</v>
      </c>
      <c r="D82" s="15" t="s">
        <v>846</v>
      </c>
      <c r="E82" s="15" t="s">
        <v>847</v>
      </c>
      <c r="F82" s="15" t="s">
        <v>848</v>
      </c>
      <c r="G82" s="15" t="s">
        <v>849</v>
      </c>
      <c r="H82" s="15" t="s">
        <v>850</v>
      </c>
      <c r="I82" s="15"/>
      <c r="J82" s="15" t="s">
        <v>851</v>
      </c>
      <c r="K82" s="15" t="s">
        <v>368</v>
      </c>
      <c r="L82" s="15" t="s">
        <v>852</v>
      </c>
      <c r="M82" s="15" t="s">
        <v>853</v>
      </c>
      <c r="N82" s="15" t="s">
        <v>73</v>
      </c>
      <c r="O82" s="16" t="n">
        <v>5</v>
      </c>
      <c r="P82" s="16" t="n">
        <v>8</v>
      </c>
      <c r="Q82" s="16" t="n">
        <v>4</v>
      </c>
      <c r="R82" s="16" t="n">
        <v>0</v>
      </c>
      <c r="S82" s="16" t="n">
        <v>17</v>
      </c>
      <c r="T82" s="17" t="n">
        <f aca="false">AVERAGE(O82:Q82)</f>
        <v>5.66666666666667</v>
      </c>
      <c r="U82" s="18" t="str">
        <f aca="false">IF(T82&gt;=$H$3,"Eligible","Not Eligible")</f>
        <v>Eligible</v>
      </c>
      <c r="V82" s="19" t="n">
        <f aca="false">IF(T82&lt;$H$3,0,IFERROR(T82/SUMIF($T$5:$T$999,"&gt;="&amp;$H$3),0))</f>
        <v>0.00237231370360034</v>
      </c>
      <c r="W82" s="15" t="str">
        <f aca="false">IF(T82=0,"Win-Back","Active")</f>
        <v>Active</v>
      </c>
      <c r="X82" s="20" t="n">
        <f aca="false">IF(T82=0,0,IF(T82&gt;=$H$3,ROUND(T82*$D$3/SUMIF($T$5:$T$999,"&gt;="&amp;$H$3),0),ROUNDUP(T82*$D$3/SUMIF($T$5:$T$999,"&gt;="&amp;$H$3),0)))</f>
        <v>7</v>
      </c>
      <c r="Y82" s="21" t="n">
        <v>5</v>
      </c>
      <c r="Z82" s="16" t="n">
        <f aca="false">IF(X82=0,"",X82-Y82)</f>
        <v>2</v>
      </c>
      <c r="AA82" s="22" t="n">
        <f aca="false">IFERROR(Y82/X82,"")</f>
        <v>0.714285714285714</v>
      </c>
      <c r="AB82" s="16" t="n">
        <v>0</v>
      </c>
      <c r="AC82" s="21"/>
    </row>
    <row r="83" customFormat="false" ht="15" hidden="false" customHeight="true" outlineLevel="0" collapsed="false">
      <c r="A83" s="15" t="s">
        <v>854</v>
      </c>
      <c r="B83" s="15" t="s">
        <v>855</v>
      </c>
      <c r="C83" s="15" t="s">
        <v>856</v>
      </c>
      <c r="D83" s="15" t="s">
        <v>857</v>
      </c>
      <c r="E83" s="15" t="s">
        <v>858</v>
      </c>
      <c r="F83" s="15" t="s">
        <v>859</v>
      </c>
      <c r="G83" s="15" t="s">
        <v>860</v>
      </c>
      <c r="H83" s="15" t="s">
        <v>861</v>
      </c>
      <c r="I83" s="15" t="s">
        <v>862</v>
      </c>
      <c r="J83" s="15" t="s">
        <v>863</v>
      </c>
      <c r="K83" s="15" t="s">
        <v>864</v>
      </c>
      <c r="L83" s="15" t="s">
        <v>865</v>
      </c>
      <c r="M83" s="15" t="s">
        <v>866</v>
      </c>
      <c r="N83" s="15" t="s">
        <v>73</v>
      </c>
      <c r="O83" s="16" t="n">
        <v>5</v>
      </c>
      <c r="P83" s="16" t="n">
        <v>8</v>
      </c>
      <c r="Q83" s="16" t="n">
        <v>4</v>
      </c>
      <c r="R83" s="16" t="n">
        <v>0</v>
      </c>
      <c r="S83" s="16" t="n">
        <v>17</v>
      </c>
      <c r="T83" s="17" t="n">
        <f aca="false">AVERAGE(O83:Q83)</f>
        <v>5.66666666666667</v>
      </c>
      <c r="U83" s="18" t="str">
        <f aca="false">IF(T83&gt;=$H$3,"Eligible","Not Eligible")</f>
        <v>Eligible</v>
      </c>
      <c r="V83" s="19" t="n">
        <f aca="false">IF(T83&lt;$H$3,0,IFERROR(T83/SUMIF($T$5:$T$999,"&gt;="&amp;$H$3),0))</f>
        <v>0.00237231370360034</v>
      </c>
      <c r="W83" s="15" t="str">
        <f aca="false">IF(T83=0,"Win-Back","Active")</f>
        <v>Active</v>
      </c>
      <c r="X83" s="20" t="n">
        <f aca="false">IF(T83=0,0,IF(T83&gt;=$H$3,ROUND(T83*$D$3/SUMIF($T$5:$T$999,"&gt;="&amp;$H$3),0),ROUNDUP(T83*$D$3/SUMIF($T$5:$T$999,"&gt;="&amp;$H$3),0)))</f>
        <v>7</v>
      </c>
      <c r="Y83" s="21" t="n">
        <v>9</v>
      </c>
      <c r="Z83" s="16" t="n">
        <f aca="false">IF(X83=0,"",X83-Y83)</f>
        <v>-2</v>
      </c>
      <c r="AA83" s="22" t="n">
        <f aca="false">IFERROR(Y83/X83,"")</f>
        <v>1.28571428571429</v>
      </c>
      <c r="AB83" s="16" t="n">
        <v>5</v>
      </c>
      <c r="AC83" s="21" t="n">
        <v>8</v>
      </c>
    </row>
    <row r="84" customFormat="false" ht="15" hidden="false" customHeight="true" outlineLevel="0" collapsed="false">
      <c r="A84" s="15" t="s">
        <v>867</v>
      </c>
      <c r="B84" s="15" t="s">
        <v>868</v>
      </c>
      <c r="C84" s="15" t="s">
        <v>869</v>
      </c>
      <c r="D84" s="15" t="s">
        <v>870</v>
      </c>
      <c r="E84" s="15" t="s">
        <v>871</v>
      </c>
      <c r="F84" s="15" t="s">
        <v>872</v>
      </c>
      <c r="G84" s="15" t="s">
        <v>873</v>
      </c>
      <c r="H84" s="15" t="s">
        <v>874</v>
      </c>
      <c r="I84" s="15"/>
      <c r="J84" s="15" t="s">
        <v>46</v>
      </c>
      <c r="K84" s="15" t="s">
        <v>47</v>
      </c>
      <c r="L84" s="15" t="s">
        <v>474</v>
      </c>
      <c r="M84" s="15" t="s">
        <v>875</v>
      </c>
      <c r="N84" s="15" t="s">
        <v>50</v>
      </c>
      <c r="O84" s="16" t="n">
        <v>3</v>
      </c>
      <c r="P84" s="16" t="n">
        <v>3</v>
      </c>
      <c r="Q84" s="16" t="n">
        <v>10</v>
      </c>
      <c r="R84" s="16" t="n">
        <v>2</v>
      </c>
      <c r="S84" s="16" t="n">
        <v>18</v>
      </c>
      <c r="T84" s="17" t="n">
        <f aca="false">AVERAGE(O84:Q84)</f>
        <v>5.33333333333333</v>
      </c>
      <c r="U84" s="18" t="str">
        <f aca="false">IF(T84&gt;=$H$3,"Eligible","Not Eligible")</f>
        <v>Eligible</v>
      </c>
      <c r="V84" s="19" t="n">
        <f aca="false">IF(T84&lt;$H$3,0,IFERROR(T84/SUMIF($T$5:$T$999,"&gt;="&amp;$H$3),0))</f>
        <v>0.00223276583868267</v>
      </c>
      <c r="W84" s="15" t="str">
        <f aca="false">IF(T84=0,"Win-Back","Active")</f>
        <v>Active</v>
      </c>
      <c r="X84" s="20" t="n">
        <f aca="false">IF(T84=0,0,IF(T84&gt;=$H$3,ROUND(T84*$D$3/SUMIF($T$5:$T$999,"&gt;="&amp;$H$3),0),ROUNDUP(T84*$D$3/SUMIF($T$5:$T$999,"&gt;="&amp;$H$3),0)))</f>
        <v>6</v>
      </c>
      <c r="Y84" s="21" t="n">
        <v>2</v>
      </c>
      <c r="Z84" s="16" t="n">
        <f aca="false">IF(X84=0,"",X84-Y84)</f>
        <v>4</v>
      </c>
      <c r="AA84" s="22" t="n">
        <f aca="false">IFERROR(Y84/X84,"")</f>
        <v>0.333333333333333</v>
      </c>
      <c r="AB84" s="16" t="n">
        <v>0</v>
      </c>
      <c r="AC84" s="21"/>
    </row>
    <row r="85" customFormat="false" ht="15" hidden="false" customHeight="true" outlineLevel="0" collapsed="false">
      <c r="A85" s="15" t="s">
        <v>876</v>
      </c>
      <c r="B85" s="15" t="s">
        <v>877</v>
      </c>
      <c r="C85" s="15" t="s">
        <v>878</v>
      </c>
      <c r="D85" s="15" t="s">
        <v>879</v>
      </c>
      <c r="E85" s="15" t="s">
        <v>880</v>
      </c>
      <c r="F85" s="15" t="s">
        <v>881</v>
      </c>
      <c r="G85" s="15" t="s">
        <v>882</v>
      </c>
      <c r="H85" s="15" t="s">
        <v>883</v>
      </c>
      <c r="I85" s="15"/>
      <c r="J85" s="15" t="s">
        <v>884</v>
      </c>
      <c r="K85" s="15" t="s">
        <v>234</v>
      </c>
      <c r="L85" s="15" t="s">
        <v>885</v>
      </c>
      <c r="M85" s="15" t="s">
        <v>886</v>
      </c>
      <c r="N85" s="15" t="s">
        <v>73</v>
      </c>
      <c r="O85" s="16" t="n">
        <v>4</v>
      </c>
      <c r="P85" s="16" t="n">
        <v>5</v>
      </c>
      <c r="Q85" s="16" t="n">
        <v>7</v>
      </c>
      <c r="R85" s="16" t="n">
        <v>1</v>
      </c>
      <c r="S85" s="16" t="n">
        <v>17</v>
      </c>
      <c r="T85" s="17" t="n">
        <f aca="false">AVERAGE(O85:Q85)</f>
        <v>5.33333333333333</v>
      </c>
      <c r="U85" s="18" t="str">
        <f aca="false">IF(T85&gt;=$H$3,"Eligible","Not Eligible")</f>
        <v>Eligible</v>
      </c>
      <c r="V85" s="19" t="n">
        <f aca="false">IF(T85&lt;$H$3,0,IFERROR(T85/SUMIF($T$5:$T$999,"&gt;="&amp;$H$3),0))</f>
        <v>0.00223276583868267</v>
      </c>
      <c r="W85" s="15" t="str">
        <f aca="false">IF(T85=0,"Win-Back","Active")</f>
        <v>Active</v>
      </c>
      <c r="X85" s="20" t="n">
        <f aca="false">IF(T85=0,0,IF(T85&gt;=$H$3,ROUND(T85*$D$3/SUMIF($T$5:$T$999,"&gt;="&amp;$H$3),0),ROUNDUP(T85*$D$3/SUMIF($T$5:$T$999,"&gt;="&amp;$H$3),0)))</f>
        <v>6</v>
      </c>
      <c r="Y85" s="21" t="n">
        <v>8</v>
      </c>
      <c r="Z85" s="16" t="n">
        <f aca="false">IF(X85=0,"",X85-Y85)</f>
        <v>-2</v>
      </c>
      <c r="AA85" s="22" t="n">
        <f aca="false">IFERROR(Y85/X85,"")</f>
        <v>1.33333333333333</v>
      </c>
      <c r="AB85" s="16" t="n">
        <v>0</v>
      </c>
      <c r="AC85" s="21" t="n">
        <v>5</v>
      </c>
    </row>
    <row r="86" customFormat="false" ht="15" hidden="false" customHeight="true" outlineLevel="0" collapsed="false">
      <c r="A86" s="15" t="s">
        <v>887</v>
      </c>
      <c r="B86" s="15" t="s">
        <v>888</v>
      </c>
      <c r="C86" s="15" t="s">
        <v>889</v>
      </c>
      <c r="D86" s="15" t="s">
        <v>890</v>
      </c>
      <c r="E86" s="15" t="s">
        <v>891</v>
      </c>
      <c r="F86" s="15" t="s">
        <v>892</v>
      </c>
      <c r="G86" s="15" t="s">
        <v>893</v>
      </c>
      <c r="H86" s="15" t="s">
        <v>894</v>
      </c>
      <c r="I86" s="15"/>
      <c r="J86" s="15" t="s">
        <v>46</v>
      </c>
      <c r="K86" s="15" t="s">
        <v>47</v>
      </c>
      <c r="L86" s="15" t="s">
        <v>48</v>
      </c>
      <c r="M86" s="15" t="s">
        <v>895</v>
      </c>
      <c r="N86" s="15" t="s">
        <v>50</v>
      </c>
      <c r="O86" s="16" t="n">
        <v>3</v>
      </c>
      <c r="P86" s="16" t="n">
        <v>5</v>
      </c>
      <c r="Q86" s="16" t="n">
        <v>8</v>
      </c>
      <c r="R86" s="16" t="n">
        <v>1</v>
      </c>
      <c r="S86" s="16" t="n">
        <v>17</v>
      </c>
      <c r="T86" s="17" t="n">
        <f aca="false">AVERAGE(O86:Q86)</f>
        <v>5.33333333333333</v>
      </c>
      <c r="U86" s="18" t="str">
        <f aca="false">IF(T86&gt;=$H$3,"Eligible","Not Eligible")</f>
        <v>Eligible</v>
      </c>
      <c r="V86" s="19" t="n">
        <f aca="false">IF(T86&lt;$H$3,0,IFERROR(T86/SUMIF($T$5:$T$999,"&gt;="&amp;$H$3),0))</f>
        <v>0.00223276583868267</v>
      </c>
      <c r="W86" s="15" t="str">
        <f aca="false">IF(T86=0,"Win-Back","Active")</f>
        <v>Active</v>
      </c>
      <c r="X86" s="20" t="n">
        <f aca="false">IF(T86=0,0,IF(T86&gt;=$H$3,ROUND(T86*$D$3/SUMIF($T$5:$T$999,"&gt;="&amp;$H$3),0),ROUNDUP(T86*$D$3/SUMIF($T$5:$T$999,"&gt;="&amp;$H$3),0)))</f>
        <v>6</v>
      </c>
      <c r="Y86" s="21" t="n">
        <v>7</v>
      </c>
      <c r="Z86" s="16" t="n">
        <f aca="false">IF(X86=0,"",X86-Y86)</f>
        <v>-1</v>
      </c>
      <c r="AA86" s="22" t="n">
        <f aca="false">IFERROR(Y86/X86,"")</f>
        <v>1.16666666666667</v>
      </c>
      <c r="AB86" s="16" t="n">
        <v>0</v>
      </c>
      <c r="AC86" s="21"/>
    </row>
    <row r="87" customFormat="false" ht="15" hidden="false" customHeight="true" outlineLevel="0" collapsed="false">
      <c r="A87" s="15" t="s">
        <v>896</v>
      </c>
      <c r="B87" s="15" t="s">
        <v>897</v>
      </c>
      <c r="C87" s="15" t="s">
        <v>898</v>
      </c>
      <c r="D87" s="15" t="s">
        <v>899</v>
      </c>
      <c r="E87" s="15" t="s">
        <v>900</v>
      </c>
      <c r="F87" s="15" t="s">
        <v>901</v>
      </c>
      <c r="G87" s="15" t="s">
        <v>902</v>
      </c>
      <c r="H87" s="15" t="s">
        <v>903</v>
      </c>
      <c r="I87" s="15" t="s">
        <v>904</v>
      </c>
      <c r="J87" s="15" t="s">
        <v>379</v>
      </c>
      <c r="K87" s="15" t="s">
        <v>368</v>
      </c>
      <c r="L87" s="15" t="s">
        <v>905</v>
      </c>
      <c r="M87" s="15" t="s">
        <v>906</v>
      </c>
      <c r="N87" s="15" t="s">
        <v>73</v>
      </c>
      <c r="O87" s="16" t="n">
        <v>0</v>
      </c>
      <c r="P87" s="16" t="n">
        <v>5</v>
      </c>
      <c r="Q87" s="16" t="n">
        <v>11</v>
      </c>
      <c r="R87" s="16" t="n">
        <v>1</v>
      </c>
      <c r="S87" s="16" t="n">
        <v>17</v>
      </c>
      <c r="T87" s="17" t="n">
        <f aca="false">AVERAGE(O87:Q87)</f>
        <v>5.33333333333333</v>
      </c>
      <c r="U87" s="18" t="str">
        <f aca="false">IF(T87&gt;=$H$3,"Eligible","Not Eligible")</f>
        <v>Eligible</v>
      </c>
      <c r="V87" s="19" t="n">
        <f aca="false">IF(T87&lt;$H$3,0,IFERROR(T87/SUMIF($T$5:$T$999,"&gt;="&amp;$H$3),0))</f>
        <v>0.00223276583868267</v>
      </c>
      <c r="W87" s="15" t="str">
        <f aca="false">IF(T87=0,"Win-Back","Active")</f>
        <v>Active</v>
      </c>
      <c r="X87" s="20" t="n">
        <f aca="false">IF(T87=0,0,IF(T87&gt;=$H$3,ROUND(T87*$D$3/SUMIF($T$5:$T$999,"&gt;="&amp;$H$3),0),ROUNDUP(T87*$D$3/SUMIF($T$5:$T$999,"&gt;="&amp;$H$3),0)))</f>
        <v>6</v>
      </c>
      <c r="Y87" s="21" t="n">
        <v>7</v>
      </c>
      <c r="Z87" s="16" t="n">
        <f aca="false">IF(X87=0,"",X87-Y87)</f>
        <v>-1</v>
      </c>
      <c r="AA87" s="22" t="n">
        <f aca="false">IFERROR(Y87/X87,"")</f>
        <v>1.16666666666667</v>
      </c>
      <c r="AB87" s="16" t="n">
        <v>0</v>
      </c>
      <c r="AC87" s="21"/>
    </row>
    <row r="88" customFormat="false" ht="15" hidden="false" customHeight="true" outlineLevel="0" collapsed="false">
      <c r="A88" s="15" t="s">
        <v>907</v>
      </c>
      <c r="B88" s="15" t="s">
        <v>908</v>
      </c>
      <c r="C88" s="15" t="s">
        <v>909</v>
      </c>
      <c r="D88" s="15" t="s">
        <v>910</v>
      </c>
      <c r="E88" s="15" t="s">
        <v>911</v>
      </c>
      <c r="F88" s="15" t="s">
        <v>912</v>
      </c>
      <c r="G88" s="15" t="s">
        <v>913</v>
      </c>
      <c r="H88" s="15" t="s">
        <v>914</v>
      </c>
      <c r="I88" s="15"/>
      <c r="J88" s="15" t="s">
        <v>777</v>
      </c>
      <c r="K88" s="15" t="s">
        <v>70</v>
      </c>
      <c r="L88" s="15" t="s">
        <v>915</v>
      </c>
      <c r="M88" s="15" t="s">
        <v>916</v>
      </c>
      <c r="N88" s="15" t="s">
        <v>73</v>
      </c>
      <c r="O88" s="16" t="n">
        <v>5</v>
      </c>
      <c r="P88" s="16" t="n">
        <v>6</v>
      </c>
      <c r="Q88" s="16" t="n">
        <v>5</v>
      </c>
      <c r="R88" s="16" t="n">
        <v>1</v>
      </c>
      <c r="S88" s="16" t="n">
        <v>17</v>
      </c>
      <c r="T88" s="17" t="n">
        <f aca="false">AVERAGE(O88:Q88)</f>
        <v>5.33333333333333</v>
      </c>
      <c r="U88" s="18" t="str">
        <f aca="false">IF(T88&gt;=$H$3,"Eligible","Not Eligible")</f>
        <v>Eligible</v>
      </c>
      <c r="V88" s="19" t="n">
        <f aca="false">IF(T88&lt;$H$3,0,IFERROR(T88/SUMIF($T$5:$T$999,"&gt;="&amp;$H$3),0))</f>
        <v>0.00223276583868267</v>
      </c>
      <c r="W88" s="15" t="str">
        <f aca="false">IF(T88=0,"Win-Back","Active")</f>
        <v>Active</v>
      </c>
      <c r="X88" s="20" t="n">
        <f aca="false">IF(T88=0,0,IF(T88&gt;=$H$3,ROUND(T88*$D$3/SUMIF($T$5:$T$999,"&gt;="&amp;$H$3),0),ROUNDUP(T88*$D$3/SUMIF($T$5:$T$999,"&gt;="&amp;$H$3),0)))</f>
        <v>6</v>
      </c>
      <c r="Y88" s="21" t="n">
        <v>7</v>
      </c>
      <c r="Z88" s="16" t="n">
        <f aca="false">IF(X88=0,"",X88-Y88)</f>
        <v>-1</v>
      </c>
      <c r="AA88" s="22" t="n">
        <f aca="false">IFERROR(Y88/X88,"")</f>
        <v>1.16666666666667</v>
      </c>
      <c r="AB88" s="16" t="n">
        <v>0</v>
      </c>
      <c r="AC88" s="21"/>
    </row>
    <row r="89" customFormat="false" ht="15" hidden="false" customHeight="true" outlineLevel="0" collapsed="false">
      <c r="A89" s="15" t="s">
        <v>917</v>
      </c>
      <c r="B89" s="15" t="s">
        <v>918</v>
      </c>
      <c r="C89" s="15" t="s">
        <v>919</v>
      </c>
      <c r="D89" s="15" t="s">
        <v>920</v>
      </c>
      <c r="E89" s="15" t="s">
        <v>921</v>
      </c>
      <c r="F89" s="15" t="s">
        <v>922</v>
      </c>
      <c r="G89" s="15" t="s">
        <v>923</v>
      </c>
      <c r="H89" s="15" t="s">
        <v>924</v>
      </c>
      <c r="I89" s="15"/>
      <c r="J89" s="15" t="s">
        <v>925</v>
      </c>
      <c r="K89" s="15" t="s">
        <v>70</v>
      </c>
      <c r="L89" s="15" t="s">
        <v>926</v>
      </c>
      <c r="M89" s="15" t="s">
        <v>927</v>
      </c>
      <c r="N89" s="15" t="s">
        <v>73</v>
      </c>
      <c r="O89" s="16" t="n">
        <v>5</v>
      </c>
      <c r="P89" s="16" t="n">
        <v>4</v>
      </c>
      <c r="Q89" s="16" t="n">
        <v>7</v>
      </c>
      <c r="R89" s="16" t="n">
        <v>1</v>
      </c>
      <c r="S89" s="16" t="n">
        <v>17</v>
      </c>
      <c r="T89" s="17" t="n">
        <f aca="false">AVERAGE(O89:Q89)</f>
        <v>5.33333333333333</v>
      </c>
      <c r="U89" s="18" t="str">
        <f aca="false">IF(T89&gt;=$H$3,"Eligible","Not Eligible")</f>
        <v>Eligible</v>
      </c>
      <c r="V89" s="19" t="n">
        <f aca="false">IF(T89&lt;$H$3,0,IFERROR(T89/SUMIF($T$5:$T$999,"&gt;="&amp;$H$3),0))</f>
        <v>0.00223276583868267</v>
      </c>
      <c r="W89" s="15" t="str">
        <f aca="false">IF(T89=0,"Win-Back","Active")</f>
        <v>Active</v>
      </c>
      <c r="X89" s="20" t="n">
        <f aca="false">IF(T89=0,0,IF(T89&gt;=$H$3,ROUND(T89*$D$3/SUMIF($T$5:$T$999,"&gt;="&amp;$H$3),0),ROUNDUP(T89*$D$3/SUMIF($T$5:$T$999,"&gt;="&amp;$H$3),0)))</f>
        <v>6</v>
      </c>
      <c r="Y89" s="21" t="n">
        <v>3</v>
      </c>
      <c r="Z89" s="16" t="n">
        <f aca="false">IF(X89=0,"",X89-Y89)</f>
        <v>3</v>
      </c>
      <c r="AA89" s="22" t="n">
        <f aca="false">IFERROR(Y89/X89,"")</f>
        <v>0.5</v>
      </c>
      <c r="AB89" s="16" t="n">
        <v>2</v>
      </c>
      <c r="AC89" s="21" t="n">
        <v>3</v>
      </c>
    </row>
    <row r="90" customFormat="false" ht="15" hidden="false" customHeight="true" outlineLevel="0" collapsed="false">
      <c r="A90" s="15" t="s">
        <v>928</v>
      </c>
      <c r="B90" s="15" t="s">
        <v>929</v>
      </c>
      <c r="C90" s="15" t="s">
        <v>930</v>
      </c>
      <c r="D90" s="15" t="s">
        <v>931</v>
      </c>
      <c r="E90" s="15" t="s">
        <v>932</v>
      </c>
      <c r="F90" s="15" t="s">
        <v>933</v>
      </c>
      <c r="G90" s="15" t="s">
        <v>934</v>
      </c>
      <c r="H90" s="15" t="s">
        <v>935</v>
      </c>
      <c r="I90" s="15"/>
      <c r="J90" s="15" t="s">
        <v>936</v>
      </c>
      <c r="K90" s="15" t="s">
        <v>47</v>
      </c>
      <c r="L90" s="15" t="s">
        <v>937</v>
      </c>
      <c r="M90" s="15" t="s">
        <v>938</v>
      </c>
      <c r="N90" s="15" t="s">
        <v>73</v>
      </c>
      <c r="O90" s="16" t="n">
        <v>2</v>
      </c>
      <c r="P90" s="16" t="n">
        <v>10</v>
      </c>
      <c r="Q90" s="16" t="n">
        <v>4</v>
      </c>
      <c r="R90" s="16" t="n">
        <v>0</v>
      </c>
      <c r="S90" s="16" t="n">
        <v>16</v>
      </c>
      <c r="T90" s="17" t="n">
        <f aca="false">AVERAGE(O90:Q90)</f>
        <v>5.33333333333333</v>
      </c>
      <c r="U90" s="18" t="str">
        <f aca="false">IF(T90&gt;=$H$3,"Eligible","Not Eligible")</f>
        <v>Eligible</v>
      </c>
      <c r="V90" s="19" t="n">
        <f aca="false">IF(T90&lt;$H$3,0,IFERROR(T90/SUMIF($T$5:$T$999,"&gt;="&amp;$H$3),0))</f>
        <v>0.00223276583868267</v>
      </c>
      <c r="W90" s="15" t="str">
        <f aca="false">IF(T90=0,"Win-Back","Active")</f>
        <v>Active</v>
      </c>
      <c r="X90" s="20" t="n">
        <f aca="false">IF(T90=0,0,IF(T90&gt;=$H$3,ROUND(T90*$D$3/SUMIF($T$5:$T$999,"&gt;="&amp;$H$3),0),ROUNDUP(T90*$D$3/SUMIF($T$5:$T$999,"&gt;="&amp;$H$3),0)))</f>
        <v>6</v>
      </c>
      <c r="Y90" s="21" t="n">
        <v>1</v>
      </c>
      <c r="Z90" s="16" t="n">
        <f aca="false">IF(X90=0,"",X90-Y90)</f>
        <v>5</v>
      </c>
      <c r="AA90" s="22" t="n">
        <f aca="false">IFERROR(Y90/X90,"")</f>
        <v>0.166666666666667</v>
      </c>
      <c r="AB90" s="16" t="n">
        <v>0</v>
      </c>
      <c r="AC90" s="21"/>
    </row>
    <row r="91" customFormat="false" ht="15" hidden="false" customHeight="true" outlineLevel="0" collapsed="false">
      <c r="A91" s="15" t="s">
        <v>939</v>
      </c>
      <c r="B91" s="15" t="s">
        <v>940</v>
      </c>
      <c r="C91" s="15" t="s">
        <v>941</v>
      </c>
      <c r="D91" s="15" t="s">
        <v>942</v>
      </c>
      <c r="E91" s="15" t="s">
        <v>943</v>
      </c>
      <c r="F91" s="15" t="s">
        <v>944</v>
      </c>
      <c r="G91" s="15" t="s">
        <v>945</v>
      </c>
      <c r="H91" s="15" t="s">
        <v>946</v>
      </c>
      <c r="I91" s="15"/>
      <c r="J91" s="15" t="s">
        <v>947</v>
      </c>
      <c r="K91" s="15" t="s">
        <v>864</v>
      </c>
      <c r="L91" s="15" t="s">
        <v>948</v>
      </c>
      <c r="M91" s="15" t="s">
        <v>949</v>
      </c>
      <c r="N91" s="15" t="s">
        <v>73</v>
      </c>
      <c r="O91" s="16" t="n">
        <v>6</v>
      </c>
      <c r="P91" s="16" t="n">
        <v>6</v>
      </c>
      <c r="Q91" s="16" t="n">
        <v>4</v>
      </c>
      <c r="R91" s="16" t="n">
        <v>0</v>
      </c>
      <c r="S91" s="16" t="n">
        <v>16</v>
      </c>
      <c r="T91" s="17" t="n">
        <f aca="false">AVERAGE(O91:Q91)</f>
        <v>5.33333333333333</v>
      </c>
      <c r="U91" s="18" t="str">
        <f aca="false">IF(T91&gt;=$H$3,"Eligible","Not Eligible")</f>
        <v>Eligible</v>
      </c>
      <c r="V91" s="19" t="n">
        <f aca="false">IF(T91&lt;$H$3,0,IFERROR(T91/SUMIF($T$5:$T$999,"&gt;="&amp;$H$3),0))</f>
        <v>0.00223276583868267</v>
      </c>
      <c r="W91" s="15" t="str">
        <f aca="false">IF(T91=0,"Win-Back","Active")</f>
        <v>Active</v>
      </c>
      <c r="X91" s="20" t="n">
        <f aca="false">IF(T91=0,0,IF(T91&gt;=$H$3,ROUND(T91*$D$3/SUMIF($T$5:$T$999,"&gt;="&amp;$H$3),0),ROUNDUP(T91*$D$3/SUMIF($T$5:$T$999,"&gt;="&amp;$H$3),0)))</f>
        <v>6</v>
      </c>
      <c r="Y91" s="21" t="n">
        <v>8</v>
      </c>
      <c r="Z91" s="16" t="n">
        <f aca="false">IF(X91=0,"",X91-Y91)</f>
        <v>-2</v>
      </c>
      <c r="AA91" s="22" t="n">
        <f aca="false">IFERROR(Y91/X91,"")</f>
        <v>1.33333333333333</v>
      </c>
      <c r="AB91" s="16" t="n">
        <v>0</v>
      </c>
      <c r="AC91" s="21"/>
    </row>
    <row r="92" customFormat="false" ht="15" hidden="false" customHeight="true" outlineLevel="0" collapsed="false">
      <c r="A92" s="15" t="s">
        <v>950</v>
      </c>
      <c r="B92" s="15" t="s">
        <v>951</v>
      </c>
      <c r="C92" s="15" t="s">
        <v>952</v>
      </c>
      <c r="D92" s="15" t="s">
        <v>953</v>
      </c>
      <c r="E92" s="15" t="s">
        <v>954</v>
      </c>
      <c r="F92" s="15" t="s">
        <v>955</v>
      </c>
      <c r="G92" s="15" t="s">
        <v>956</v>
      </c>
      <c r="H92" s="15" t="s">
        <v>957</v>
      </c>
      <c r="I92" s="15"/>
      <c r="J92" s="15" t="s">
        <v>863</v>
      </c>
      <c r="K92" s="15" t="s">
        <v>864</v>
      </c>
      <c r="L92" s="15" t="s">
        <v>958</v>
      </c>
      <c r="M92" s="15" t="s">
        <v>959</v>
      </c>
      <c r="N92" s="15" t="s">
        <v>73</v>
      </c>
      <c r="O92" s="16" t="n">
        <v>2</v>
      </c>
      <c r="P92" s="16" t="n">
        <v>4</v>
      </c>
      <c r="Q92" s="16" t="n">
        <v>9</v>
      </c>
      <c r="R92" s="16" t="n">
        <v>2</v>
      </c>
      <c r="S92" s="16" t="n">
        <v>17</v>
      </c>
      <c r="T92" s="17" t="n">
        <f aca="false">AVERAGE(O92:Q92)</f>
        <v>5</v>
      </c>
      <c r="U92" s="18" t="str">
        <f aca="false">IF(T92&gt;=$H$3,"Eligible","Not Eligible")</f>
        <v>Eligible</v>
      </c>
      <c r="V92" s="19" t="n">
        <f aca="false">IF(T92&lt;$H$3,0,IFERROR(T92/SUMIF($T$5:$T$999,"&gt;="&amp;$H$3),0))</f>
        <v>0.002093217973765</v>
      </c>
      <c r="W92" s="15" t="str">
        <f aca="false">IF(T92=0,"Win-Back","Active")</f>
        <v>Active</v>
      </c>
      <c r="X92" s="20" t="n">
        <f aca="false">IF(T92=0,0,IF(T92&gt;=$H$3,ROUND(T92*$D$3/SUMIF($T$5:$T$999,"&gt;="&amp;$H$3),0),ROUNDUP(T92*$D$3/SUMIF($T$5:$T$999,"&gt;="&amp;$H$3),0)))</f>
        <v>6</v>
      </c>
      <c r="Y92" s="21" t="n">
        <v>1</v>
      </c>
      <c r="Z92" s="16" t="n">
        <f aca="false">IF(X92=0,"",X92-Y92)</f>
        <v>5</v>
      </c>
      <c r="AA92" s="22" t="n">
        <f aca="false">IFERROR(Y92/X92,"")</f>
        <v>0.166666666666667</v>
      </c>
      <c r="AB92" s="16" t="n">
        <v>0</v>
      </c>
      <c r="AC92" s="21"/>
    </row>
    <row r="93" customFormat="false" ht="15" hidden="false" customHeight="true" outlineLevel="0" collapsed="false">
      <c r="A93" s="15" t="s">
        <v>960</v>
      </c>
      <c r="B93" s="15" t="s">
        <v>961</v>
      </c>
      <c r="C93" s="15" t="s">
        <v>962</v>
      </c>
      <c r="D93" s="15" t="s">
        <v>963</v>
      </c>
      <c r="E93" s="15" t="s">
        <v>964</v>
      </c>
      <c r="F93" s="15" t="s">
        <v>965</v>
      </c>
      <c r="G93" s="15" t="s">
        <v>966</v>
      </c>
      <c r="H93" s="15" t="s">
        <v>967</v>
      </c>
      <c r="I93" s="15" t="s">
        <v>968</v>
      </c>
      <c r="J93" s="15" t="s">
        <v>969</v>
      </c>
      <c r="K93" s="15" t="s">
        <v>70</v>
      </c>
      <c r="L93" s="15" t="s">
        <v>970</v>
      </c>
      <c r="M93" s="15" t="s">
        <v>971</v>
      </c>
      <c r="N93" s="15" t="s">
        <v>73</v>
      </c>
      <c r="O93" s="16" t="n">
        <v>3</v>
      </c>
      <c r="P93" s="16" t="n">
        <v>5</v>
      </c>
      <c r="Q93" s="16" t="n">
        <v>7</v>
      </c>
      <c r="R93" s="16" t="n">
        <v>1</v>
      </c>
      <c r="S93" s="16" t="n">
        <v>16</v>
      </c>
      <c r="T93" s="17" t="n">
        <f aca="false">AVERAGE(O93:Q93)</f>
        <v>5</v>
      </c>
      <c r="U93" s="18" t="str">
        <f aca="false">IF(T93&gt;=$H$3,"Eligible","Not Eligible")</f>
        <v>Eligible</v>
      </c>
      <c r="V93" s="19" t="n">
        <f aca="false">IF(T93&lt;$H$3,0,IFERROR(T93/SUMIF($T$5:$T$999,"&gt;="&amp;$H$3),0))</f>
        <v>0.002093217973765</v>
      </c>
      <c r="W93" s="15" t="str">
        <f aca="false">IF(T93=0,"Win-Back","Active")</f>
        <v>Active</v>
      </c>
      <c r="X93" s="20" t="n">
        <f aca="false">IF(T93=0,0,IF(T93&gt;=$H$3,ROUND(T93*$D$3/SUMIF($T$5:$T$999,"&gt;="&amp;$H$3),0),ROUNDUP(T93*$D$3/SUMIF($T$5:$T$999,"&gt;="&amp;$H$3),0)))</f>
        <v>6</v>
      </c>
      <c r="Y93" s="21" t="n">
        <v>10</v>
      </c>
      <c r="Z93" s="16" t="n">
        <f aca="false">IF(X93=0,"",X93-Y93)</f>
        <v>-4</v>
      </c>
      <c r="AA93" s="22" t="n">
        <f aca="false">IFERROR(Y93/X93,"")</f>
        <v>1.66666666666667</v>
      </c>
      <c r="AB93" s="16" t="n">
        <v>0</v>
      </c>
      <c r="AC93" s="21"/>
    </row>
    <row r="94" customFormat="false" ht="15" hidden="false" customHeight="true" outlineLevel="0" collapsed="false">
      <c r="A94" s="15" t="s">
        <v>972</v>
      </c>
      <c r="B94" s="15" t="s">
        <v>973</v>
      </c>
      <c r="C94" s="15" t="s">
        <v>974</v>
      </c>
      <c r="D94" s="15" t="s">
        <v>975</v>
      </c>
      <c r="E94" s="15" t="s">
        <v>976</v>
      </c>
      <c r="F94" s="15" t="s">
        <v>977</v>
      </c>
      <c r="G94" s="15" t="s">
        <v>978</v>
      </c>
      <c r="H94" s="15" t="s">
        <v>979</v>
      </c>
      <c r="I94" s="15"/>
      <c r="J94" s="15" t="s">
        <v>980</v>
      </c>
      <c r="K94" s="15" t="s">
        <v>563</v>
      </c>
      <c r="L94" s="15" t="s">
        <v>981</v>
      </c>
      <c r="M94" s="15" t="s">
        <v>982</v>
      </c>
      <c r="N94" s="15" t="s">
        <v>73</v>
      </c>
      <c r="O94" s="16" t="n">
        <v>1</v>
      </c>
      <c r="P94" s="16" t="n">
        <v>5</v>
      </c>
      <c r="Q94" s="16" t="n">
        <v>9</v>
      </c>
      <c r="R94" s="16" t="n">
        <v>0</v>
      </c>
      <c r="S94" s="16" t="n">
        <v>15</v>
      </c>
      <c r="T94" s="17" t="n">
        <f aca="false">AVERAGE(O94:Q94)</f>
        <v>5</v>
      </c>
      <c r="U94" s="18" t="str">
        <f aca="false">IF(T94&gt;=$H$3,"Eligible","Not Eligible")</f>
        <v>Eligible</v>
      </c>
      <c r="V94" s="19" t="n">
        <f aca="false">IF(T94&lt;$H$3,0,IFERROR(T94/SUMIF($T$5:$T$999,"&gt;="&amp;$H$3),0))</f>
        <v>0.002093217973765</v>
      </c>
      <c r="W94" s="15" t="str">
        <f aca="false">IF(T94=0,"Win-Back","Active")</f>
        <v>Active</v>
      </c>
      <c r="X94" s="20" t="n">
        <f aca="false">IF(T94=0,0,IF(T94&gt;=$H$3,ROUND(T94*$D$3/SUMIF($T$5:$T$999,"&gt;="&amp;$H$3),0),ROUNDUP(T94*$D$3/SUMIF($T$5:$T$999,"&gt;="&amp;$H$3),0)))</f>
        <v>6</v>
      </c>
      <c r="Y94" s="21" t="n">
        <v>5</v>
      </c>
      <c r="Z94" s="16" t="n">
        <f aca="false">IF(X94=0,"",X94-Y94)</f>
        <v>1</v>
      </c>
      <c r="AA94" s="22" t="n">
        <f aca="false">IFERROR(Y94/X94,"")</f>
        <v>0.833333333333333</v>
      </c>
      <c r="AB94" s="16" t="n">
        <v>0</v>
      </c>
      <c r="AC94" s="21"/>
    </row>
    <row r="95" customFormat="false" ht="15" hidden="false" customHeight="true" outlineLevel="0" collapsed="false">
      <c r="A95" s="15" t="s">
        <v>983</v>
      </c>
      <c r="B95" s="15" t="s">
        <v>984</v>
      </c>
      <c r="C95" s="15" t="s">
        <v>985</v>
      </c>
      <c r="D95" s="15" t="s">
        <v>986</v>
      </c>
      <c r="E95" s="15" t="s">
        <v>987</v>
      </c>
      <c r="F95" s="15" t="s">
        <v>988</v>
      </c>
      <c r="G95" s="15" t="s">
        <v>989</v>
      </c>
      <c r="H95" s="15" t="s">
        <v>990</v>
      </c>
      <c r="I95" s="15" t="s">
        <v>331</v>
      </c>
      <c r="J95" s="15" t="s">
        <v>991</v>
      </c>
      <c r="K95" s="15" t="s">
        <v>368</v>
      </c>
      <c r="L95" s="15" t="s">
        <v>992</v>
      </c>
      <c r="M95" s="15" t="s">
        <v>993</v>
      </c>
      <c r="N95" s="15" t="s">
        <v>73</v>
      </c>
      <c r="O95" s="16" t="n">
        <v>0</v>
      </c>
      <c r="P95" s="16" t="n">
        <v>9</v>
      </c>
      <c r="Q95" s="16" t="n">
        <v>6</v>
      </c>
      <c r="R95" s="16" t="n">
        <v>0</v>
      </c>
      <c r="S95" s="16" t="n">
        <v>15</v>
      </c>
      <c r="T95" s="17" t="n">
        <f aca="false">AVERAGE(O95:Q95)</f>
        <v>5</v>
      </c>
      <c r="U95" s="18" t="str">
        <f aca="false">IF(T95&gt;=$H$3,"Eligible","Not Eligible")</f>
        <v>Eligible</v>
      </c>
      <c r="V95" s="19" t="n">
        <f aca="false">IF(T95&lt;$H$3,0,IFERROR(T95/SUMIF($T$5:$T$999,"&gt;="&amp;$H$3),0))</f>
        <v>0.002093217973765</v>
      </c>
      <c r="W95" s="15" t="str">
        <f aca="false">IF(T95=0,"Win-Back","Active")</f>
        <v>Active</v>
      </c>
      <c r="X95" s="20" t="n">
        <f aca="false">IF(T95=0,0,IF(T95&gt;=$H$3,ROUND(T95*$D$3/SUMIF($T$5:$T$999,"&gt;="&amp;$H$3),0),ROUNDUP(T95*$D$3/SUMIF($T$5:$T$999,"&gt;="&amp;$H$3),0)))</f>
        <v>6</v>
      </c>
      <c r="Y95" s="21" t="n">
        <v>5</v>
      </c>
      <c r="Z95" s="16" t="n">
        <f aca="false">IF(X95=0,"",X95-Y95)</f>
        <v>1</v>
      </c>
      <c r="AA95" s="22" t="n">
        <f aca="false">IFERROR(Y95/X95,"")</f>
        <v>0.833333333333333</v>
      </c>
      <c r="AB95" s="16" t="n">
        <v>0</v>
      </c>
      <c r="AC95" s="21"/>
    </row>
    <row r="96" customFormat="false" ht="15" hidden="false" customHeight="true" outlineLevel="0" collapsed="false">
      <c r="A96" s="15" t="s">
        <v>994</v>
      </c>
      <c r="B96" s="15" t="s">
        <v>995</v>
      </c>
      <c r="C96" s="15" t="s">
        <v>996</v>
      </c>
      <c r="D96" s="15" t="s">
        <v>997</v>
      </c>
      <c r="E96" s="15" t="s">
        <v>998</v>
      </c>
      <c r="F96" s="15" t="s">
        <v>999</v>
      </c>
      <c r="G96" s="15" t="s">
        <v>1000</v>
      </c>
      <c r="H96" s="15" t="s">
        <v>1001</v>
      </c>
      <c r="I96" s="15"/>
      <c r="J96" s="15" t="s">
        <v>82</v>
      </c>
      <c r="K96" s="15" t="s">
        <v>47</v>
      </c>
      <c r="L96" s="15" t="s">
        <v>93</v>
      </c>
      <c r="M96" s="15" t="s">
        <v>1002</v>
      </c>
      <c r="N96" s="15" t="s">
        <v>73</v>
      </c>
      <c r="O96" s="16" t="n">
        <v>0</v>
      </c>
      <c r="P96" s="16" t="n">
        <v>4</v>
      </c>
      <c r="Q96" s="16" t="n">
        <v>10</v>
      </c>
      <c r="R96" s="16" t="n">
        <v>2</v>
      </c>
      <c r="S96" s="16" t="n">
        <v>16</v>
      </c>
      <c r="T96" s="17" t="n">
        <f aca="false">AVERAGE(O96:Q96)</f>
        <v>4.66666666666667</v>
      </c>
      <c r="U96" s="18" t="str">
        <f aca="false">IF(T96&gt;=$H$3,"Eligible","Not Eligible")</f>
        <v>Not Eligible</v>
      </c>
      <c r="V96" s="19" t="n">
        <f aca="false">IF(T96&lt;$H$3,0,IFERROR(T96/SUMIF($T$5:$T$999,"&gt;="&amp;$H$3),0))</f>
        <v>0</v>
      </c>
      <c r="W96" s="15" t="str">
        <f aca="false">IF(T96=0,"Win-Back","Active")</f>
        <v>Active</v>
      </c>
      <c r="X96" s="20" t="n">
        <f aca="false">IF(T96=0,0,IF(T96&gt;=$H$3,ROUND(T96*$D$3/SUMIF($T$5:$T$999,"&gt;="&amp;$H$3),0),ROUNDUP(T96*$D$3/SUMIF($T$5:$T$999,"&gt;="&amp;$H$3),0)))</f>
        <v>6</v>
      </c>
      <c r="Y96" s="21" t="n">
        <v>4</v>
      </c>
      <c r="Z96" s="16" t="n">
        <f aca="false">IF(X96=0,"",X96-Y96)</f>
        <v>2</v>
      </c>
      <c r="AA96" s="22" t="n">
        <f aca="false">IFERROR(Y96/X96,"")</f>
        <v>0.666666666666667</v>
      </c>
      <c r="AB96" s="16" t="n">
        <v>3</v>
      </c>
      <c r="AC96" s="21" t="n">
        <v>6</v>
      </c>
    </row>
    <row r="97" customFormat="false" ht="15" hidden="false" customHeight="true" outlineLevel="0" collapsed="false">
      <c r="A97" s="15" t="s">
        <v>1003</v>
      </c>
      <c r="B97" s="15" t="s">
        <v>1004</v>
      </c>
      <c r="C97" s="15" t="s">
        <v>1005</v>
      </c>
      <c r="D97" s="15" t="s">
        <v>1006</v>
      </c>
      <c r="E97" s="15" t="s">
        <v>1007</v>
      </c>
      <c r="F97" s="15" t="s">
        <v>1008</v>
      </c>
      <c r="G97" s="15" t="s">
        <v>1009</v>
      </c>
      <c r="H97" s="15" t="s">
        <v>1010</v>
      </c>
      <c r="I97" s="15"/>
      <c r="J97" s="15" t="s">
        <v>1011</v>
      </c>
      <c r="K97" s="15" t="s">
        <v>70</v>
      </c>
      <c r="L97" s="15" t="s">
        <v>1012</v>
      </c>
      <c r="M97" s="15" t="s">
        <v>1013</v>
      </c>
      <c r="N97" s="15" t="s">
        <v>73</v>
      </c>
      <c r="O97" s="16" t="n">
        <v>3</v>
      </c>
      <c r="P97" s="16" t="n">
        <v>2</v>
      </c>
      <c r="Q97" s="16" t="n">
        <v>9</v>
      </c>
      <c r="R97" s="16" t="n">
        <v>1</v>
      </c>
      <c r="S97" s="16" t="n">
        <v>15</v>
      </c>
      <c r="T97" s="17" t="n">
        <f aca="false">AVERAGE(O97:Q97)</f>
        <v>4.66666666666667</v>
      </c>
      <c r="U97" s="18" t="str">
        <f aca="false">IF(T97&gt;=$H$3,"Eligible","Not Eligible")</f>
        <v>Not Eligible</v>
      </c>
      <c r="V97" s="19" t="n">
        <f aca="false">IF(T97&lt;$H$3,0,IFERROR(T97/SUMIF($T$5:$T$999,"&gt;="&amp;$H$3),0))</f>
        <v>0</v>
      </c>
      <c r="W97" s="15" t="str">
        <f aca="false">IF(T97=0,"Win-Back","Active")</f>
        <v>Active</v>
      </c>
      <c r="X97" s="20" t="n">
        <f aca="false">IF(T97=0,0,IF(T97&gt;=$H$3,ROUND(T97*$D$3/SUMIF($T$5:$T$999,"&gt;="&amp;$H$3),0),ROUNDUP(T97*$D$3/SUMIF($T$5:$T$999,"&gt;="&amp;$H$3),0)))</f>
        <v>6</v>
      </c>
      <c r="Y97" s="21" t="n">
        <v>4</v>
      </c>
      <c r="Z97" s="16" t="n">
        <f aca="false">IF(X97=0,"",X97-Y97)</f>
        <v>2</v>
      </c>
      <c r="AA97" s="22" t="n">
        <f aca="false">IFERROR(Y97/X97,"")</f>
        <v>0.666666666666667</v>
      </c>
      <c r="AB97" s="16" t="n">
        <v>7</v>
      </c>
      <c r="AC97" s="21" t="n">
        <v>5</v>
      </c>
    </row>
    <row r="98" customFormat="false" ht="15" hidden="false" customHeight="true" outlineLevel="0" collapsed="false">
      <c r="A98" s="15" t="s">
        <v>1014</v>
      </c>
      <c r="B98" s="15" t="s">
        <v>1015</v>
      </c>
      <c r="C98" s="15" t="s">
        <v>1016</v>
      </c>
      <c r="D98" s="15" t="s">
        <v>1017</v>
      </c>
      <c r="E98" s="15" t="s">
        <v>1018</v>
      </c>
      <c r="F98" s="15" t="s">
        <v>1019</v>
      </c>
      <c r="G98" s="15" t="s">
        <v>1020</v>
      </c>
      <c r="H98" s="15" t="s">
        <v>1021</v>
      </c>
      <c r="I98" s="15" t="s">
        <v>331</v>
      </c>
      <c r="J98" s="15" t="s">
        <v>1022</v>
      </c>
      <c r="K98" s="15" t="s">
        <v>368</v>
      </c>
      <c r="L98" s="15" t="s">
        <v>1023</v>
      </c>
      <c r="M98" s="15" t="s">
        <v>1024</v>
      </c>
      <c r="N98" s="15" t="s">
        <v>73</v>
      </c>
      <c r="O98" s="16" t="n">
        <v>1</v>
      </c>
      <c r="P98" s="16" t="n">
        <v>0</v>
      </c>
      <c r="Q98" s="16" t="n">
        <v>13</v>
      </c>
      <c r="R98" s="16" t="n">
        <v>0</v>
      </c>
      <c r="S98" s="16" t="n">
        <v>14</v>
      </c>
      <c r="T98" s="17" t="n">
        <f aca="false">AVERAGE(O98:Q98)</f>
        <v>4.66666666666667</v>
      </c>
      <c r="U98" s="18" t="str">
        <f aca="false">IF(T98&gt;=$H$3,"Eligible","Not Eligible")</f>
        <v>Not Eligible</v>
      </c>
      <c r="V98" s="19" t="n">
        <f aca="false">IF(T98&lt;$H$3,0,IFERROR(T98/SUMIF($T$5:$T$999,"&gt;="&amp;$H$3),0))</f>
        <v>0</v>
      </c>
      <c r="W98" s="15" t="str">
        <f aca="false">IF(T98=0,"Win-Back","Active")</f>
        <v>Active</v>
      </c>
      <c r="X98" s="20" t="n">
        <f aca="false">IF(T98=0,0,IF(T98&gt;=$H$3,ROUND(T98*$D$3/SUMIF($T$5:$T$999,"&gt;="&amp;$H$3),0),ROUNDUP(T98*$D$3/SUMIF($T$5:$T$999,"&gt;="&amp;$H$3),0)))</f>
        <v>6</v>
      </c>
      <c r="Y98" s="21" t="n">
        <v>5</v>
      </c>
      <c r="Z98" s="16" t="n">
        <f aca="false">IF(X98=0,"",X98-Y98)</f>
        <v>1</v>
      </c>
      <c r="AA98" s="22" t="n">
        <f aca="false">IFERROR(Y98/X98,"")</f>
        <v>0.833333333333333</v>
      </c>
      <c r="AB98" s="16" t="n">
        <v>5</v>
      </c>
      <c r="AC98" s="21"/>
    </row>
    <row r="99" customFormat="false" ht="15" hidden="false" customHeight="true" outlineLevel="0" collapsed="false">
      <c r="A99" s="15" t="s">
        <v>1025</v>
      </c>
      <c r="B99" s="15" t="s">
        <v>1026</v>
      </c>
      <c r="C99" s="15" t="s">
        <v>1027</v>
      </c>
      <c r="D99" s="15" t="s">
        <v>1028</v>
      </c>
      <c r="E99" s="15" t="s">
        <v>1029</v>
      </c>
      <c r="F99" s="15" t="s">
        <v>1030</v>
      </c>
      <c r="G99" s="15" t="s">
        <v>1031</v>
      </c>
      <c r="H99" s="15" t="s">
        <v>1032</v>
      </c>
      <c r="I99" s="15"/>
      <c r="J99" s="15" t="s">
        <v>1033</v>
      </c>
      <c r="K99" s="15" t="s">
        <v>70</v>
      </c>
      <c r="L99" s="15" t="s">
        <v>1034</v>
      </c>
      <c r="M99" s="15" t="s">
        <v>1035</v>
      </c>
      <c r="N99" s="15" t="s">
        <v>73</v>
      </c>
      <c r="O99" s="16" t="n">
        <v>6</v>
      </c>
      <c r="P99" s="16" t="n">
        <v>5</v>
      </c>
      <c r="Q99" s="16" t="n">
        <v>3</v>
      </c>
      <c r="R99" s="16" t="n">
        <v>0</v>
      </c>
      <c r="S99" s="16" t="n">
        <v>14</v>
      </c>
      <c r="T99" s="17" t="n">
        <f aca="false">AVERAGE(O99:Q99)</f>
        <v>4.66666666666667</v>
      </c>
      <c r="U99" s="18" t="str">
        <f aca="false">IF(T99&gt;=$H$3,"Eligible","Not Eligible")</f>
        <v>Not Eligible</v>
      </c>
      <c r="V99" s="19" t="n">
        <f aca="false">IF(T99&lt;$H$3,0,IFERROR(T99/SUMIF($T$5:$T$999,"&gt;="&amp;$H$3),0))</f>
        <v>0</v>
      </c>
      <c r="W99" s="15" t="str">
        <f aca="false">IF(T99=0,"Win-Back","Active")</f>
        <v>Active</v>
      </c>
      <c r="X99" s="20" t="n">
        <f aca="false">IF(T99=0,0,IF(T99&gt;=$H$3,ROUND(T99*$D$3/SUMIF($T$5:$T$999,"&gt;="&amp;$H$3),0),ROUNDUP(T99*$D$3/SUMIF($T$5:$T$999,"&gt;="&amp;$H$3),0)))</f>
        <v>6</v>
      </c>
      <c r="Y99" s="21" t="n">
        <v>5</v>
      </c>
      <c r="Z99" s="16" t="n">
        <f aca="false">IF(X99=0,"",X99-Y99)</f>
        <v>1</v>
      </c>
      <c r="AA99" s="22" t="n">
        <f aca="false">IFERROR(Y99/X99,"")</f>
        <v>0.833333333333333</v>
      </c>
      <c r="AB99" s="16" t="n">
        <v>0</v>
      </c>
      <c r="AC99" s="21"/>
    </row>
    <row r="100" customFormat="false" ht="15" hidden="false" customHeight="true" outlineLevel="0" collapsed="false">
      <c r="A100" s="15" t="s">
        <v>1036</v>
      </c>
      <c r="B100" s="15" t="s">
        <v>1037</v>
      </c>
      <c r="C100" s="15" t="s">
        <v>1038</v>
      </c>
      <c r="D100" s="15" t="s">
        <v>1039</v>
      </c>
      <c r="E100" s="15" t="s">
        <v>1040</v>
      </c>
      <c r="F100" s="15"/>
      <c r="G100" s="15" t="s">
        <v>1041</v>
      </c>
      <c r="H100" s="15" t="s">
        <v>1042</v>
      </c>
      <c r="I100" s="15" t="s">
        <v>1043</v>
      </c>
      <c r="J100" s="15" t="s">
        <v>46</v>
      </c>
      <c r="K100" s="15" t="s">
        <v>47</v>
      </c>
      <c r="L100" s="15" t="s">
        <v>48</v>
      </c>
      <c r="M100" s="15" t="s">
        <v>1044</v>
      </c>
      <c r="N100" s="15" t="s">
        <v>50</v>
      </c>
      <c r="O100" s="16" t="n">
        <v>11</v>
      </c>
      <c r="P100" s="16" t="n">
        <v>3</v>
      </c>
      <c r="Q100" s="16" t="n">
        <v>0</v>
      </c>
      <c r="R100" s="16" t="n">
        <v>0</v>
      </c>
      <c r="S100" s="16" t="n">
        <v>14</v>
      </c>
      <c r="T100" s="17" t="n">
        <f aca="false">AVERAGE(O100:Q100)</f>
        <v>4.66666666666667</v>
      </c>
      <c r="U100" s="18" t="str">
        <f aca="false">IF(T100&gt;=$H$3,"Eligible","Not Eligible")</f>
        <v>Not Eligible</v>
      </c>
      <c r="V100" s="19" t="n">
        <f aca="false">IF(T100&lt;$H$3,0,IFERROR(T100/SUMIF($T$5:$T$999,"&gt;="&amp;$H$3),0))</f>
        <v>0</v>
      </c>
      <c r="W100" s="15" t="str">
        <f aca="false">IF(T100=0,"Win-Back","Active")</f>
        <v>Active</v>
      </c>
      <c r="X100" s="20" t="n">
        <f aca="false">IF(T100=0,0,IF(T100&gt;=$H$3,ROUND(T100*$D$3/SUMIF($T$5:$T$999,"&gt;="&amp;$H$3),0),ROUNDUP(T100*$D$3/SUMIF($T$5:$T$999,"&gt;="&amp;$H$3),0)))</f>
        <v>6</v>
      </c>
      <c r="Y100" s="21" t="n">
        <v>10</v>
      </c>
      <c r="Z100" s="16" t="n">
        <f aca="false">IF(X100=0,"",X100-Y100)</f>
        <v>-4</v>
      </c>
      <c r="AA100" s="22" t="n">
        <f aca="false">IFERROR(Y100/X100,"")</f>
        <v>1.66666666666667</v>
      </c>
      <c r="AB100" s="16" t="n">
        <v>0</v>
      </c>
      <c r="AC100" s="21"/>
    </row>
    <row r="101" customFormat="false" ht="15" hidden="false" customHeight="true" outlineLevel="0" collapsed="false">
      <c r="A101" s="15" t="s">
        <v>1045</v>
      </c>
      <c r="B101" s="15" t="s">
        <v>1046</v>
      </c>
      <c r="C101" s="15" t="s">
        <v>1047</v>
      </c>
      <c r="D101" s="15" t="s">
        <v>1048</v>
      </c>
      <c r="E101" s="15" t="s">
        <v>1049</v>
      </c>
      <c r="F101" s="15" t="s">
        <v>1050</v>
      </c>
      <c r="G101" s="15" t="s">
        <v>1051</v>
      </c>
      <c r="H101" s="15" t="s">
        <v>1052</v>
      </c>
      <c r="I101" s="15"/>
      <c r="J101" s="15" t="s">
        <v>1053</v>
      </c>
      <c r="K101" s="15" t="s">
        <v>47</v>
      </c>
      <c r="L101" s="15" t="s">
        <v>1054</v>
      </c>
      <c r="M101" s="15" t="s">
        <v>1055</v>
      </c>
      <c r="N101" s="15" t="s">
        <v>73</v>
      </c>
      <c r="O101" s="16" t="n">
        <v>4</v>
      </c>
      <c r="P101" s="16" t="n">
        <v>3</v>
      </c>
      <c r="Q101" s="16" t="n">
        <v>6</v>
      </c>
      <c r="R101" s="16" t="n">
        <v>3</v>
      </c>
      <c r="S101" s="16" t="n">
        <v>16</v>
      </c>
      <c r="T101" s="17" t="n">
        <f aca="false">AVERAGE(O101:Q101)</f>
        <v>4.33333333333333</v>
      </c>
      <c r="U101" s="18" t="str">
        <f aca="false">IF(T101&gt;=$H$3,"Eligible","Not Eligible")</f>
        <v>Not Eligible</v>
      </c>
      <c r="V101" s="19" t="n">
        <f aca="false">IF(T101&lt;$H$3,0,IFERROR(T101/SUMIF($T$5:$T$999,"&gt;="&amp;$H$3),0))</f>
        <v>0</v>
      </c>
      <c r="W101" s="15" t="str">
        <f aca="false">IF(T101=0,"Win-Back","Active")</f>
        <v>Active</v>
      </c>
      <c r="X101" s="20" t="n">
        <f aca="false">IF(T101=0,0,IF(T101&gt;=$H$3,ROUND(T101*$D$3/SUMIF($T$5:$T$999,"&gt;="&amp;$H$3),0),ROUNDUP(T101*$D$3/SUMIF($T$5:$T$999,"&gt;="&amp;$H$3),0)))</f>
        <v>5</v>
      </c>
      <c r="Y101" s="21"/>
      <c r="Z101" s="16" t="n">
        <f aca="false">IF(X101=0,"",X101-Y101)</f>
        <v>5</v>
      </c>
      <c r="AA101" s="22" t="n">
        <f aca="false">IFERROR(Y101/X101,"")</f>
        <v>0</v>
      </c>
      <c r="AB101" s="16" t="n">
        <v>0</v>
      </c>
      <c r="AC101" s="21"/>
    </row>
    <row r="102" customFormat="false" ht="15" hidden="false" customHeight="true" outlineLevel="0" collapsed="false">
      <c r="A102" s="15" t="s">
        <v>1056</v>
      </c>
      <c r="B102" s="15" t="s">
        <v>1057</v>
      </c>
      <c r="C102" s="15" t="s">
        <v>1058</v>
      </c>
      <c r="D102" s="15" t="s">
        <v>1059</v>
      </c>
      <c r="E102" s="15" t="s">
        <v>1060</v>
      </c>
      <c r="F102" s="15" t="s">
        <v>1061</v>
      </c>
      <c r="G102" s="15" t="s">
        <v>1062</v>
      </c>
      <c r="H102" s="15" t="s">
        <v>1063</v>
      </c>
      <c r="I102" s="15"/>
      <c r="J102" s="15" t="s">
        <v>1064</v>
      </c>
      <c r="K102" s="15" t="s">
        <v>368</v>
      </c>
      <c r="L102" s="15" t="s">
        <v>1065</v>
      </c>
      <c r="M102" s="15" t="s">
        <v>1066</v>
      </c>
      <c r="N102" s="15" t="s">
        <v>73</v>
      </c>
      <c r="O102" s="16" t="n">
        <v>6</v>
      </c>
      <c r="P102" s="16" t="n">
        <v>4</v>
      </c>
      <c r="Q102" s="16" t="n">
        <v>3</v>
      </c>
      <c r="R102" s="16" t="n">
        <v>2</v>
      </c>
      <c r="S102" s="16" t="n">
        <v>15</v>
      </c>
      <c r="T102" s="17" t="n">
        <f aca="false">AVERAGE(O102:Q102)</f>
        <v>4.33333333333333</v>
      </c>
      <c r="U102" s="18" t="str">
        <f aca="false">IF(T102&gt;=$H$3,"Eligible","Not Eligible")</f>
        <v>Not Eligible</v>
      </c>
      <c r="V102" s="19" t="n">
        <f aca="false">IF(T102&lt;$H$3,0,IFERROR(T102/SUMIF($T$5:$T$999,"&gt;="&amp;$H$3),0))</f>
        <v>0</v>
      </c>
      <c r="W102" s="15" t="str">
        <f aca="false">IF(T102=0,"Win-Back","Active")</f>
        <v>Active</v>
      </c>
      <c r="X102" s="20" t="n">
        <f aca="false">IF(T102=0,0,IF(T102&gt;=$H$3,ROUND(T102*$D$3/SUMIF($T$5:$T$999,"&gt;="&amp;$H$3),0),ROUNDUP(T102*$D$3/SUMIF($T$5:$T$999,"&gt;="&amp;$H$3),0)))</f>
        <v>5</v>
      </c>
      <c r="Y102" s="21" t="n">
        <v>3</v>
      </c>
      <c r="Z102" s="16" t="n">
        <f aca="false">IF(X102=0,"",X102-Y102)</f>
        <v>2</v>
      </c>
      <c r="AA102" s="22" t="n">
        <f aca="false">IFERROR(Y102/X102,"")</f>
        <v>0.6</v>
      </c>
      <c r="AB102" s="16" t="n">
        <v>0</v>
      </c>
      <c r="AC102" s="21"/>
    </row>
    <row r="103" customFormat="false" ht="15" hidden="false" customHeight="true" outlineLevel="0" collapsed="false">
      <c r="A103" s="15" t="s">
        <v>1067</v>
      </c>
      <c r="B103" s="15" t="s">
        <v>1068</v>
      </c>
      <c r="C103" s="15" t="s">
        <v>1069</v>
      </c>
      <c r="D103" s="15" t="s">
        <v>1070</v>
      </c>
      <c r="E103" s="15" t="s">
        <v>1071</v>
      </c>
      <c r="F103" s="15" t="s">
        <v>1072</v>
      </c>
      <c r="G103" s="15" t="s">
        <v>1073</v>
      </c>
      <c r="H103" s="15" t="s">
        <v>1074</v>
      </c>
      <c r="I103" s="15"/>
      <c r="J103" s="15" t="s">
        <v>1075</v>
      </c>
      <c r="K103" s="15" t="s">
        <v>735</v>
      </c>
      <c r="L103" s="15" t="s">
        <v>1076</v>
      </c>
      <c r="M103" s="15" t="s">
        <v>1077</v>
      </c>
      <c r="N103" s="15" t="s">
        <v>73</v>
      </c>
      <c r="O103" s="16" t="n">
        <v>3</v>
      </c>
      <c r="P103" s="16" t="n">
        <v>3</v>
      </c>
      <c r="Q103" s="16" t="n">
        <v>7</v>
      </c>
      <c r="R103" s="16" t="n">
        <v>2</v>
      </c>
      <c r="S103" s="16" t="n">
        <v>15</v>
      </c>
      <c r="T103" s="17" t="n">
        <f aca="false">AVERAGE(O103:Q103)</f>
        <v>4.33333333333333</v>
      </c>
      <c r="U103" s="18" t="str">
        <f aca="false">IF(T103&gt;=$H$3,"Eligible","Not Eligible")</f>
        <v>Not Eligible</v>
      </c>
      <c r="V103" s="19" t="n">
        <f aca="false">IF(T103&lt;$H$3,0,IFERROR(T103/SUMIF($T$5:$T$999,"&gt;="&amp;$H$3),0))</f>
        <v>0</v>
      </c>
      <c r="W103" s="15" t="str">
        <f aca="false">IF(T103=0,"Win-Back","Active")</f>
        <v>Active</v>
      </c>
      <c r="X103" s="20" t="n">
        <f aca="false">IF(T103=0,0,IF(T103&gt;=$H$3,ROUND(T103*$D$3/SUMIF($T$5:$T$999,"&gt;="&amp;$H$3),0),ROUNDUP(T103*$D$3/SUMIF($T$5:$T$999,"&gt;="&amp;$H$3),0)))</f>
        <v>5</v>
      </c>
      <c r="Y103" s="21" t="n">
        <v>1</v>
      </c>
      <c r="Z103" s="16" t="n">
        <f aca="false">IF(X103=0,"",X103-Y103)</f>
        <v>4</v>
      </c>
      <c r="AA103" s="22" t="n">
        <f aca="false">IFERROR(Y103/X103,"")</f>
        <v>0.2</v>
      </c>
      <c r="AB103" s="16" t="n">
        <v>0</v>
      </c>
      <c r="AC103" s="21"/>
    </row>
    <row r="104" customFormat="false" ht="15" hidden="false" customHeight="true" outlineLevel="0" collapsed="false">
      <c r="A104" s="15" t="s">
        <v>1078</v>
      </c>
      <c r="B104" s="15" t="s">
        <v>1079</v>
      </c>
      <c r="C104" s="15" t="s">
        <v>1080</v>
      </c>
      <c r="D104" s="15" t="s">
        <v>1081</v>
      </c>
      <c r="E104" s="15" t="s">
        <v>1082</v>
      </c>
      <c r="F104" s="15" t="s">
        <v>1083</v>
      </c>
      <c r="G104" s="15" t="s">
        <v>1084</v>
      </c>
      <c r="H104" s="15" t="s">
        <v>1085</v>
      </c>
      <c r="I104" s="15"/>
      <c r="J104" s="15" t="s">
        <v>1086</v>
      </c>
      <c r="K104" s="15" t="s">
        <v>678</v>
      </c>
      <c r="L104" s="15" t="s">
        <v>1087</v>
      </c>
      <c r="M104" s="15" t="s">
        <v>1088</v>
      </c>
      <c r="N104" s="15" t="s">
        <v>73</v>
      </c>
      <c r="O104" s="16" t="n">
        <v>3</v>
      </c>
      <c r="P104" s="16" t="n">
        <v>6</v>
      </c>
      <c r="Q104" s="16" t="n">
        <v>4</v>
      </c>
      <c r="R104" s="16" t="n">
        <v>2</v>
      </c>
      <c r="S104" s="16" t="n">
        <v>15</v>
      </c>
      <c r="T104" s="17" t="n">
        <f aca="false">AVERAGE(O104:Q104)</f>
        <v>4.33333333333333</v>
      </c>
      <c r="U104" s="18" t="str">
        <f aca="false">IF(T104&gt;=$H$3,"Eligible","Not Eligible")</f>
        <v>Not Eligible</v>
      </c>
      <c r="V104" s="19" t="n">
        <f aca="false">IF(T104&lt;$H$3,0,IFERROR(T104/SUMIF($T$5:$T$999,"&gt;="&amp;$H$3),0))</f>
        <v>0</v>
      </c>
      <c r="W104" s="15" t="str">
        <f aca="false">IF(T104=0,"Win-Back","Active")</f>
        <v>Active</v>
      </c>
      <c r="X104" s="20" t="n">
        <f aca="false">IF(T104=0,0,IF(T104&gt;=$H$3,ROUND(T104*$D$3/SUMIF($T$5:$T$999,"&gt;="&amp;$H$3),0),ROUNDUP(T104*$D$3/SUMIF($T$5:$T$999,"&gt;="&amp;$H$3),0)))</f>
        <v>5</v>
      </c>
      <c r="Y104" s="21" t="n">
        <v>5</v>
      </c>
      <c r="Z104" s="16" t="n">
        <f aca="false">IF(X104=0,"",X104-Y104)</f>
        <v>0</v>
      </c>
      <c r="AA104" s="22" t="n">
        <f aca="false">IFERROR(Y104/X104,"")</f>
        <v>1</v>
      </c>
      <c r="AB104" s="16" t="n">
        <v>0</v>
      </c>
      <c r="AC104" s="21"/>
    </row>
    <row r="105" customFormat="false" ht="15" hidden="false" customHeight="true" outlineLevel="0" collapsed="false">
      <c r="A105" s="15" t="s">
        <v>1089</v>
      </c>
      <c r="B105" s="15" t="s">
        <v>1090</v>
      </c>
      <c r="C105" s="15" t="s">
        <v>1091</v>
      </c>
      <c r="D105" s="15" t="s">
        <v>1092</v>
      </c>
      <c r="E105" s="15" t="s">
        <v>1093</v>
      </c>
      <c r="F105" s="15" t="s">
        <v>1094</v>
      </c>
      <c r="G105" s="15" t="s">
        <v>1095</v>
      </c>
      <c r="H105" s="15" t="s">
        <v>1096</v>
      </c>
      <c r="I105" s="15" t="s">
        <v>1097</v>
      </c>
      <c r="J105" s="15" t="s">
        <v>1098</v>
      </c>
      <c r="K105" s="15" t="s">
        <v>70</v>
      </c>
      <c r="L105" s="15" t="s">
        <v>1099</v>
      </c>
      <c r="M105" s="15" t="s">
        <v>1100</v>
      </c>
      <c r="N105" s="15" t="s">
        <v>73</v>
      </c>
      <c r="O105" s="16" t="n">
        <v>5</v>
      </c>
      <c r="P105" s="16" t="n">
        <v>2</v>
      </c>
      <c r="Q105" s="16" t="n">
        <v>6</v>
      </c>
      <c r="R105" s="16" t="n">
        <v>2</v>
      </c>
      <c r="S105" s="16" t="n">
        <v>15</v>
      </c>
      <c r="T105" s="17" t="n">
        <f aca="false">AVERAGE(O105:Q105)</f>
        <v>4.33333333333333</v>
      </c>
      <c r="U105" s="18" t="str">
        <f aca="false">IF(T105&gt;=$H$3,"Eligible","Not Eligible")</f>
        <v>Not Eligible</v>
      </c>
      <c r="V105" s="19" t="n">
        <f aca="false">IF(T105&lt;$H$3,0,IFERROR(T105/SUMIF($T$5:$T$999,"&gt;="&amp;$H$3),0))</f>
        <v>0</v>
      </c>
      <c r="W105" s="15" t="str">
        <f aca="false">IF(T105=0,"Win-Back","Active")</f>
        <v>Active</v>
      </c>
      <c r="X105" s="20" t="n">
        <f aca="false">IF(T105=0,0,IF(T105&gt;=$H$3,ROUND(T105*$D$3/SUMIF($T$5:$T$999,"&gt;="&amp;$H$3),0),ROUNDUP(T105*$D$3/SUMIF($T$5:$T$999,"&gt;="&amp;$H$3),0)))</f>
        <v>5</v>
      </c>
      <c r="Y105" s="21" t="n">
        <v>5</v>
      </c>
      <c r="Z105" s="16" t="n">
        <f aca="false">IF(X105=0,"",X105-Y105)</f>
        <v>0</v>
      </c>
      <c r="AA105" s="22" t="n">
        <f aca="false">IFERROR(Y105/X105,"")</f>
        <v>1</v>
      </c>
      <c r="AB105" s="16" t="n">
        <v>5</v>
      </c>
      <c r="AC105" s="21" t="n">
        <v>2</v>
      </c>
    </row>
    <row r="106" customFormat="false" ht="15" hidden="false" customHeight="true" outlineLevel="0" collapsed="false">
      <c r="A106" s="15" t="s">
        <v>1101</v>
      </c>
      <c r="B106" s="15" t="s">
        <v>1102</v>
      </c>
      <c r="C106" s="15" t="s">
        <v>1103</v>
      </c>
      <c r="D106" s="15" t="s">
        <v>1104</v>
      </c>
      <c r="E106" s="15" t="s">
        <v>1105</v>
      </c>
      <c r="F106" s="15" t="s">
        <v>1106</v>
      </c>
      <c r="G106" s="15" t="s">
        <v>1107</v>
      </c>
      <c r="H106" s="15" t="s">
        <v>1108</v>
      </c>
      <c r="I106" s="15"/>
      <c r="J106" s="15" t="s">
        <v>265</v>
      </c>
      <c r="K106" s="15" t="s">
        <v>47</v>
      </c>
      <c r="L106" s="15" t="s">
        <v>266</v>
      </c>
      <c r="M106" s="15" t="s">
        <v>1109</v>
      </c>
      <c r="N106" s="15" t="s">
        <v>50</v>
      </c>
      <c r="O106" s="16" t="n">
        <v>4</v>
      </c>
      <c r="P106" s="16" t="n">
        <v>4</v>
      </c>
      <c r="Q106" s="16" t="n">
        <v>5</v>
      </c>
      <c r="R106" s="16" t="n">
        <v>1</v>
      </c>
      <c r="S106" s="16" t="n">
        <v>14</v>
      </c>
      <c r="T106" s="17" t="n">
        <f aca="false">AVERAGE(O106:Q106)</f>
        <v>4.33333333333333</v>
      </c>
      <c r="U106" s="18" t="str">
        <f aca="false">IF(T106&gt;=$H$3,"Eligible","Not Eligible")</f>
        <v>Not Eligible</v>
      </c>
      <c r="V106" s="19" t="n">
        <f aca="false">IF(T106&lt;$H$3,0,IFERROR(T106/SUMIF($T$5:$T$999,"&gt;="&amp;$H$3),0))</f>
        <v>0</v>
      </c>
      <c r="W106" s="15" t="str">
        <f aca="false">IF(T106=0,"Win-Back","Active")</f>
        <v>Active</v>
      </c>
      <c r="X106" s="20" t="n">
        <f aca="false">IF(T106=0,0,IF(T106&gt;=$H$3,ROUND(T106*$D$3/SUMIF($T$5:$T$999,"&gt;="&amp;$H$3),0),ROUNDUP(T106*$D$3/SUMIF($T$5:$T$999,"&gt;="&amp;$H$3),0)))</f>
        <v>5</v>
      </c>
      <c r="Y106" s="21" t="n">
        <v>4</v>
      </c>
      <c r="Z106" s="16" t="n">
        <f aca="false">IF(X106=0,"",X106-Y106)</f>
        <v>1</v>
      </c>
      <c r="AA106" s="22" t="n">
        <f aca="false">IFERROR(Y106/X106,"")</f>
        <v>0.8</v>
      </c>
      <c r="AB106" s="16" t="n">
        <v>0</v>
      </c>
      <c r="AC106" s="21"/>
    </row>
    <row r="107" customFormat="false" ht="15" hidden="false" customHeight="true" outlineLevel="0" collapsed="false">
      <c r="A107" s="15" t="s">
        <v>1110</v>
      </c>
      <c r="B107" s="15" t="s">
        <v>1111</v>
      </c>
      <c r="C107" s="15" t="s">
        <v>1112</v>
      </c>
      <c r="D107" s="15" t="s">
        <v>1113</v>
      </c>
      <c r="E107" s="15" t="s">
        <v>1114</v>
      </c>
      <c r="F107" s="15" t="s">
        <v>1115</v>
      </c>
      <c r="G107" s="15" t="s">
        <v>1116</v>
      </c>
      <c r="H107" s="15" t="s">
        <v>1117</v>
      </c>
      <c r="I107" s="15"/>
      <c r="J107" s="15" t="s">
        <v>367</v>
      </c>
      <c r="K107" s="15" t="s">
        <v>368</v>
      </c>
      <c r="L107" s="15" t="s">
        <v>1118</v>
      </c>
      <c r="M107" s="15" t="s">
        <v>1119</v>
      </c>
      <c r="N107" s="15" t="s">
        <v>73</v>
      </c>
      <c r="O107" s="16" t="n">
        <v>5</v>
      </c>
      <c r="P107" s="16" t="n">
        <v>8</v>
      </c>
      <c r="Q107" s="16" t="n">
        <v>0</v>
      </c>
      <c r="R107" s="16" t="n">
        <v>0</v>
      </c>
      <c r="S107" s="16" t="n">
        <v>13</v>
      </c>
      <c r="T107" s="17" t="n">
        <f aca="false">AVERAGE(O107:Q107)</f>
        <v>4.33333333333333</v>
      </c>
      <c r="U107" s="18" t="str">
        <f aca="false">IF(T107&gt;=$H$3,"Eligible","Not Eligible")</f>
        <v>Not Eligible</v>
      </c>
      <c r="V107" s="19" t="n">
        <f aca="false">IF(T107&lt;$H$3,0,IFERROR(T107/SUMIF($T$5:$T$999,"&gt;="&amp;$H$3),0))</f>
        <v>0</v>
      </c>
      <c r="W107" s="15" t="str">
        <f aca="false">IF(T107=0,"Win-Back","Active")</f>
        <v>Active</v>
      </c>
      <c r="X107" s="20" t="n">
        <f aca="false">IF(T107=0,0,IF(T107&gt;=$H$3,ROUND(T107*$D$3/SUMIF($T$5:$T$999,"&gt;="&amp;$H$3),0),ROUNDUP(T107*$D$3/SUMIF($T$5:$T$999,"&gt;="&amp;$H$3),0)))</f>
        <v>5</v>
      </c>
      <c r="Y107" s="21" t="n">
        <v>4</v>
      </c>
      <c r="Z107" s="16" t="n">
        <f aca="false">IF(X107=0,"",X107-Y107)</f>
        <v>1</v>
      </c>
      <c r="AA107" s="22" t="n">
        <f aca="false">IFERROR(Y107/X107,"")</f>
        <v>0.8</v>
      </c>
      <c r="AB107" s="16" t="n">
        <v>0</v>
      </c>
      <c r="AC107" s="21" t="n">
        <v>8</v>
      </c>
    </row>
    <row r="108" customFormat="false" ht="15" hidden="false" customHeight="true" outlineLevel="0" collapsed="false">
      <c r="A108" s="15" t="s">
        <v>1120</v>
      </c>
      <c r="B108" s="15" t="s">
        <v>1121</v>
      </c>
      <c r="C108" s="15" t="s">
        <v>1122</v>
      </c>
      <c r="D108" s="15" t="s">
        <v>1123</v>
      </c>
      <c r="E108" s="15" t="s">
        <v>1124</v>
      </c>
      <c r="F108" s="15" t="s">
        <v>1125</v>
      </c>
      <c r="G108" s="15" t="s">
        <v>1126</v>
      </c>
      <c r="H108" s="15" t="s">
        <v>1127</v>
      </c>
      <c r="I108" s="15"/>
      <c r="J108" s="15" t="s">
        <v>777</v>
      </c>
      <c r="K108" s="15" t="s">
        <v>70</v>
      </c>
      <c r="L108" s="15" t="s">
        <v>1128</v>
      </c>
      <c r="M108" s="15" t="s">
        <v>1129</v>
      </c>
      <c r="N108" s="15" t="s">
        <v>73</v>
      </c>
      <c r="O108" s="16" t="n">
        <v>2</v>
      </c>
      <c r="P108" s="16" t="n">
        <v>2</v>
      </c>
      <c r="Q108" s="16" t="n">
        <v>9</v>
      </c>
      <c r="R108" s="16" t="n">
        <v>0</v>
      </c>
      <c r="S108" s="16" t="n">
        <v>13</v>
      </c>
      <c r="T108" s="17" t="n">
        <f aca="false">AVERAGE(O108:Q108)</f>
        <v>4.33333333333333</v>
      </c>
      <c r="U108" s="18" t="str">
        <f aca="false">IF(T108&gt;=$H$3,"Eligible","Not Eligible")</f>
        <v>Not Eligible</v>
      </c>
      <c r="V108" s="19" t="n">
        <f aca="false">IF(T108&lt;$H$3,0,IFERROR(T108/SUMIF($T$5:$T$999,"&gt;="&amp;$H$3),0))</f>
        <v>0</v>
      </c>
      <c r="W108" s="15" t="str">
        <f aca="false">IF(T108=0,"Win-Back","Active")</f>
        <v>Active</v>
      </c>
      <c r="X108" s="20" t="n">
        <f aca="false">IF(T108=0,0,IF(T108&gt;=$H$3,ROUND(T108*$D$3/SUMIF($T$5:$T$999,"&gt;="&amp;$H$3),0),ROUNDUP(T108*$D$3/SUMIF($T$5:$T$999,"&gt;="&amp;$H$3),0)))</f>
        <v>5</v>
      </c>
      <c r="Y108" s="21"/>
      <c r="Z108" s="16" t="n">
        <f aca="false">IF(X108=0,"",X108-Y108)</f>
        <v>5</v>
      </c>
      <c r="AA108" s="22" t="n">
        <f aca="false">IFERROR(Y108/X108,"")</f>
        <v>0</v>
      </c>
      <c r="AB108" s="16" t="n">
        <v>0</v>
      </c>
      <c r="AC108" s="21"/>
    </row>
    <row r="109" customFormat="false" ht="15" hidden="false" customHeight="true" outlineLevel="0" collapsed="false">
      <c r="A109" s="15" t="s">
        <v>1130</v>
      </c>
      <c r="B109" s="15" t="s">
        <v>1131</v>
      </c>
      <c r="C109" s="15" t="s">
        <v>1132</v>
      </c>
      <c r="D109" s="15" t="s">
        <v>1133</v>
      </c>
      <c r="E109" s="15" t="s">
        <v>1134</v>
      </c>
      <c r="F109" s="15" t="s">
        <v>1135</v>
      </c>
      <c r="G109" s="15" t="s">
        <v>1136</v>
      </c>
      <c r="H109" s="15" t="s">
        <v>1137</v>
      </c>
      <c r="I109" s="15"/>
      <c r="J109" s="15" t="s">
        <v>1138</v>
      </c>
      <c r="K109" s="15" t="s">
        <v>1139</v>
      </c>
      <c r="L109" s="15" t="s">
        <v>1140</v>
      </c>
      <c r="M109" s="15" t="s">
        <v>1141</v>
      </c>
      <c r="N109" s="15" t="s">
        <v>73</v>
      </c>
      <c r="O109" s="16" t="n">
        <v>3</v>
      </c>
      <c r="P109" s="16" t="n">
        <v>2</v>
      </c>
      <c r="Q109" s="16" t="n">
        <v>8</v>
      </c>
      <c r="R109" s="16" t="n">
        <v>0</v>
      </c>
      <c r="S109" s="16" t="n">
        <v>13</v>
      </c>
      <c r="T109" s="17" t="n">
        <f aca="false">AVERAGE(O109:Q109)</f>
        <v>4.33333333333333</v>
      </c>
      <c r="U109" s="18" t="str">
        <f aca="false">IF(T109&gt;=$H$3,"Eligible","Not Eligible")</f>
        <v>Not Eligible</v>
      </c>
      <c r="V109" s="19" t="n">
        <f aca="false">IF(T109&lt;$H$3,0,IFERROR(T109/SUMIF($T$5:$T$999,"&gt;="&amp;$H$3),0))</f>
        <v>0</v>
      </c>
      <c r="W109" s="15" t="str">
        <f aca="false">IF(T109=0,"Win-Back","Active")</f>
        <v>Active</v>
      </c>
      <c r="X109" s="20" t="n">
        <f aca="false">IF(T109=0,0,IF(T109&gt;=$H$3,ROUND(T109*$D$3/SUMIF($T$5:$T$999,"&gt;="&amp;$H$3),0),ROUNDUP(T109*$D$3/SUMIF($T$5:$T$999,"&gt;="&amp;$H$3),0)))</f>
        <v>5</v>
      </c>
      <c r="Y109" s="21" t="n">
        <v>7</v>
      </c>
      <c r="Z109" s="16" t="n">
        <f aca="false">IF(X109=0,"",X109-Y109)</f>
        <v>-2</v>
      </c>
      <c r="AA109" s="22" t="n">
        <f aca="false">IFERROR(Y109/X109,"")</f>
        <v>1.4</v>
      </c>
      <c r="AB109" s="16" t="n">
        <v>0</v>
      </c>
      <c r="AC109" s="21"/>
    </row>
    <row r="110" customFormat="false" ht="15" hidden="false" customHeight="true" outlineLevel="0" collapsed="false">
      <c r="A110" s="15" t="s">
        <v>1142</v>
      </c>
      <c r="B110" s="15" t="s">
        <v>1143</v>
      </c>
      <c r="C110" s="15" t="s">
        <v>1144</v>
      </c>
      <c r="D110" s="15" t="s">
        <v>741</v>
      </c>
      <c r="E110" s="15" t="s">
        <v>1145</v>
      </c>
      <c r="F110" s="15" t="s">
        <v>743</v>
      </c>
      <c r="G110" s="15" t="s">
        <v>744</v>
      </c>
      <c r="H110" s="15" t="s">
        <v>1146</v>
      </c>
      <c r="I110" s="15" t="s">
        <v>1147</v>
      </c>
      <c r="J110" s="15" t="s">
        <v>828</v>
      </c>
      <c r="K110" s="15" t="s">
        <v>368</v>
      </c>
      <c r="L110" s="15" t="s">
        <v>1148</v>
      </c>
      <c r="M110" s="15" t="s">
        <v>748</v>
      </c>
      <c r="N110" s="15" t="s">
        <v>73</v>
      </c>
      <c r="O110" s="16" t="n">
        <v>5</v>
      </c>
      <c r="P110" s="16" t="n">
        <v>4</v>
      </c>
      <c r="Q110" s="16" t="n">
        <v>4</v>
      </c>
      <c r="R110" s="16" t="n">
        <v>0</v>
      </c>
      <c r="S110" s="16" t="n">
        <v>13</v>
      </c>
      <c r="T110" s="17" t="n">
        <f aca="false">AVERAGE(O110:Q110)</f>
        <v>4.33333333333333</v>
      </c>
      <c r="U110" s="18" t="str">
        <f aca="false">IF(T110&gt;=$H$3,"Eligible","Not Eligible")</f>
        <v>Not Eligible</v>
      </c>
      <c r="V110" s="19" t="n">
        <f aca="false">IF(T110&lt;$H$3,0,IFERROR(T110/SUMIF($T$5:$T$999,"&gt;="&amp;$H$3),0))</f>
        <v>0</v>
      </c>
      <c r="W110" s="15" t="str">
        <f aca="false">IF(T110=0,"Win-Back","Active")</f>
        <v>Active</v>
      </c>
      <c r="X110" s="20" t="n">
        <f aca="false">IF(T110=0,0,IF(T110&gt;=$H$3,ROUND(T110*$D$3/SUMIF($T$5:$T$999,"&gt;="&amp;$H$3),0),ROUNDUP(T110*$D$3/SUMIF($T$5:$T$999,"&gt;="&amp;$H$3),0)))</f>
        <v>5</v>
      </c>
      <c r="Y110" s="21" t="n">
        <v>4</v>
      </c>
      <c r="Z110" s="16" t="n">
        <f aca="false">IF(X110=0,"",X110-Y110)</f>
        <v>1</v>
      </c>
      <c r="AA110" s="22" t="n">
        <f aca="false">IFERROR(Y110/X110,"")</f>
        <v>0.8</v>
      </c>
      <c r="AB110" s="16" t="n">
        <v>0</v>
      </c>
      <c r="AC110" s="21"/>
    </row>
    <row r="111" customFormat="false" ht="15" hidden="false" customHeight="true" outlineLevel="0" collapsed="false">
      <c r="A111" s="15" t="s">
        <v>1149</v>
      </c>
      <c r="B111" s="15" t="s">
        <v>1150</v>
      </c>
      <c r="C111" s="15" t="s">
        <v>1151</v>
      </c>
      <c r="D111" s="15" t="s">
        <v>1152</v>
      </c>
      <c r="E111" s="15" t="s">
        <v>1153</v>
      </c>
      <c r="F111" s="15" t="s">
        <v>1154</v>
      </c>
      <c r="G111" s="15" t="s">
        <v>1155</v>
      </c>
      <c r="H111" s="15" t="s">
        <v>1156</v>
      </c>
      <c r="I111" s="15"/>
      <c r="J111" s="15" t="s">
        <v>1157</v>
      </c>
      <c r="K111" s="15" t="s">
        <v>70</v>
      </c>
      <c r="L111" s="15" t="s">
        <v>1158</v>
      </c>
      <c r="M111" s="15" t="s">
        <v>1159</v>
      </c>
      <c r="N111" s="15" t="s">
        <v>73</v>
      </c>
      <c r="O111" s="16" t="n">
        <v>7</v>
      </c>
      <c r="P111" s="16" t="n">
        <v>3</v>
      </c>
      <c r="Q111" s="16" t="n">
        <v>2</v>
      </c>
      <c r="R111" s="16" t="n">
        <v>4</v>
      </c>
      <c r="S111" s="16" t="n">
        <v>16</v>
      </c>
      <c r="T111" s="17" t="n">
        <f aca="false">AVERAGE(O111:Q111)</f>
        <v>4</v>
      </c>
      <c r="U111" s="18" t="str">
        <f aca="false">IF(T111&gt;=$H$3,"Eligible","Not Eligible")</f>
        <v>Not Eligible</v>
      </c>
      <c r="V111" s="19" t="n">
        <f aca="false">IF(T111&lt;$H$3,0,IFERROR(T111/SUMIF($T$5:$T$999,"&gt;="&amp;$H$3),0))</f>
        <v>0</v>
      </c>
      <c r="W111" s="15" t="str">
        <f aca="false">IF(T111=0,"Win-Back","Active")</f>
        <v>Active</v>
      </c>
      <c r="X111" s="20" t="n">
        <f aca="false">IF(T111=0,0,IF(T111&gt;=$H$3,ROUND(T111*$D$3/SUMIF($T$5:$T$999,"&gt;="&amp;$H$3),0),ROUNDUP(T111*$D$3/SUMIF($T$5:$T$999,"&gt;="&amp;$H$3),0)))</f>
        <v>5</v>
      </c>
      <c r="Y111" s="21" t="n">
        <v>1</v>
      </c>
      <c r="Z111" s="16" t="n">
        <f aca="false">IF(X111=0,"",X111-Y111)</f>
        <v>4</v>
      </c>
      <c r="AA111" s="22" t="n">
        <f aca="false">IFERROR(Y111/X111,"")</f>
        <v>0.2</v>
      </c>
      <c r="AB111" s="16" t="n">
        <v>0</v>
      </c>
      <c r="AC111" s="21"/>
    </row>
    <row r="112" customFormat="false" ht="15" hidden="false" customHeight="true" outlineLevel="0" collapsed="false">
      <c r="A112" s="15" t="s">
        <v>1160</v>
      </c>
      <c r="B112" s="15" t="s">
        <v>1161</v>
      </c>
      <c r="C112" s="15" t="s">
        <v>1162</v>
      </c>
      <c r="D112" s="15" t="s">
        <v>1163</v>
      </c>
      <c r="E112" s="15" t="s">
        <v>1164</v>
      </c>
      <c r="F112" s="15" t="s">
        <v>1165</v>
      </c>
      <c r="G112" s="15" t="s">
        <v>1166</v>
      </c>
      <c r="H112" s="15" t="s">
        <v>1167</v>
      </c>
      <c r="I112" s="15" t="s">
        <v>1168</v>
      </c>
      <c r="J112" s="15" t="s">
        <v>69</v>
      </c>
      <c r="K112" s="15" t="s">
        <v>70</v>
      </c>
      <c r="L112" s="15" t="s">
        <v>118</v>
      </c>
      <c r="M112" s="15" t="s">
        <v>1169</v>
      </c>
      <c r="N112" s="15" t="s">
        <v>73</v>
      </c>
      <c r="O112" s="16" t="n">
        <v>2</v>
      </c>
      <c r="P112" s="16" t="n">
        <v>5</v>
      </c>
      <c r="Q112" s="16" t="n">
        <v>5</v>
      </c>
      <c r="R112" s="16" t="n">
        <v>2</v>
      </c>
      <c r="S112" s="16" t="n">
        <v>14</v>
      </c>
      <c r="T112" s="17" t="n">
        <f aca="false">AVERAGE(O112:Q112)</f>
        <v>4</v>
      </c>
      <c r="U112" s="18" t="str">
        <f aca="false">IF(T112&gt;=$H$3,"Eligible","Not Eligible")</f>
        <v>Not Eligible</v>
      </c>
      <c r="V112" s="19" t="n">
        <f aca="false">IF(T112&lt;$H$3,0,IFERROR(T112/SUMIF($T$5:$T$999,"&gt;="&amp;$H$3),0))</f>
        <v>0</v>
      </c>
      <c r="W112" s="15" t="str">
        <f aca="false">IF(T112=0,"Win-Back","Active")</f>
        <v>Active</v>
      </c>
      <c r="X112" s="20" t="n">
        <f aca="false">IF(T112=0,0,IF(T112&gt;=$H$3,ROUND(T112*$D$3/SUMIF($T$5:$T$999,"&gt;="&amp;$H$3),0),ROUNDUP(T112*$D$3/SUMIF($T$5:$T$999,"&gt;="&amp;$H$3),0)))</f>
        <v>5</v>
      </c>
      <c r="Y112" s="21" t="n">
        <v>4</v>
      </c>
      <c r="Z112" s="16" t="n">
        <f aca="false">IF(X112=0,"",X112-Y112)</f>
        <v>1</v>
      </c>
      <c r="AA112" s="22" t="n">
        <f aca="false">IFERROR(Y112/X112,"")</f>
        <v>0.8</v>
      </c>
      <c r="AB112" s="16" t="n">
        <v>0</v>
      </c>
      <c r="AC112" s="21"/>
    </row>
    <row r="113" customFormat="false" ht="15" hidden="false" customHeight="true" outlineLevel="0" collapsed="false">
      <c r="A113" s="15" t="s">
        <v>1170</v>
      </c>
      <c r="B113" s="15" t="s">
        <v>1171</v>
      </c>
      <c r="C113" s="15" t="s">
        <v>1172</v>
      </c>
      <c r="D113" s="15" t="s">
        <v>1173</v>
      </c>
      <c r="E113" s="15" t="s">
        <v>1174</v>
      </c>
      <c r="F113" s="15"/>
      <c r="G113" s="15" t="s">
        <v>1175</v>
      </c>
      <c r="H113" s="15" t="s">
        <v>1176</v>
      </c>
      <c r="I113" s="15"/>
      <c r="J113" s="15" t="s">
        <v>1177</v>
      </c>
      <c r="K113" s="15" t="s">
        <v>47</v>
      </c>
      <c r="L113" s="15" t="s">
        <v>1178</v>
      </c>
      <c r="M113" s="15" t="s">
        <v>1179</v>
      </c>
      <c r="N113" s="15" t="s">
        <v>73</v>
      </c>
      <c r="O113" s="16" t="n">
        <v>4</v>
      </c>
      <c r="P113" s="16" t="n">
        <v>5</v>
      </c>
      <c r="Q113" s="16" t="n">
        <v>3</v>
      </c>
      <c r="R113" s="16" t="n">
        <v>1</v>
      </c>
      <c r="S113" s="16" t="n">
        <v>13</v>
      </c>
      <c r="T113" s="17" t="n">
        <f aca="false">AVERAGE(O113:Q113)</f>
        <v>4</v>
      </c>
      <c r="U113" s="18" t="str">
        <f aca="false">IF(T113&gt;=$H$3,"Eligible","Not Eligible")</f>
        <v>Not Eligible</v>
      </c>
      <c r="V113" s="19" t="n">
        <f aca="false">IF(T113&lt;$H$3,0,IFERROR(T113/SUMIF($T$5:$T$999,"&gt;="&amp;$H$3),0))</f>
        <v>0</v>
      </c>
      <c r="W113" s="15" t="str">
        <f aca="false">IF(T113=0,"Win-Back","Active")</f>
        <v>Active</v>
      </c>
      <c r="X113" s="20" t="n">
        <f aca="false">IF(T113=0,0,IF(T113&gt;=$H$3,ROUND(T113*$D$3/SUMIF($T$5:$T$999,"&gt;="&amp;$H$3),0),ROUNDUP(T113*$D$3/SUMIF($T$5:$T$999,"&gt;="&amp;$H$3),0)))</f>
        <v>5</v>
      </c>
      <c r="Y113" s="21" t="n">
        <v>10</v>
      </c>
      <c r="Z113" s="16" t="n">
        <f aca="false">IF(X113=0,"",X113-Y113)</f>
        <v>-5</v>
      </c>
      <c r="AA113" s="22" t="n">
        <f aca="false">IFERROR(Y113/X113,"")</f>
        <v>2</v>
      </c>
      <c r="AB113" s="16" t="n">
        <v>0</v>
      </c>
      <c r="AC113" s="21"/>
    </row>
    <row r="114" customFormat="false" ht="15" hidden="false" customHeight="true" outlineLevel="0" collapsed="false">
      <c r="A114" s="15" t="s">
        <v>1180</v>
      </c>
      <c r="B114" s="15" t="s">
        <v>1181</v>
      </c>
      <c r="C114" s="15" t="s">
        <v>1182</v>
      </c>
      <c r="D114" s="15" t="s">
        <v>1183</v>
      </c>
      <c r="E114" s="15" t="s">
        <v>1184</v>
      </c>
      <c r="F114" s="15" t="s">
        <v>1185</v>
      </c>
      <c r="G114" s="15" t="s">
        <v>1186</v>
      </c>
      <c r="H114" s="15" t="s">
        <v>1187</v>
      </c>
      <c r="I114" s="15"/>
      <c r="J114" s="15" t="s">
        <v>1188</v>
      </c>
      <c r="K114" s="15" t="s">
        <v>615</v>
      </c>
      <c r="L114" s="15" t="s">
        <v>1189</v>
      </c>
      <c r="M114" s="15" t="s">
        <v>1190</v>
      </c>
      <c r="N114" s="15" t="s">
        <v>73</v>
      </c>
      <c r="O114" s="16" t="n">
        <v>3</v>
      </c>
      <c r="P114" s="16" t="n">
        <v>6</v>
      </c>
      <c r="Q114" s="16" t="n">
        <v>3</v>
      </c>
      <c r="R114" s="16" t="n">
        <v>1</v>
      </c>
      <c r="S114" s="16" t="n">
        <v>13</v>
      </c>
      <c r="T114" s="17" t="n">
        <f aca="false">AVERAGE(O114:Q114)</f>
        <v>4</v>
      </c>
      <c r="U114" s="18" t="str">
        <f aca="false">IF(T114&gt;=$H$3,"Eligible","Not Eligible")</f>
        <v>Not Eligible</v>
      </c>
      <c r="V114" s="19" t="n">
        <f aca="false">IF(T114&lt;$H$3,0,IFERROR(T114/SUMIF($T$5:$T$999,"&gt;="&amp;$H$3),0))</f>
        <v>0</v>
      </c>
      <c r="W114" s="15" t="str">
        <f aca="false">IF(T114=0,"Win-Back","Active")</f>
        <v>Active</v>
      </c>
      <c r="X114" s="20" t="n">
        <f aca="false">IF(T114=0,0,IF(T114&gt;=$H$3,ROUND(T114*$D$3/SUMIF($T$5:$T$999,"&gt;="&amp;$H$3),0),ROUNDUP(T114*$D$3/SUMIF($T$5:$T$999,"&gt;="&amp;$H$3),0)))</f>
        <v>5</v>
      </c>
      <c r="Y114" s="21" t="n">
        <v>4</v>
      </c>
      <c r="Z114" s="16" t="n">
        <f aca="false">IF(X114=0,"",X114-Y114)</f>
        <v>1</v>
      </c>
      <c r="AA114" s="22" t="n">
        <f aca="false">IFERROR(Y114/X114,"")</f>
        <v>0.8</v>
      </c>
      <c r="AB114" s="16" t="n">
        <v>0</v>
      </c>
      <c r="AC114" s="21"/>
    </row>
    <row r="115" customFormat="false" ht="15" hidden="false" customHeight="true" outlineLevel="0" collapsed="false">
      <c r="A115" s="15" t="s">
        <v>1191</v>
      </c>
      <c r="B115" s="15" t="s">
        <v>1192</v>
      </c>
      <c r="C115" s="15" t="s">
        <v>1193</v>
      </c>
      <c r="D115" s="15" t="s">
        <v>1194</v>
      </c>
      <c r="E115" s="15" t="s">
        <v>1195</v>
      </c>
      <c r="F115" s="15" t="s">
        <v>1196</v>
      </c>
      <c r="G115" s="15" t="s">
        <v>1197</v>
      </c>
      <c r="H115" s="15" t="s">
        <v>1198</v>
      </c>
      <c r="I115" s="15"/>
      <c r="J115" s="15" t="s">
        <v>1199</v>
      </c>
      <c r="K115" s="15" t="s">
        <v>1200</v>
      </c>
      <c r="L115" s="15" t="s">
        <v>1201</v>
      </c>
      <c r="M115" s="15" t="s">
        <v>1202</v>
      </c>
      <c r="N115" s="15" t="s">
        <v>73</v>
      </c>
      <c r="O115" s="16" t="n">
        <v>8</v>
      </c>
      <c r="P115" s="16" t="n">
        <v>4</v>
      </c>
      <c r="Q115" s="16" t="n">
        <v>0</v>
      </c>
      <c r="R115" s="16" t="n">
        <v>1</v>
      </c>
      <c r="S115" s="16" t="n">
        <v>13</v>
      </c>
      <c r="T115" s="17" t="n">
        <f aca="false">AVERAGE(O115:Q115)</f>
        <v>4</v>
      </c>
      <c r="U115" s="18" t="str">
        <f aca="false">IF(T115&gt;=$H$3,"Eligible","Not Eligible")</f>
        <v>Not Eligible</v>
      </c>
      <c r="V115" s="19" t="n">
        <f aca="false">IF(T115&lt;$H$3,0,IFERROR(T115/SUMIF($T$5:$T$999,"&gt;="&amp;$H$3),0))</f>
        <v>0</v>
      </c>
      <c r="W115" s="15" t="str">
        <f aca="false">IF(T115=0,"Win-Back","Active")</f>
        <v>Active</v>
      </c>
      <c r="X115" s="20" t="n">
        <f aca="false">IF(T115=0,0,IF(T115&gt;=$H$3,ROUND(T115*$D$3/SUMIF($T$5:$T$999,"&gt;="&amp;$H$3),0),ROUNDUP(T115*$D$3/SUMIF($T$5:$T$999,"&gt;="&amp;$H$3),0)))</f>
        <v>5</v>
      </c>
      <c r="Y115" s="21" t="n">
        <v>2</v>
      </c>
      <c r="Z115" s="16" t="n">
        <f aca="false">IF(X115=0,"",X115-Y115)</f>
        <v>3</v>
      </c>
      <c r="AA115" s="22" t="n">
        <f aca="false">IFERROR(Y115/X115,"")</f>
        <v>0.4</v>
      </c>
      <c r="AB115" s="16" t="n">
        <v>0</v>
      </c>
      <c r="AC115" s="21"/>
    </row>
    <row r="116" customFormat="false" ht="15" hidden="false" customHeight="true" outlineLevel="0" collapsed="false">
      <c r="A116" s="15" t="s">
        <v>1203</v>
      </c>
      <c r="B116" s="15" t="s">
        <v>1204</v>
      </c>
      <c r="C116" s="15" t="s">
        <v>1205</v>
      </c>
      <c r="D116" s="15" t="s">
        <v>1206</v>
      </c>
      <c r="E116" s="15" t="s">
        <v>1207</v>
      </c>
      <c r="F116" s="15" t="s">
        <v>1208</v>
      </c>
      <c r="G116" s="15" t="s">
        <v>1209</v>
      </c>
      <c r="H116" s="15" t="s">
        <v>1210</v>
      </c>
      <c r="I116" s="15"/>
      <c r="J116" s="15" t="s">
        <v>863</v>
      </c>
      <c r="K116" s="15" t="s">
        <v>864</v>
      </c>
      <c r="L116" s="15" t="s">
        <v>1211</v>
      </c>
      <c r="M116" s="15" t="s">
        <v>1212</v>
      </c>
      <c r="N116" s="15" t="s">
        <v>73</v>
      </c>
      <c r="O116" s="16" t="n">
        <v>2</v>
      </c>
      <c r="P116" s="16" t="n">
        <v>2</v>
      </c>
      <c r="Q116" s="16" t="n">
        <v>8</v>
      </c>
      <c r="R116" s="16" t="n">
        <v>1</v>
      </c>
      <c r="S116" s="16" t="n">
        <v>13</v>
      </c>
      <c r="T116" s="17" t="n">
        <f aca="false">AVERAGE(O116:Q116)</f>
        <v>4</v>
      </c>
      <c r="U116" s="18" t="str">
        <f aca="false">IF(T116&gt;=$H$3,"Eligible","Not Eligible")</f>
        <v>Not Eligible</v>
      </c>
      <c r="V116" s="19" t="n">
        <f aca="false">IF(T116&lt;$H$3,0,IFERROR(T116/SUMIF($T$5:$T$999,"&gt;="&amp;$H$3),0))</f>
        <v>0</v>
      </c>
      <c r="W116" s="15" t="str">
        <f aca="false">IF(T116=0,"Win-Back","Active")</f>
        <v>Active</v>
      </c>
      <c r="X116" s="20" t="n">
        <f aca="false">IF(T116=0,0,IF(T116&gt;=$H$3,ROUND(T116*$D$3/SUMIF($T$5:$T$999,"&gt;="&amp;$H$3),0),ROUNDUP(T116*$D$3/SUMIF($T$5:$T$999,"&gt;="&amp;$H$3),0)))</f>
        <v>5</v>
      </c>
      <c r="Y116" s="21" t="n">
        <v>2</v>
      </c>
      <c r="Z116" s="16" t="n">
        <f aca="false">IF(X116=0,"",X116-Y116)</f>
        <v>3</v>
      </c>
      <c r="AA116" s="22" t="n">
        <f aca="false">IFERROR(Y116/X116,"")</f>
        <v>0.4</v>
      </c>
      <c r="AB116" s="16" t="n">
        <v>0</v>
      </c>
      <c r="AC116" s="21"/>
    </row>
    <row r="117" customFormat="false" ht="15" hidden="false" customHeight="true" outlineLevel="0" collapsed="false">
      <c r="A117" s="15" t="s">
        <v>1213</v>
      </c>
      <c r="B117" s="15" t="s">
        <v>1214</v>
      </c>
      <c r="C117" s="15" t="s">
        <v>1215</v>
      </c>
      <c r="D117" s="15" t="s">
        <v>1216</v>
      </c>
      <c r="E117" s="15" t="s">
        <v>1217</v>
      </c>
      <c r="F117" s="15" t="s">
        <v>1218</v>
      </c>
      <c r="G117" s="15" t="s">
        <v>1219</v>
      </c>
      <c r="H117" s="15" t="s">
        <v>1220</v>
      </c>
      <c r="I117" s="15"/>
      <c r="J117" s="15" t="s">
        <v>1221</v>
      </c>
      <c r="K117" s="15" t="s">
        <v>1222</v>
      </c>
      <c r="L117" s="15" t="s">
        <v>1223</v>
      </c>
      <c r="M117" s="15" t="s">
        <v>1224</v>
      </c>
      <c r="N117" s="15" t="s">
        <v>73</v>
      </c>
      <c r="O117" s="16" t="n">
        <v>2</v>
      </c>
      <c r="P117" s="16" t="n">
        <v>4</v>
      </c>
      <c r="Q117" s="16" t="n">
        <v>6</v>
      </c>
      <c r="R117" s="16" t="n">
        <v>0</v>
      </c>
      <c r="S117" s="16" t="n">
        <v>12</v>
      </c>
      <c r="T117" s="17" t="n">
        <f aca="false">AVERAGE(O117:Q117)</f>
        <v>4</v>
      </c>
      <c r="U117" s="18" t="str">
        <f aca="false">IF(T117&gt;=$H$3,"Eligible","Not Eligible")</f>
        <v>Not Eligible</v>
      </c>
      <c r="V117" s="19" t="n">
        <f aca="false">IF(T117&lt;$H$3,0,IFERROR(T117/SUMIF($T$5:$T$999,"&gt;="&amp;$H$3),0))</f>
        <v>0</v>
      </c>
      <c r="W117" s="15" t="str">
        <f aca="false">IF(T117=0,"Win-Back","Active")</f>
        <v>Active</v>
      </c>
      <c r="X117" s="20" t="n">
        <f aca="false">IF(T117=0,0,IF(T117&gt;=$H$3,ROUND(T117*$D$3/SUMIF($T$5:$T$999,"&gt;="&amp;$H$3),0),ROUNDUP(T117*$D$3/SUMIF($T$5:$T$999,"&gt;="&amp;$H$3),0)))</f>
        <v>5</v>
      </c>
      <c r="Y117" s="21" t="n">
        <v>3</v>
      </c>
      <c r="Z117" s="16" t="n">
        <f aca="false">IF(X117=0,"",X117-Y117)</f>
        <v>2</v>
      </c>
      <c r="AA117" s="22" t="n">
        <f aca="false">IFERROR(Y117/X117,"")</f>
        <v>0.6</v>
      </c>
      <c r="AB117" s="16" t="n">
        <v>0</v>
      </c>
      <c r="AC117" s="21"/>
    </row>
    <row r="118" customFormat="false" ht="15" hidden="false" customHeight="true" outlineLevel="0" collapsed="false">
      <c r="A118" s="15" t="s">
        <v>1225</v>
      </c>
      <c r="B118" s="15" t="s">
        <v>1226</v>
      </c>
      <c r="C118" s="15" t="s">
        <v>1227</v>
      </c>
      <c r="D118" s="15" t="s">
        <v>1228</v>
      </c>
      <c r="E118" s="15" t="s">
        <v>1229</v>
      </c>
      <c r="F118" s="15" t="s">
        <v>1230</v>
      </c>
      <c r="G118" s="15" t="s">
        <v>1231</v>
      </c>
      <c r="H118" s="15" t="s">
        <v>1232</v>
      </c>
      <c r="I118" s="15" t="s">
        <v>1233</v>
      </c>
      <c r="J118" s="15" t="s">
        <v>1234</v>
      </c>
      <c r="K118" s="15" t="s">
        <v>368</v>
      </c>
      <c r="L118" s="15" t="s">
        <v>1235</v>
      </c>
      <c r="M118" s="15" t="s">
        <v>1236</v>
      </c>
      <c r="N118" s="15" t="s">
        <v>73</v>
      </c>
      <c r="O118" s="16" t="n">
        <v>4</v>
      </c>
      <c r="P118" s="16" t="n">
        <v>3</v>
      </c>
      <c r="Q118" s="16" t="n">
        <v>5</v>
      </c>
      <c r="R118" s="16" t="n">
        <v>0</v>
      </c>
      <c r="S118" s="16" t="n">
        <v>12</v>
      </c>
      <c r="T118" s="17" t="n">
        <f aca="false">AVERAGE(O118:Q118)</f>
        <v>4</v>
      </c>
      <c r="U118" s="18" t="str">
        <f aca="false">IF(T118&gt;=$H$3,"Eligible","Not Eligible")</f>
        <v>Not Eligible</v>
      </c>
      <c r="V118" s="19" t="n">
        <f aca="false">IF(T118&lt;$H$3,0,IFERROR(T118/SUMIF($T$5:$T$999,"&gt;="&amp;$H$3),0))</f>
        <v>0</v>
      </c>
      <c r="W118" s="15" t="str">
        <f aca="false">IF(T118=0,"Win-Back","Active")</f>
        <v>Active</v>
      </c>
      <c r="X118" s="20" t="n">
        <f aca="false">IF(T118=0,0,IF(T118&gt;=$H$3,ROUND(T118*$D$3/SUMIF($T$5:$T$999,"&gt;="&amp;$H$3),0),ROUNDUP(T118*$D$3/SUMIF($T$5:$T$999,"&gt;="&amp;$H$3),0)))</f>
        <v>5</v>
      </c>
      <c r="Y118" s="21" t="n">
        <v>2</v>
      </c>
      <c r="Z118" s="16" t="n">
        <f aca="false">IF(X118=0,"",X118-Y118)</f>
        <v>3</v>
      </c>
      <c r="AA118" s="22" t="n">
        <f aca="false">IFERROR(Y118/X118,"")</f>
        <v>0.4</v>
      </c>
      <c r="AB118" s="16" t="n">
        <v>0</v>
      </c>
      <c r="AC118" s="21"/>
    </row>
    <row r="119" customFormat="false" ht="15" hidden="false" customHeight="true" outlineLevel="0" collapsed="false">
      <c r="A119" s="15" t="s">
        <v>1237</v>
      </c>
      <c r="B119" s="15" t="s">
        <v>1238</v>
      </c>
      <c r="C119" s="15" t="s">
        <v>1239</v>
      </c>
      <c r="D119" s="15" t="s">
        <v>1240</v>
      </c>
      <c r="E119" s="15" t="s">
        <v>1241</v>
      </c>
      <c r="F119" s="15" t="s">
        <v>1242</v>
      </c>
      <c r="G119" s="15" t="s">
        <v>1243</v>
      </c>
      <c r="H119" s="15" t="s">
        <v>1244</v>
      </c>
      <c r="I119" s="15"/>
      <c r="J119" s="15" t="s">
        <v>82</v>
      </c>
      <c r="K119" s="15" t="s">
        <v>47</v>
      </c>
      <c r="L119" s="15" t="s">
        <v>93</v>
      </c>
      <c r="M119" s="15" t="s">
        <v>1245</v>
      </c>
      <c r="N119" s="15" t="s">
        <v>50</v>
      </c>
      <c r="O119" s="16" t="n">
        <v>2</v>
      </c>
      <c r="P119" s="16" t="n">
        <v>3</v>
      </c>
      <c r="Q119" s="16" t="n">
        <v>7</v>
      </c>
      <c r="R119" s="16" t="n">
        <v>0</v>
      </c>
      <c r="S119" s="16" t="n">
        <v>12</v>
      </c>
      <c r="T119" s="17" t="n">
        <f aca="false">AVERAGE(O119:Q119)</f>
        <v>4</v>
      </c>
      <c r="U119" s="18" t="str">
        <f aca="false">IF(T119&gt;=$H$3,"Eligible","Not Eligible")</f>
        <v>Not Eligible</v>
      </c>
      <c r="V119" s="19" t="n">
        <f aca="false">IF(T119&lt;$H$3,0,IFERROR(T119/SUMIF($T$5:$T$999,"&gt;="&amp;$H$3),0))</f>
        <v>0</v>
      </c>
      <c r="W119" s="15" t="str">
        <f aca="false">IF(T119=0,"Win-Back","Active")</f>
        <v>Active</v>
      </c>
      <c r="X119" s="20" t="n">
        <f aca="false">IF(T119=0,0,IF(T119&gt;=$H$3,ROUND(T119*$D$3/SUMIF($T$5:$T$999,"&gt;="&amp;$H$3),0),ROUNDUP(T119*$D$3/SUMIF($T$5:$T$999,"&gt;="&amp;$H$3),0)))</f>
        <v>5</v>
      </c>
      <c r="Y119" s="21" t="n">
        <v>1</v>
      </c>
      <c r="Z119" s="16" t="n">
        <f aca="false">IF(X119=0,"",X119-Y119)</f>
        <v>4</v>
      </c>
      <c r="AA119" s="22" t="n">
        <f aca="false">IFERROR(Y119/X119,"")</f>
        <v>0.2</v>
      </c>
      <c r="AB119" s="16" t="n">
        <v>0</v>
      </c>
      <c r="AC119" s="21"/>
    </row>
    <row r="120" customFormat="false" ht="15" hidden="false" customHeight="true" outlineLevel="0" collapsed="false">
      <c r="A120" s="15" t="s">
        <v>1246</v>
      </c>
      <c r="B120" s="15" t="s">
        <v>1247</v>
      </c>
      <c r="C120" s="15" t="s">
        <v>1248</v>
      </c>
      <c r="D120" s="15" t="s">
        <v>1249</v>
      </c>
      <c r="E120" s="15" t="s">
        <v>1250</v>
      </c>
      <c r="F120" s="15" t="s">
        <v>1251</v>
      </c>
      <c r="G120" s="15" t="s">
        <v>1252</v>
      </c>
      <c r="H120" s="15" t="s">
        <v>1253</v>
      </c>
      <c r="I120" s="15" t="s">
        <v>808</v>
      </c>
      <c r="J120" s="15" t="s">
        <v>1254</v>
      </c>
      <c r="K120" s="15" t="s">
        <v>1255</v>
      </c>
      <c r="L120" s="15" t="s">
        <v>1256</v>
      </c>
      <c r="M120" s="15" t="s">
        <v>1257</v>
      </c>
      <c r="N120" s="15" t="s">
        <v>73</v>
      </c>
      <c r="O120" s="16" t="n">
        <v>0</v>
      </c>
      <c r="P120" s="16" t="n">
        <v>4</v>
      </c>
      <c r="Q120" s="16" t="n">
        <v>7</v>
      </c>
      <c r="R120" s="16" t="n">
        <v>4</v>
      </c>
      <c r="S120" s="16" t="n">
        <v>15</v>
      </c>
      <c r="T120" s="17" t="n">
        <f aca="false">AVERAGE(O120:Q120)</f>
        <v>3.66666666666667</v>
      </c>
      <c r="U120" s="18" t="str">
        <f aca="false">IF(T120&gt;=$H$3,"Eligible","Not Eligible")</f>
        <v>Not Eligible</v>
      </c>
      <c r="V120" s="19" t="n">
        <f aca="false">IF(T120&lt;$H$3,0,IFERROR(T120/SUMIF($T$5:$T$999,"&gt;="&amp;$H$3),0))</f>
        <v>0</v>
      </c>
      <c r="W120" s="15" t="str">
        <f aca="false">IF(T120=0,"Win-Back","Active")</f>
        <v>Active</v>
      </c>
      <c r="X120" s="20" t="n">
        <f aca="false">IF(T120=0,0,IF(T120&gt;=$H$3,ROUND(T120*$D$3/SUMIF($T$5:$T$999,"&gt;="&amp;$H$3),0),ROUNDUP(T120*$D$3/SUMIF($T$5:$T$999,"&gt;="&amp;$H$3),0)))</f>
        <v>5</v>
      </c>
      <c r="Y120" s="21"/>
      <c r="Z120" s="16" t="n">
        <f aca="false">IF(X120=0,"",X120-Y120)</f>
        <v>5</v>
      </c>
      <c r="AA120" s="22" t="n">
        <f aca="false">IFERROR(Y120/X120,"")</f>
        <v>0</v>
      </c>
      <c r="AB120" s="16" t="n">
        <v>0</v>
      </c>
      <c r="AC120" s="21"/>
    </row>
    <row r="121" customFormat="false" ht="15" hidden="false" customHeight="true" outlineLevel="0" collapsed="false">
      <c r="A121" s="15" t="s">
        <v>1258</v>
      </c>
      <c r="B121" s="15" t="s">
        <v>1259</v>
      </c>
      <c r="C121" s="15" t="s">
        <v>1260</v>
      </c>
      <c r="D121" s="15" t="s">
        <v>1261</v>
      </c>
      <c r="E121" s="15" t="s">
        <v>1261</v>
      </c>
      <c r="F121" s="15" t="s">
        <v>1262</v>
      </c>
      <c r="G121" s="15" t="s">
        <v>1263</v>
      </c>
      <c r="H121" s="15" t="s">
        <v>1264</v>
      </c>
      <c r="I121" s="15" t="s">
        <v>1265</v>
      </c>
      <c r="J121" s="15" t="s">
        <v>1266</v>
      </c>
      <c r="K121" s="15" t="s">
        <v>70</v>
      </c>
      <c r="L121" s="15" t="s">
        <v>1267</v>
      </c>
      <c r="M121" s="15" t="s">
        <v>1268</v>
      </c>
      <c r="N121" s="15" t="s">
        <v>73</v>
      </c>
      <c r="O121" s="16" t="n">
        <v>0</v>
      </c>
      <c r="P121" s="16" t="n">
        <v>2</v>
      </c>
      <c r="Q121" s="16" t="n">
        <v>9</v>
      </c>
      <c r="R121" s="16" t="n">
        <v>1</v>
      </c>
      <c r="S121" s="16" t="n">
        <v>12</v>
      </c>
      <c r="T121" s="17" t="n">
        <f aca="false">AVERAGE(O121:Q121)</f>
        <v>3.66666666666667</v>
      </c>
      <c r="U121" s="18" t="str">
        <f aca="false">IF(T121&gt;=$H$3,"Eligible","Not Eligible")</f>
        <v>Not Eligible</v>
      </c>
      <c r="V121" s="19" t="n">
        <f aca="false">IF(T121&lt;$H$3,0,IFERROR(T121/SUMIF($T$5:$T$999,"&gt;="&amp;$H$3),0))</f>
        <v>0</v>
      </c>
      <c r="W121" s="15" t="str">
        <f aca="false">IF(T121=0,"Win-Back","Active")</f>
        <v>Active</v>
      </c>
      <c r="X121" s="20" t="n">
        <f aca="false">IF(T121=0,0,IF(T121&gt;=$H$3,ROUND(T121*$D$3/SUMIF($T$5:$T$999,"&gt;="&amp;$H$3),0),ROUNDUP(T121*$D$3/SUMIF($T$5:$T$999,"&gt;="&amp;$H$3),0)))</f>
        <v>5</v>
      </c>
      <c r="Y121" s="21"/>
      <c r="Z121" s="16" t="n">
        <f aca="false">IF(X121=0,"",X121-Y121)</f>
        <v>5</v>
      </c>
      <c r="AA121" s="22" t="n">
        <f aca="false">IFERROR(Y121/X121,"")</f>
        <v>0</v>
      </c>
      <c r="AB121" s="16" t="n">
        <v>0</v>
      </c>
      <c r="AC121" s="21" t="n">
        <v>10</v>
      </c>
    </row>
    <row r="122" customFormat="false" ht="15" hidden="false" customHeight="true" outlineLevel="0" collapsed="false">
      <c r="A122" s="15" t="s">
        <v>1269</v>
      </c>
      <c r="B122" s="15" t="s">
        <v>1270</v>
      </c>
      <c r="C122" s="15" t="s">
        <v>1271</v>
      </c>
      <c r="D122" s="15" t="s">
        <v>1272</v>
      </c>
      <c r="E122" s="15" t="s">
        <v>1273</v>
      </c>
      <c r="F122" s="15" t="s">
        <v>1274</v>
      </c>
      <c r="G122" s="15" t="s">
        <v>1275</v>
      </c>
      <c r="H122" s="15" t="s">
        <v>1276</v>
      </c>
      <c r="I122" s="15"/>
      <c r="J122" s="15" t="s">
        <v>1277</v>
      </c>
      <c r="K122" s="15" t="s">
        <v>47</v>
      </c>
      <c r="L122" s="15" t="s">
        <v>1278</v>
      </c>
      <c r="M122" s="15" t="s">
        <v>1279</v>
      </c>
      <c r="N122" s="15" t="s">
        <v>73</v>
      </c>
      <c r="O122" s="16" t="n">
        <v>4</v>
      </c>
      <c r="P122" s="16" t="n">
        <v>4</v>
      </c>
      <c r="Q122" s="16" t="n">
        <v>3</v>
      </c>
      <c r="R122" s="16" t="n">
        <v>0</v>
      </c>
      <c r="S122" s="16" t="n">
        <v>11</v>
      </c>
      <c r="T122" s="17" t="n">
        <f aca="false">AVERAGE(O122:Q122)</f>
        <v>3.66666666666667</v>
      </c>
      <c r="U122" s="18" t="str">
        <f aca="false">IF(T122&gt;=$H$3,"Eligible","Not Eligible")</f>
        <v>Not Eligible</v>
      </c>
      <c r="V122" s="19" t="n">
        <f aca="false">IF(T122&lt;$H$3,0,IFERROR(T122/SUMIF($T$5:$T$999,"&gt;="&amp;$H$3),0))</f>
        <v>0</v>
      </c>
      <c r="W122" s="15" t="str">
        <f aca="false">IF(T122=0,"Win-Back","Active")</f>
        <v>Active</v>
      </c>
      <c r="X122" s="20" t="n">
        <f aca="false">IF(T122=0,0,IF(T122&gt;=$H$3,ROUND(T122*$D$3/SUMIF($T$5:$T$999,"&gt;="&amp;$H$3),0),ROUNDUP(T122*$D$3/SUMIF($T$5:$T$999,"&gt;="&amp;$H$3),0)))</f>
        <v>5</v>
      </c>
      <c r="Y122" s="21" t="n">
        <v>5</v>
      </c>
      <c r="Z122" s="16" t="n">
        <f aca="false">IF(X122=0,"",X122-Y122)</f>
        <v>0</v>
      </c>
      <c r="AA122" s="22" t="n">
        <f aca="false">IFERROR(Y122/X122,"")</f>
        <v>1</v>
      </c>
      <c r="AB122" s="16" t="n">
        <v>0</v>
      </c>
      <c r="AC122" s="21"/>
    </row>
    <row r="123" customFormat="false" ht="15" hidden="false" customHeight="true" outlineLevel="0" collapsed="false">
      <c r="A123" s="15" t="s">
        <v>1280</v>
      </c>
      <c r="B123" s="15" t="s">
        <v>1281</v>
      </c>
      <c r="C123" s="15" t="s">
        <v>1282</v>
      </c>
      <c r="D123" s="15" t="s">
        <v>1283</v>
      </c>
      <c r="E123" s="15" t="s">
        <v>1284</v>
      </c>
      <c r="F123" s="15" t="s">
        <v>1285</v>
      </c>
      <c r="G123" s="15" t="s">
        <v>1286</v>
      </c>
      <c r="H123" s="15" t="s">
        <v>1287</v>
      </c>
      <c r="I123" s="15"/>
      <c r="J123" s="15" t="s">
        <v>1288</v>
      </c>
      <c r="K123" s="15" t="s">
        <v>402</v>
      </c>
      <c r="L123" s="15" t="s">
        <v>1289</v>
      </c>
      <c r="M123" s="15" t="s">
        <v>1290</v>
      </c>
      <c r="N123" s="15" t="s">
        <v>73</v>
      </c>
      <c r="O123" s="16" t="n">
        <v>1</v>
      </c>
      <c r="P123" s="16" t="n">
        <v>5</v>
      </c>
      <c r="Q123" s="16" t="n">
        <v>5</v>
      </c>
      <c r="R123" s="16" t="n">
        <v>0</v>
      </c>
      <c r="S123" s="16" t="n">
        <v>11</v>
      </c>
      <c r="T123" s="17" t="n">
        <f aca="false">AVERAGE(O123:Q123)</f>
        <v>3.66666666666667</v>
      </c>
      <c r="U123" s="18" t="str">
        <f aca="false">IF(T123&gt;=$H$3,"Eligible","Not Eligible")</f>
        <v>Not Eligible</v>
      </c>
      <c r="V123" s="19" t="n">
        <f aca="false">IF(T123&lt;$H$3,0,IFERROR(T123/SUMIF($T$5:$T$999,"&gt;="&amp;$H$3),0))</f>
        <v>0</v>
      </c>
      <c r="W123" s="15" t="str">
        <f aca="false">IF(T123=0,"Win-Back","Active")</f>
        <v>Active</v>
      </c>
      <c r="X123" s="20" t="n">
        <f aca="false">IF(T123=0,0,IF(T123&gt;=$H$3,ROUND(T123*$D$3/SUMIF($T$5:$T$999,"&gt;="&amp;$H$3),0),ROUNDUP(T123*$D$3/SUMIF($T$5:$T$999,"&gt;="&amp;$H$3),0)))</f>
        <v>5</v>
      </c>
      <c r="Y123" s="21" t="n">
        <v>7</v>
      </c>
      <c r="Z123" s="16" t="n">
        <f aca="false">IF(X123=0,"",X123-Y123)</f>
        <v>-2</v>
      </c>
      <c r="AA123" s="22" t="n">
        <f aca="false">IFERROR(Y123/X123,"")</f>
        <v>1.4</v>
      </c>
      <c r="AB123" s="16" t="n">
        <v>0</v>
      </c>
      <c r="AC123" s="21"/>
    </row>
    <row r="124" customFormat="false" ht="15" hidden="false" customHeight="true" outlineLevel="0" collapsed="false">
      <c r="A124" s="15" t="s">
        <v>1291</v>
      </c>
      <c r="B124" s="15" t="s">
        <v>1292</v>
      </c>
      <c r="C124" s="15" t="s">
        <v>1293</v>
      </c>
      <c r="D124" s="15" t="s">
        <v>1294</v>
      </c>
      <c r="E124" s="15" t="s">
        <v>1295</v>
      </c>
      <c r="F124" s="15" t="s">
        <v>1296</v>
      </c>
      <c r="G124" s="15" t="s">
        <v>1297</v>
      </c>
      <c r="H124" s="15" t="s">
        <v>1298</v>
      </c>
      <c r="I124" s="15" t="s">
        <v>1299</v>
      </c>
      <c r="J124" s="15" t="s">
        <v>1300</v>
      </c>
      <c r="K124" s="15" t="s">
        <v>368</v>
      </c>
      <c r="L124" s="15" t="s">
        <v>1301</v>
      </c>
      <c r="M124" s="15" t="s">
        <v>1302</v>
      </c>
      <c r="N124" s="15" t="s">
        <v>73</v>
      </c>
      <c r="O124" s="16" t="n">
        <v>3</v>
      </c>
      <c r="P124" s="16" t="n">
        <v>7</v>
      </c>
      <c r="Q124" s="16" t="n">
        <v>1</v>
      </c>
      <c r="R124" s="16" t="n">
        <v>0</v>
      </c>
      <c r="S124" s="16" t="n">
        <v>11</v>
      </c>
      <c r="T124" s="17" t="n">
        <f aca="false">AVERAGE(O124:Q124)</f>
        <v>3.66666666666667</v>
      </c>
      <c r="U124" s="18" t="str">
        <f aca="false">IF(T124&gt;=$H$3,"Eligible","Not Eligible")</f>
        <v>Not Eligible</v>
      </c>
      <c r="V124" s="19" t="n">
        <f aca="false">IF(T124&lt;$H$3,0,IFERROR(T124/SUMIF($T$5:$T$999,"&gt;="&amp;$H$3),0))</f>
        <v>0</v>
      </c>
      <c r="W124" s="15" t="str">
        <f aca="false">IF(T124=0,"Win-Back","Active")</f>
        <v>Active</v>
      </c>
      <c r="X124" s="20" t="n">
        <f aca="false">IF(T124=0,0,IF(T124&gt;=$H$3,ROUND(T124*$D$3/SUMIF($T$5:$T$999,"&gt;="&amp;$H$3),0),ROUNDUP(T124*$D$3/SUMIF($T$5:$T$999,"&gt;="&amp;$H$3),0)))</f>
        <v>5</v>
      </c>
      <c r="Y124" s="21"/>
      <c r="Z124" s="16" t="n">
        <f aca="false">IF(X124=0,"",X124-Y124)</f>
        <v>5</v>
      </c>
      <c r="AA124" s="22" t="n">
        <f aca="false">IFERROR(Y124/X124,"")</f>
        <v>0</v>
      </c>
      <c r="AB124" s="16" t="n">
        <v>0</v>
      </c>
      <c r="AC124" s="21"/>
    </row>
    <row r="125" customFormat="false" ht="15" hidden="false" customHeight="true" outlineLevel="0" collapsed="false">
      <c r="A125" s="15" t="s">
        <v>1303</v>
      </c>
      <c r="B125" s="15" t="s">
        <v>1304</v>
      </c>
      <c r="C125" s="15" t="s">
        <v>1305</v>
      </c>
      <c r="D125" s="15" t="s">
        <v>1306</v>
      </c>
      <c r="E125" s="15" t="s">
        <v>1307</v>
      </c>
      <c r="F125" s="15" t="s">
        <v>1308</v>
      </c>
      <c r="G125" s="15" t="s">
        <v>1309</v>
      </c>
      <c r="H125" s="15" t="s">
        <v>1310</v>
      </c>
      <c r="I125" s="15" t="s">
        <v>1311</v>
      </c>
      <c r="J125" s="15" t="s">
        <v>1312</v>
      </c>
      <c r="K125" s="15" t="s">
        <v>70</v>
      </c>
      <c r="L125" s="15" t="s">
        <v>1099</v>
      </c>
      <c r="M125" s="15" t="s">
        <v>1313</v>
      </c>
      <c r="N125" s="15" t="s">
        <v>73</v>
      </c>
      <c r="O125" s="16" t="n">
        <v>1</v>
      </c>
      <c r="P125" s="16" t="n">
        <v>10</v>
      </c>
      <c r="Q125" s="16" t="n">
        <v>0</v>
      </c>
      <c r="R125" s="16" t="n">
        <v>0</v>
      </c>
      <c r="S125" s="16" t="n">
        <v>11</v>
      </c>
      <c r="T125" s="17" t="n">
        <f aca="false">AVERAGE(O125:Q125)</f>
        <v>3.66666666666667</v>
      </c>
      <c r="U125" s="18" t="str">
        <f aca="false">IF(T125&gt;=$H$3,"Eligible","Not Eligible")</f>
        <v>Not Eligible</v>
      </c>
      <c r="V125" s="19" t="n">
        <f aca="false">IF(T125&lt;$H$3,0,IFERROR(T125/SUMIF($T$5:$T$999,"&gt;="&amp;$H$3),0))</f>
        <v>0</v>
      </c>
      <c r="W125" s="15" t="str">
        <f aca="false">IF(T125=0,"Win-Back","Active")</f>
        <v>Active</v>
      </c>
      <c r="X125" s="20" t="n">
        <f aca="false">IF(T125=0,0,IF(T125&gt;=$H$3,ROUND(T125*$D$3/SUMIF($T$5:$T$999,"&gt;="&amp;$H$3),0),ROUNDUP(T125*$D$3/SUMIF($T$5:$T$999,"&gt;="&amp;$H$3),0)))</f>
        <v>5</v>
      </c>
      <c r="Y125" s="21"/>
      <c r="Z125" s="16" t="n">
        <f aca="false">IF(X125=0,"",X125-Y125)</f>
        <v>5</v>
      </c>
      <c r="AA125" s="22" t="n">
        <f aca="false">IFERROR(Y125/X125,"")</f>
        <v>0</v>
      </c>
      <c r="AB125" s="16" t="n">
        <v>0</v>
      </c>
      <c r="AC125" s="21"/>
    </row>
    <row r="126" customFormat="false" ht="15" hidden="false" customHeight="true" outlineLevel="0" collapsed="false">
      <c r="A126" s="15" t="s">
        <v>1314</v>
      </c>
      <c r="B126" s="15"/>
      <c r="C126" s="15" t="s">
        <v>1315</v>
      </c>
      <c r="D126" s="15" t="s">
        <v>1316</v>
      </c>
      <c r="E126" s="15" t="s">
        <v>1317</v>
      </c>
      <c r="F126" s="15" t="s">
        <v>1318</v>
      </c>
      <c r="G126" s="15" t="s">
        <v>1319</v>
      </c>
      <c r="H126" s="15" t="s">
        <v>1320</v>
      </c>
      <c r="I126" s="15" t="s">
        <v>309</v>
      </c>
      <c r="J126" s="15" t="s">
        <v>297</v>
      </c>
      <c r="K126" s="15" t="s">
        <v>298</v>
      </c>
      <c r="L126" s="15" t="s">
        <v>1321</v>
      </c>
      <c r="M126" s="15" t="s">
        <v>1322</v>
      </c>
      <c r="N126" s="15" t="s">
        <v>73</v>
      </c>
      <c r="O126" s="16" t="n">
        <v>7</v>
      </c>
      <c r="P126" s="16" t="n">
        <v>3</v>
      </c>
      <c r="Q126" s="16" t="n">
        <v>1</v>
      </c>
      <c r="R126" s="16" t="n">
        <v>0</v>
      </c>
      <c r="S126" s="16" t="n">
        <v>11</v>
      </c>
      <c r="T126" s="17" t="n">
        <f aca="false">AVERAGE(O126:Q126)</f>
        <v>3.66666666666667</v>
      </c>
      <c r="U126" s="18" t="str">
        <f aca="false">IF(T126&gt;=$H$3,"Eligible","Not Eligible")</f>
        <v>Not Eligible</v>
      </c>
      <c r="V126" s="19" t="n">
        <f aca="false">IF(T126&lt;$H$3,0,IFERROR(T126/SUMIF($T$5:$T$999,"&gt;="&amp;$H$3),0))</f>
        <v>0</v>
      </c>
      <c r="W126" s="15" t="str">
        <f aca="false">IF(T126=0,"Win-Back","Active")</f>
        <v>Active</v>
      </c>
      <c r="X126" s="20" t="n">
        <f aca="false">IF(T126=0,0,IF(T126&gt;=$H$3,ROUND(T126*$D$3/SUMIF($T$5:$T$999,"&gt;="&amp;$H$3),0),ROUNDUP(T126*$D$3/SUMIF($T$5:$T$999,"&gt;="&amp;$H$3),0)))</f>
        <v>5</v>
      </c>
      <c r="Y126" s="21" t="n">
        <v>10</v>
      </c>
      <c r="Z126" s="16" t="n">
        <f aca="false">IF(X126=0,"",X126-Y126)</f>
        <v>-5</v>
      </c>
      <c r="AA126" s="22" t="n">
        <f aca="false">IFERROR(Y126/X126,"")</f>
        <v>2</v>
      </c>
      <c r="AB126" s="16" t="n">
        <v>16</v>
      </c>
      <c r="AC126" s="21" t="n">
        <v>6</v>
      </c>
    </row>
    <row r="127" customFormat="false" ht="15" hidden="false" customHeight="true" outlineLevel="0" collapsed="false">
      <c r="A127" s="15" t="s">
        <v>1323</v>
      </c>
      <c r="B127" s="15" t="s">
        <v>1324</v>
      </c>
      <c r="C127" s="15" t="s">
        <v>1325</v>
      </c>
      <c r="D127" s="15" t="s">
        <v>1326</v>
      </c>
      <c r="E127" s="15" t="s">
        <v>1327</v>
      </c>
      <c r="F127" s="15" t="s">
        <v>1328</v>
      </c>
      <c r="G127" s="15" t="s">
        <v>1329</v>
      </c>
      <c r="H127" s="15" t="s">
        <v>1330</v>
      </c>
      <c r="I127" s="15"/>
      <c r="J127" s="15" t="s">
        <v>777</v>
      </c>
      <c r="K127" s="15" t="s">
        <v>70</v>
      </c>
      <c r="L127" s="15" t="s">
        <v>1331</v>
      </c>
      <c r="M127" s="15" t="s">
        <v>1332</v>
      </c>
      <c r="N127" s="15" t="s">
        <v>73</v>
      </c>
      <c r="O127" s="16" t="n">
        <v>4</v>
      </c>
      <c r="P127" s="16" t="n">
        <v>2</v>
      </c>
      <c r="Q127" s="16" t="n">
        <v>5</v>
      </c>
      <c r="R127" s="16" t="n">
        <v>0</v>
      </c>
      <c r="S127" s="16" t="n">
        <v>11</v>
      </c>
      <c r="T127" s="17" t="n">
        <f aca="false">AVERAGE(O127:Q127)</f>
        <v>3.66666666666667</v>
      </c>
      <c r="U127" s="18" t="str">
        <f aca="false">IF(T127&gt;=$H$3,"Eligible","Not Eligible")</f>
        <v>Not Eligible</v>
      </c>
      <c r="V127" s="19" t="n">
        <f aca="false">IF(T127&lt;$H$3,0,IFERROR(T127/SUMIF($T$5:$T$999,"&gt;="&amp;$H$3),0))</f>
        <v>0</v>
      </c>
      <c r="W127" s="15" t="str">
        <f aca="false">IF(T127=0,"Win-Back","Active")</f>
        <v>Active</v>
      </c>
      <c r="X127" s="20" t="n">
        <f aca="false">IF(T127=0,0,IF(T127&gt;=$H$3,ROUND(T127*$D$3/SUMIF($T$5:$T$999,"&gt;="&amp;$H$3),0),ROUNDUP(T127*$D$3/SUMIF($T$5:$T$999,"&gt;="&amp;$H$3),0)))</f>
        <v>5</v>
      </c>
      <c r="Y127" s="21" t="n">
        <v>6</v>
      </c>
      <c r="Z127" s="16" t="n">
        <f aca="false">IF(X127=0,"",X127-Y127)</f>
        <v>-1</v>
      </c>
      <c r="AA127" s="22" t="n">
        <f aca="false">IFERROR(Y127/X127,"")</f>
        <v>1.2</v>
      </c>
      <c r="AB127" s="16" t="n">
        <v>0</v>
      </c>
      <c r="AC127" s="21"/>
    </row>
    <row r="128" customFormat="false" ht="15" hidden="false" customHeight="true" outlineLevel="0" collapsed="false">
      <c r="A128" s="15" t="s">
        <v>1333</v>
      </c>
      <c r="B128" s="15" t="s">
        <v>1334</v>
      </c>
      <c r="C128" s="15" t="s">
        <v>1335</v>
      </c>
      <c r="D128" s="15" t="s">
        <v>1336</v>
      </c>
      <c r="E128" s="15" t="s">
        <v>1337</v>
      </c>
      <c r="F128" s="15" t="s">
        <v>1338</v>
      </c>
      <c r="G128" s="15" t="s">
        <v>1339</v>
      </c>
      <c r="H128" s="15" t="s">
        <v>1340</v>
      </c>
      <c r="I128" s="15"/>
      <c r="J128" s="15" t="s">
        <v>1341</v>
      </c>
      <c r="K128" s="15" t="s">
        <v>70</v>
      </c>
      <c r="L128" s="15" t="s">
        <v>1342</v>
      </c>
      <c r="M128" s="15" t="s">
        <v>1343</v>
      </c>
      <c r="N128" s="15" t="s">
        <v>73</v>
      </c>
      <c r="O128" s="16" t="n">
        <v>5</v>
      </c>
      <c r="P128" s="16" t="n">
        <v>4</v>
      </c>
      <c r="Q128" s="16" t="n">
        <v>1</v>
      </c>
      <c r="R128" s="16" t="n">
        <v>1</v>
      </c>
      <c r="S128" s="16" t="n">
        <v>11</v>
      </c>
      <c r="T128" s="17" t="n">
        <f aca="false">AVERAGE(O128:Q128)</f>
        <v>3.33333333333333</v>
      </c>
      <c r="U128" s="18" t="str">
        <f aca="false">IF(T128&gt;=$H$3,"Eligible","Not Eligible")</f>
        <v>Not Eligible</v>
      </c>
      <c r="V128" s="19" t="n">
        <f aca="false">IF(T128&lt;$H$3,0,IFERROR(T128/SUMIF($T$5:$T$999,"&gt;="&amp;$H$3),0))</f>
        <v>0</v>
      </c>
      <c r="W128" s="15" t="str">
        <f aca="false">IF(T128=0,"Win-Back","Active")</f>
        <v>Active</v>
      </c>
      <c r="X128" s="20" t="n">
        <f aca="false">IF(T128=0,0,IF(T128&gt;=$H$3,ROUND(T128*$D$3/SUMIF($T$5:$T$999,"&gt;="&amp;$H$3),0),ROUNDUP(T128*$D$3/SUMIF($T$5:$T$999,"&gt;="&amp;$H$3),0)))</f>
        <v>4</v>
      </c>
      <c r="Y128" s="21" t="n">
        <v>2</v>
      </c>
      <c r="Z128" s="16" t="n">
        <f aca="false">IF(X128=0,"",X128-Y128)</f>
        <v>2</v>
      </c>
      <c r="AA128" s="22" t="n">
        <f aca="false">IFERROR(Y128/X128,"")</f>
        <v>0.5</v>
      </c>
      <c r="AB128" s="16" t="n">
        <v>0</v>
      </c>
      <c r="AC128" s="21"/>
    </row>
    <row r="129" customFormat="false" ht="15" hidden="false" customHeight="true" outlineLevel="0" collapsed="false">
      <c r="A129" s="15" t="s">
        <v>1344</v>
      </c>
      <c r="B129" s="15" t="s">
        <v>1345</v>
      </c>
      <c r="C129" s="15" t="s">
        <v>1346</v>
      </c>
      <c r="D129" s="15" t="s">
        <v>1347</v>
      </c>
      <c r="E129" s="15" t="s">
        <v>1348</v>
      </c>
      <c r="F129" s="15" t="s">
        <v>1349</v>
      </c>
      <c r="G129" s="15" t="s">
        <v>1350</v>
      </c>
      <c r="H129" s="15" t="s">
        <v>1351</v>
      </c>
      <c r="I129" s="15" t="s">
        <v>1352</v>
      </c>
      <c r="J129" s="15" t="s">
        <v>1353</v>
      </c>
      <c r="K129" s="15" t="s">
        <v>735</v>
      </c>
      <c r="L129" s="15" t="s">
        <v>1354</v>
      </c>
      <c r="M129" s="15" t="s">
        <v>1355</v>
      </c>
      <c r="N129" s="15" t="s">
        <v>73</v>
      </c>
      <c r="O129" s="16" t="n">
        <v>3</v>
      </c>
      <c r="P129" s="16" t="n">
        <v>3</v>
      </c>
      <c r="Q129" s="16" t="n">
        <v>4</v>
      </c>
      <c r="R129" s="16" t="n">
        <v>1</v>
      </c>
      <c r="S129" s="16" t="n">
        <v>11</v>
      </c>
      <c r="T129" s="17" t="n">
        <f aca="false">AVERAGE(O129:Q129)</f>
        <v>3.33333333333333</v>
      </c>
      <c r="U129" s="18" t="str">
        <f aca="false">IF(T129&gt;=$H$3,"Eligible","Not Eligible")</f>
        <v>Not Eligible</v>
      </c>
      <c r="V129" s="19" t="n">
        <f aca="false">IF(T129&lt;$H$3,0,IFERROR(T129/SUMIF($T$5:$T$999,"&gt;="&amp;$H$3),0))</f>
        <v>0</v>
      </c>
      <c r="W129" s="15" t="str">
        <f aca="false">IF(T129=0,"Win-Back","Active")</f>
        <v>Active</v>
      </c>
      <c r="X129" s="20" t="n">
        <f aca="false">IF(T129=0,0,IF(T129&gt;=$H$3,ROUND(T129*$D$3/SUMIF($T$5:$T$999,"&gt;="&amp;$H$3),0),ROUNDUP(T129*$D$3/SUMIF($T$5:$T$999,"&gt;="&amp;$H$3),0)))</f>
        <v>4</v>
      </c>
      <c r="Y129" s="21" t="n">
        <v>3</v>
      </c>
      <c r="Z129" s="16" t="n">
        <f aca="false">IF(X129=0,"",X129-Y129)</f>
        <v>1</v>
      </c>
      <c r="AA129" s="22" t="n">
        <f aca="false">IFERROR(Y129/X129,"")</f>
        <v>0.75</v>
      </c>
      <c r="AB129" s="16" t="n">
        <v>0</v>
      </c>
      <c r="AC129" s="21"/>
    </row>
    <row r="130" customFormat="false" ht="15" hidden="false" customHeight="true" outlineLevel="0" collapsed="false">
      <c r="A130" s="15" t="s">
        <v>1356</v>
      </c>
      <c r="B130" s="15" t="s">
        <v>1357</v>
      </c>
      <c r="C130" s="15" t="s">
        <v>1358</v>
      </c>
      <c r="D130" s="15" t="s">
        <v>1359</v>
      </c>
      <c r="E130" s="15" t="s">
        <v>1360</v>
      </c>
      <c r="F130" s="15" t="s">
        <v>1361</v>
      </c>
      <c r="G130" s="15" t="s">
        <v>1362</v>
      </c>
      <c r="H130" s="15" t="s">
        <v>1363</v>
      </c>
      <c r="I130" s="15"/>
      <c r="J130" s="15" t="s">
        <v>492</v>
      </c>
      <c r="K130" s="15" t="s">
        <v>493</v>
      </c>
      <c r="L130" s="15" t="s">
        <v>1364</v>
      </c>
      <c r="M130" s="15" t="s">
        <v>1365</v>
      </c>
      <c r="N130" s="15" t="s">
        <v>73</v>
      </c>
      <c r="O130" s="16" t="n">
        <v>0</v>
      </c>
      <c r="P130" s="16" t="n">
        <v>3</v>
      </c>
      <c r="Q130" s="16" t="n">
        <v>7</v>
      </c>
      <c r="R130" s="16" t="n">
        <v>0</v>
      </c>
      <c r="S130" s="16" t="n">
        <v>10</v>
      </c>
      <c r="T130" s="17" t="n">
        <f aca="false">AVERAGE(O130:Q130)</f>
        <v>3.33333333333333</v>
      </c>
      <c r="U130" s="18" t="str">
        <f aca="false">IF(T130&gt;=$H$3,"Eligible","Not Eligible")</f>
        <v>Not Eligible</v>
      </c>
      <c r="V130" s="19" t="n">
        <f aca="false">IF(T130&lt;$H$3,0,IFERROR(T130/SUMIF($T$5:$T$999,"&gt;="&amp;$H$3),0))</f>
        <v>0</v>
      </c>
      <c r="W130" s="15" t="str">
        <f aca="false">IF(T130=0,"Win-Back","Active")</f>
        <v>Active</v>
      </c>
      <c r="X130" s="20" t="n">
        <f aca="false">IF(T130=0,0,IF(T130&gt;=$H$3,ROUND(T130*$D$3/SUMIF($T$5:$T$999,"&gt;="&amp;$H$3),0),ROUNDUP(T130*$D$3/SUMIF($T$5:$T$999,"&gt;="&amp;$H$3),0)))</f>
        <v>4</v>
      </c>
      <c r="Y130" s="21" t="n">
        <v>1</v>
      </c>
      <c r="Z130" s="16" t="n">
        <f aca="false">IF(X130=0,"",X130-Y130)</f>
        <v>3</v>
      </c>
      <c r="AA130" s="22" t="n">
        <f aca="false">IFERROR(Y130/X130,"")</f>
        <v>0.25</v>
      </c>
      <c r="AB130" s="16" t="n">
        <v>0</v>
      </c>
      <c r="AC130" s="21"/>
    </row>
    <row r="131" customFormat="false" ht="15" hidden="false" customHeight="true" outlineLevel="0" collapsed="false">
      <c r="A131" s="15" t="s">
        <v>1366</v>
      </c>
      <c r="B131" s="15" t="s">
        <v>1367</v>
      </c>
      <c r="C131" s="15" t="s">
        <v>1368</v>
      </c>
      <c r="D131" s="15" t="s">
        <v>1369</v>
      </c>
      <c r="E131" s="15" t="s">
        <v>1370</v>
      </c>
      <c r="F131" s="15" t="s">
        <v>1371</v>
      </c>
      <c r="G131" s="15" t="s">
        <v>1372</v>
      </c>
      <c r="H131" s="15" t="s">
        <v>1373</v>
      </c>
      <c r="I131" s="15"/>
      <c r="J131" s="15" t="s">
        <v>1374</v>
      </c>
      <c r="K131" s="15" t="s">
        <v>47</v>
      </c>
      <c r="L131" s="15" t="s">
        <v>1375</v>
      </c>
      <c r="M131" s="15" t="s">
        <v>1376</v>
      </c>
      <c r="N131" s="15" t="s">
        <v>73</v>
      </c>
      <c r="O131" s="16" t="n">
        <v>2</v>
      </c>
      <c r="P131" s="16" t="n">
        <v>6</v>
      </c>
      <c r="Q131" s="16" t="n">
        <v>2</v>
      </c>
      <c r="R131" s="16" t="n">
        <v>0</v>
      </c>
      <c r="S131" s="16" t="n">
        <v>10</v>
      </c>
      <c r="T131" s="17" t="n">
        <f aca="false">AVERAGE(O131:Q131)</f>
        <v>3.33333333333333</v>
      </c>
      <c r="U131" s="18" t="str">
        <f aca="false">IF(T131&gt;=$H$3,"Eligible","Not Eligible")</f>
        <v>Not Eligible</v>
      </c>
      <c r="V131" s="19" t="n">
        <f aca="false">IF(T131&lt;$H$3,0,IFERROR(T131/SUMIF($T$5:$T$999,"&gt;="&amp;$H$3),0))</f>
        <v>0</v>
      </c>
      <c r="W131" s="15" t="str">
        <f aca="false">IF(T131=0,"Win-Back","Active")</f>
        <v>Active</v>
      </c>
      <c r="X131" s="20" t="n">
        <f aca="false">IF(T131=0,0,IF(T131&gt;=$H$3,ROUND(T131*$D$3/SUMIF($T$5:$T$999,"&gt;="&amp;$H$3),0),ROUNDUP(T131*$D$3/SUMIF($T$5:$T$999,"&gt;="&amp;$H$3),0)))</f>
        <v>4</v>
      </c>
      <c r="Y131" s="21" t="n">
        <v>6</v>
      </c>
      <c r="Z131" s="16" t="n">
        <f aca="false">IF(X131=0,"",X131-Y131)</f>
        <v>-2</v>
      </c>
      <c r="AA131" s="22" t="n">
        <f aca="false">IFERROR(Y131/X131,"")</f>
        <v>1.5</v>
      </c>
      <c r="AB131" s="16" t="n">
        <v>8</v>
      </c>
      <c r="AC131" s="21"/>
    </row>
    <row r="132" customFormat="false" ht="15" hidden="false" customHeight="true" outlineLevel="0" collapsed="false">
      <c r="A132" s="15" t="s">
        <v>1377</v>
      </c>
      <c r="B132" s="15" t="s">
        <v>1378</v>
      </c>
      <c r="C132" s="15" t="s">
        <v>1379</v>
      </c>
      <c r="D132" s="15" t="s">
        <v>1380</v>
      </c>
      <c r="E132" s="15" t="s">
        <v>1381</v>
      </c>
      <c r="F132" s="15" t="s">
        <v>1382</v>
      </c>
      <c r="G132" s="15" t="s">
        <v>1383</v>
      </c>
      <c r="H132" s="15" t="s">
        <v>1384</v>
      </c>
      <c r="I132" s="15"/>
      <c r="J132" s="15" t="s">
        <v>777</v>
      </c>
      <c r="K132" s="15" t="s">
        <v>70</v>
      </c>
      <c r="L132" s="15" t="s">
        <v>1385</v>
      </c>
      <c r="M132" s="15" t="s">
        <v>1386</v>
      </c>
      <c r="N132" s="15" t="s">
        <v>73</v>
      </c>
      <c r="O132" s="16" t="n">
        <v>0</v>
      </c>
      <c r="P132" s="16" t="n">
        <v>10</v>
      </c>
      <c r="Q132" s="16" t="n">
        <v>0</v>
      </c>
      <c r="R132" s="16" t="n">
        <v>0</v>
      </c>
      <c r="S132" s="16" t="n">
        <v>10</v>
      </c>
      <c r="T132" s="17" t="n">
        <f aca="false">AVERAGE(O132:Q132)</f>
        <v>3.33333333333333</v>
      </c>
      <c r="U132" s="18" t="str">
        <f aca="false">IF(T132&gt;=$H$3,"Eligible","Not Eligible")</f>
        <v>Not Eligible</v>
      </c>
      <c r="V132" s="19" t="n">
        <f aca="false">IF(T132&lt;$H$3,0,IFERROR(T132/SUMIF($T$5:$T$999,"&gt;="&amp;$H$3),0))</f>
        <v>0</v>
      </c>
      <c r="W132" s="15" t="str">
        <f aca="false">IF(T132=0,"Win-Back","Active")</f>
        <v>Active</v>
      </c>
      <c r="X132" s="20" t="n">
        <f aca="false">IF(T132=0,0,IF(T132&gt;=$H$3,ROUND(T132*$D$3/SUMIF($T$5:$T$999,"&gt;="&amp;$H$3),0),ROUNDUP(T132*$D$3/SUMIF($T$5:$T$999,"&gt;="&amp;$H$3),0)))</f>
        <v>4</v>
      </c>
      <c r="Y132" s="21"/>
      <c r="Z132" s="16" t="n">
        <f aca="false">IF(X132=0,"",X132-Y132)</f>
        <v>4</v>
      </c>
      <c r="AA132" s="22" t="n">
        <f aca="false">IFERROR(Y132/X132,"")</f>
        <v>0</v>
      </c>
      <c r="AB132" s="16" t="n">
        <v>0</v>
      </c>
      <c r="AC132" s="21"/>
    </row>
    <row r="133" customFormat="false" ht="15" hidden="false" customHeight="true" outlineLevel="0" collapsed="false">
      <c r="A133" s="15" t="s">
        <v>1387</v>
      </c>
      <c r="B133" s="15" t="s">
        <v>1388</v>
      </c>
      <c r="C133" s="15" t="s">
        <v>1389</v>
      </c>
      <c r="D133" s="15" t="s">
        <v>1390</v>
      </c>
      <c r="E133" s="15" t="s">
        <v>1391</v>
      </c>
      <c r="F133" s="15" t="s">
        <v>1392</v>
      </c>
      <c r="G133" s="15" t="s">
        <v>1393</v>
      </c>
      <c r="H133" s="15" t="s">
        <v>1394</v>
      </c>
      <c r="I133" s="15" t="s">
        <v>1395</v>
      </c>
      <c r="J133" s="15" t="s">
        <v>1396</v>
      </c>
      <c r="K133" s="15" t="s">
        <v>678</v>
      </c>
      <c r="L133" s="15" t="s">
        <v>1397</v>
      </c>
      <c r="M133" s="15" t="s">
        <v>1398</v>
      </c>
      <c r="N133" s="15" t="s">
        <v>73</v>
      </c>
      <c r="O133" s="16" t="n">
        <v>2</v>
      </c>
      <c r="P133" s="16" t="n">
        <v>3</v>
      </c>
      <c r="Q133" s="16" t="n">
        <v>5</v>
      </c>
      <c r="R133" s="16" t="n">
        <v>0</v>
      </c>
      <c r="S133" s="16" t="n">
        <v>10</v>
      </c>
      <c r="T133" s="17" t="n">
        <f aca="false">AVERAGE(O133:Q133)</f>
        <v>3.33333333333333</v>
      </c>
      <c r="U133" s="18" t="str">
        <f aca="false">IF(T133&gt;=$H$3,"Eligible","Not Eligible")</f>
        <v>Not Eligible</v>
      </c>
      <c r="V133" s="19" t="n">
        <f aca="false">IF(T133&lt;$H$3,0,IFERROR(T133/SUMIF($T$5:$T$999,"&gt;="&amp;$H$3),0))</f>
        <v>0</v>
      </c>
      <c r="W133" s="15" t="str">
        <f aca="false">IF(T133=0,"Win-Back","Active")</f>
        <v>Active</v>
      </c>
      <c r="X133" s="20" t="n">
        <f aca="false">IF(T133=0,0,IF(T133&gt;=$H$3,ROUND(T133*$D$3/SUMIF($T$5:$T$999,"&gt;="&amp;$H$3),0),ROUNDUP(T133*$D$3/SUMIF($T$5:$T$999,"&gt;="&amp;$H$3),0)))</f>
        <v>4</v>
      </c>
      <c r="Y133" s="21" t="n">
        <v>2</v>
      </c>
      <c r="Z133" s="16" t="n">
        <f aca="false">IF(X133=0,"",X133-Y133)</f>
        <v>2</v>
      </c>
      <c r="AA133" s="22" t="n">
        <f aca="false">IFERROR(Y133/X133,"")</f>
        <v>0.5</v>
      </c>
      <c r="AB133" s="16" t="n">
        <v>0</v>
      </c>
      <c r="AC133" s="21"/>
    </row>
    <row r="134" customFormat="false" ht="15" hidden="false" customHeight="true" outlineLevel="0" collapsed="false">
      <c r="A134" s="15" t="s">
        <v>1399</v>
      </c>
      <c r="B134" s="15" t="s">
        <v>1400</v>
      </c>
      <c r="C134" s="15" t="s">
        <v>1401</v>
      </c>
      <c r="D134" s="15" t="s">
        <v>1402</v>
      </c>
      <c r="E134" s="15" t="s">
        <v>1403</v>
      </c>
      <c r="F134" s="15" t="s">
        <v>1404</v>
      </c>
      <c r="G134" s="15" t="s">
        <v>1405</v>
      </c>
      <c r="H134" s="15" t="s">
        <v>1406</v>
      </c>
      <c r="I134" s="15"/>
      <c r="J134" s="15" t="s">
        <v>1341</v>
      </c>
      <c r="K134" s="15" t="s">
        <v>70</v>
      </c>
      <c r="L134" s="15" t="s">
        <v>1407</v>
      </c>
      <c r="M134" s="15" t="s">
        <v>1408</v>
      </c>
      <c r="N134" s="15" t="s">
        <v>73</v>
      </c>
      <c r="O134" s="16" t="n">
        <v>3</v>
      </c>
      <c r="P134" s="16" t="n">
        <v>7</v>
      </c>
      <c r="Q134" s="16" t="n">
        <v>0</v>
      </c>
      <c r="R134" s="16" t="n">
        <v>0</v>
      </c>
      <c r="S134" s="16" t="n">
        <v>10</v>
      </c>
      <c r="T134" s="17" t="n">
        <f aca="false">AVERAGE(O134:Q134)</f>
        <v>3.33333333333333</v>
      </c>
      <c r="U134" s="18" t="str">
        <f aca="false">IF(T134&gt;=$H$3,"Eligible","Not Eligible")</f>
        <v>Not Eligible</v>
      </c>
      <c r="V134" s="19" t="n">
        <f aca="false">IF(T134&lt;$H$3,0,IFERROR(T134/SUMIF($T$5:$T$999,"&gt;="&amp;$H$3),0))</f>
        <v>0</v>
      </c>
      <c r="W134" s="15" t="str">
        <f aca="false">IF(T134=0,"Win-Back","Active")</f>
        <v>Active</v>
      </c>
      <c r="X134" s="20" t="n">
        <f aca="false">IF(T134=0,0,IF(T134&gt;=$H$3,ROUND(T134*$D$3/SUMIF($T$5:$T$999,"&gt;="&amp;$H$3),0),ROUNDUP(T134*$D$3/SUMIF($T$5:$T$999,"&gt;="&amp;$H$3),0)))</f>
        <v>4</v>
      </c>
      <c r="Y134" s="21" t="n">
        <v>16</v>
      </c>
      <c r="Z134" s="16" t="n">
        <f aca="false">IF(X134=0,"",X134-Y134)</f>
        <v>-12</v>
      </c>
      <c r="AA134" s="22" t="n">
        <f aca="false">IFERROR(Y134/X134,"")</f>
        <v>4</v>
      </c>
      <c r="AB134" s="16" t="n">
        <v>0</v>
      </c>
      <c r="AC134" s="21"/>
    </row>
    <row r="135" customFormat="false" ht="15" hidden="false" customHeight="true" outlineLevel="0" collapsed="false">
      <c r="A135" s="15" t="s">
        <v>1409</v>
      </c>
      <c r="B135" s="15" t="s">
        <v>1410</v>
      </c>
      <c r="C135" s="15" t="s">
        <v>1411</v>
      </c>
      <c r="D135" s="15" t="s">
        <v>1412</v>
      </c>
      <c r="E135" s="15" t="s">
        <v>1413</v>
      </c>
      <c r="F135" s="15" t="s">
        <v>1414</v>
      </c>
      <c r="G135" s="15" t="s">
        <v>1415</v>
      </c>
      <c r="H135" s="15" t="s">
        <v>1416</v>
      </c>
      <c r="I135" s="15"/>
      <c r="J135" s="15" t="s">
        <v>1417</v>
      </c>
      <c r="K135" s="15" t="s">
        <v>1418</v>
      </c>
      <c r="L135" s="15" t="s">
        <v>1419</v>
      </c>
      <c r="M135" s="15" t="s">
        <v>1420</v>
      </c>
      <c r="N135" s="15" t="s">
        <v>73</v>
      </c>
      <c r="O135" s="16" t="n">
        <v>3</v>
      </c>
      <c r="P135" s="16" t="n">
        <v>3</v>
      </c>
      <c r="Q135" s="16" t="n">
        <v>4</v>
      </c>
      <c r="R135" s="16" t="n">
        <v>0</v>
      </c>
      <c r="S135" s="16" t="n">
        <v>10</v>
      </c>
      <c r="T135" s="17" t="n">
        <f aca="false">AVERAGE(O135:Q135)</f>
        <v>3.33333333333333</v>
      </c>
      <c r="U135" s="18" t="str">
        <f aca="false">IF(T135&gt;=$H$3,"Eligible","Not Eligible")</f>
        <v>Not Eligible</v>
      </c>
      <c r="V135" s="19" t="n">
        <f aca="false">IF(T135&lt;$H$3,0,IFERROR(T135/SUMIF($T$5:$T$999,"&gt;="&amp;$H$3),0))</f>
        <v>0</v>
      </c>
      <c r="W135" s="15" t="str">
        <f aca="false">IF(T135=0,"Win-Back","Active")</f>
        <v>Active</v>
      </c>
      <c r="X135" s="20" t="n">
        <f aca="false">IF(T135=0,0,IF(T135&gt;=$H$3,ROUND(T135*$D$3/SUMIF($T$5:$T$999,"&gt;="&amp;$H$3),0),ROUNDUP(T135*$D$3/SUMIF($T$5:$T$999,"&gt;="&amp;$H$3),0)))</f>
        <v>4</v>
      </c>
      <c r="Y135" s="21" t="n">
        <v>1</v>
      </c>
      <c r="Z135" s="16" t="n">
        <f aca="false">IF(X135=0,"",X135-Y135)</f>
        <v>3</v>
      </c>
      <c r="AA135" s="22" t="n">
        <f aca="false">IFERROR(Y135/X135,"")</f>
        <v>0.25</v>
      </c>
      <c r="AB135" s="16" t="n">
        <v>0</v>
      </c>
      <c r="AC135" s="21"/>
    </row>
    <row r="136" customFormat="false" ht="15" hidden="false" customHeight="true" outlineLevel="0" collapsed="false">
      <c r="A136" s="15" t="s">
        <v>1421</v>
      </c>
      <c r="B136" s="15" t="s">
        <v>1422</v>
      </c>
      <c r="C136" s="15" t="s">
        <v>1423</v>
      </c>
      <c r="D136" s="15" t="s">
        <v>1424</v>
      </c>
      <c r="E136" s="15" t="s">
        <v>1424</v>
      </c>
      <c r="F136" s="15" t="s">
        <v>1425</v>
      </c>
      <c r="G136" s="15" t="s">
        <v>1426</v>
      </c>
      <c r="H136" s="15" t="s">
        <v>1427</v>
      </c>
      <c r="I136" s="15"/>
      <c r="J136" s="15" t="s">
        <v>1428</v>
      </c>
      <c r="K136" s="15" t="s">
        <v>563</v>
      </c>
      <c r="L136" s="15" t="s">
        <v>1429</v>
      </c>
      <c r="M136" s="15" t="s">
        <v>1430</v>
      </c>
      <c r="N136" s="15" t="s">
        <v>73</v>
      </c>
      <c r="O136" s="16" t="n">
        <v>5</v>
      </c>
      <c r="P136" s="16" t="n">
        <v>2</v>
      </c>
      <c r="Q136" s="16" t="n">
        <v>3</v>
      </c>
      <c r="R136" s="16" t="n">
        <v>0</v>
      </c>
      <c r="S136" s="16" t="n">
        <v>10</v>
      </c>
      <c r="T136" s="17" t="n">
        <f aca="false">AVERAGE(O136:Q136)</f>
        <v>3.33333333333333</v>
      </c>
      <c r="U136" s="18" t="str">
        <f aca="false">IF(T136&gt;=$H$3,"Eligible","Not Eligible")</f>
        <v>Not Eligible</v>
      </c>
      <c r="V136" s="19" t="n">
        <f aca="false">IF(T136&lt;$H$3,0,IFERROR(T136/SUMIF($T$5:$T$999,"&gt;="&amp;$H$3),0))</f>
        <v>0</v>
      </c>
      <c r="W136" s="15" t="str">
        <f aca="false">IF(T136=0,"Win-Back","Active")</f>
        <v>Active</v>
      </c>
      <c r="X136" s="20" t="n">
        <f aca="false">IF(T136=0,0,IF(T136&gt;=$H$3,ROUND(T136*$D$3/SUMIF($T$5:$T$999,"&gt;="&amp;$H$3),0),ROUNDUP(T136*$D$3/SUMIF($T$5:$T$999,"&gt;="&amp;$H$3),0)))</f>
        <v>4</v>
      </c>
      <c r="Y136" s="21" t="n">
        <v>4</v>
      </c>
      <c r="Z136" s="16" t="n">
        <f aca="false">IF(X136=0,"",X136-Y136)</f>
        <v>0</v>
      </c>
      <c r="AA136" s="22" t="n">
        <f aca="false">IFERROR(Y136/X136,"")</f>
        <v>1</v>
      </c>
      <c r="AB136" s="16" t="n">
        <v>0</v>
      </c>
      <c r="AC136" s="21"/>
    </row>
    <row r="137" customFormat="false" ht="15" hidden="false" customHeight="true" outlineLevel="0" collapsed="false">
      <c r="A137" s="15" t="s">
        <v>1431</v>
      </c>
      <c r="B137" s="15" t="s">
        <v>1432</v>
      </c>
      <c r="C137" s="15" t="s">
        <v>1433</v>
      </c>
      <c r="D137" s="15" t="s">
        <v>1434</v>
      </c>
      <c r="E137" s="15" t="s">
        <v>1435</v>
      </c>
      <c r="F137" s="15" t="s">
        <v>1436</v>
      </c>
      <c r="G137" s="15" t="s">
        <v>1437</v>
      </c>
      <c r="H137" s="15" t="s">
        <v>1438</v>
      </c>
      <c r="I137" s="15"/>
      <c r="J137" s="15" t="s">
        <v>1053</v>
      </c>
      <c r="K137" s="15" t="s">
        <v>47</v>
      </c>
      <c r="L137" s="15" t="s">
        <v>1439</v>
      </c>
      <c r="M137" s="15" t="s">
        <v>1440</v>
      </c>
      <c r="N137" s="15" t="s">
        <v>73</v>
      </c>
      <c r="O137" s="16" t="n">
        <v>1</v>
      </c>
      <c r="P137" s="16" t="n">
        <v>2</v>
      </c>
      <c r="Q137" s="16" t="n">
        <v>6</v>
      </c>
      <c r="R137" s="16" t="n">
        <v>2</v>
      </c>
      <c r="S137" s="16" t="n">
        <v>11</v>
      </c>
      <c r="T137" s="17" t="n">
        <f aca="false">AVERAGE(O137:Q137)</f>
        <v>3</v>
      </c>
      <c r="U137" s="18" t="str">
        <f aca="false">IF(T137&gt;=$H$3,"Eligible","Not Eligible")</f>
        <v>Not Eligible</v>
      </c>
      <c r="V137" s="19" t="n">
        <f aca="false">IF(T137&lt;$H$3,0,IFERROR(T137/SUMIF($T$5:$T$999,"&gt;="&amp;$H$3),0))</f>
        <v>0</v>
      </c>
      <c r="W137" s="15" t="str">
        <f aca="false">IF(T137=0,"Win-Back","Active")</f>
        <v>Active</v>
      </c>
      <c r="X137" s="20" t="n">
        <f aca="false">IF(T137=0,0,IF(T137&gt;=$H$3,ROUND(T137*$D$3/SUMIF($T$5:$T$999,"&gt;="&amp;$H$3),0),ROUNDUP(T137*$D$3/SUMIF($T$5:$T$999,"&gt;="&amp;$H$3),0)))</f>
        <v>4</v>
      </c>
      <c r="Y137" s="21" t="n">
        <v>1</v>
      </c>
      <c r="Z137" s="16" t="n">
        <f aca="false">IF(X137=0,"",X137-Y137)</f>
        <v>3</v>
      </c>
      <c r="AA137" s="22" t="n">
        <f aca="false">IFERROR(Y137/X137,"")</f>
        <v>0.25</v>
      </c>
      <c r="AB137" s="16" t="n">
        <v>0</v>
      </c>
      <c r="AC137" s="21"/>
    </row>
    <row r="138" customFormat="false" ht="15" hidden="false" customHeight="true" outlineLevel="0" collapsed="false">
      <c r="A138" s="15" t="s">
        <v>1441</v>
      </c>
      <c r="B138" s="15" t="s">
        <v>1442</v>
      </c>
      <c r="C138" s="15" t="s">
        <v>1443</v>
      </c>
      <c r="D138" s="15" t="s">
        <v>1444</v>
      </c>
      <c r="E138" s="15" t="s">
        <v>1445</v>
      </c>
      <c r="F138" s="15" t="s">
        <v>1446</v>
      </c>
      <c r="G138" s="15" t="s">
        <v>1447</v>
      </c>
      <c r="H138" s="15" t="s">
        <v>1448</v>
      </c>
      <c r="I138" s="15" t="s">
        <v>1449</v>
      </c>
      <c r="J138" s="15" t="s">
        <v>1450</v>
      </c>
      <c r="K138" s="15" t="s">
        <v>1451</v>
      </c>
      <c r="L138" s="15" t="s">
        <v>1452</v>
      </c>
      <c r="M138" s="15" t="s">
        <v>1453</v>
      </c>
      <c r="N138" s="15" t="s">
        <v>73</v>
      </c>
      <c r="O138" s="16" t="n">
        <v>2</v>
      </c>
      <c r="P138" s="16" t="n">
        <v>1</v>
      </c>
      <c r="Q138" s="16" t="n">
        <v>6</v>
      </c>
      <c r="R138" s="16" t="n">
        <v>2</v>
      </c>
      <c r="S138" s="16" t="n">
        <v>11</v>
      </c>
      <c r="T138" s="17" t="n">
        <f aca="false">AVERAGE(O138:Q138)</f>
        <v>3</v>
      </c>
      <c r="U138" s="18" t="str">
        <f aca="false">IF(T138&gt;=$H$3,"Eligible","Not Eligible")</f>
        <v>Not Eligible</v>
      </c>
      <c r="V138" s="19" t="n">
        <f aca="false">IF(T138&lt;$H$3,0,IFERROR(T138/SUMIF($T$5:$T$999,"&gt;="&amp;$H$3),0))</f>
        <v>0</v>
      </c>
      <c r="W138" s="15" t="str">
        <f aca="false">IF(T138=0,"Win-Back","Active")</f>
        <v>Active</v>
      </c>
      <c r="X138" s="20" t="n">
        <f aca="false">IF(T138=0,0,IF(T138&gt;=$H$3,ROUND(T138*$D$3/SUMIF($T$5:$T$999,"&gt;="&amp;$H$3),0),ROUNDUP(T138*$D$3/SUMIF($T$5:$T$999,"&gt;="&amp;$H$3),0)))</f>
        <v>4</v>
      </c>
      <c r="Y138" s="21" t="n">
        <v>3</v>
      </c>
      <c r="Z138" s="16" t="n">
        <f aca="false">IF(X138=0,"",X138-Y138)</f>
        <v>1</v>
      </c>
      <c r="AA138" s="22" t="n">
        <f aca="false">IFERROR(Y138/X138,"")</f>
        <v>0.75</v>
      </c>
      <c r="AB138" s="16" t="n">
        <v>0</v>
      </c>
      <c r="AC138" s="21"/>
    </row>
    <row r="139" customFormat="false" ht="15" hidden="false" customHeight="true" outlineLevel="0" collapsed="false">
      <c r="A139" s="15" t="s">
        <v>1454</v>
      </c>
      <c r="B139" s="15" t="s">
        <v>1455</v>
      </c>
      <c r="C139" s="15" t="s">
        <v>1456</v>
      </c>
      <c r="D139" s="15" t="s">
        <v>1457</v>
      </c>
      <c r="E139" s="15" t="s">
        <v>1458</v>
      </c>
      <c r="F139" s="15" t="s">
        <v>1459</v>
      </c>
      <c r="G139" s="15" t="s">
        <v>1460</v>
      </c>
      <c r="H139" s="15" t="s">
        <v>1461</v>
      </c>
      <c r="I139" s="15"/>
      <c r="J139" s="15" t="s">
        <v>1462</v>
      </c>
      <c r="K139" s="15" t="s">
        <v>70</v>
      </c>
      <c r="L139" s="15" t="s">
        <v>1463</v>
      </c>
      <c r="M139" s="15" t="s">
        <v>1464</v>
      </c>
      <c r="N139" s="15" t="s">
        <v>73</v>
      </c>
      <c r="O139" s="16" t="n">
        <v>2</v>
      </c>
      <c r="P139" s="16" t="n">
        <v>3</v>
      </c>
      <c r="Q139" s="16" t="n">
        <v>4</v>
      </c>
      <c r="R139" s="16" t="n">
        <v>1</v>
      </c>
      <c r="S139" s="16" t="n">
        <v>10</v>
      </c>
      <c r="T139" s="17" t="n">
        <f aca="false">AVERAGE(O139:Q139)</f>
        <v>3</v>
      </c>
      <c r="U139" s="18" t="str">
        <f aca="false">IF(T139&gt;=$H$3,"Eligible","Not Eligible")</f>
        <v>Not Eligible</v>
      </c>
      <c r="V139" s="19" t="n">
        <f aca="false">IF(T139&lt;$H$3,0,IFERROR(T139/SUMIF($T$5:$T$999,"&gt;="&amp;$H$3),0))</f>
        <v>0</v>
      </c>
      <c r="W139" s="15" t="str">
        <f aca="false">IF(T139=0,"Win-Back","Active")</f>
        <v>Active</v>
      </c>
      <c r="X139" s="20" t="n">
        <f aca="false">IF(T139=0,0,IF(T139&gt;=$H$3,ROUND(T139*$D$3/SUMIF($T$5:$T$999,"&gt;="&amp;$H$3),0),ROUNDUP(T139*$D$3/SUMIF($T$5:$T$999,"&gt;="&amp;$H$3),0)))</f>
        <v>4</v>
      </c>
      <c r="Y139" s="21" t="n">
        <v>8</v>
      </c>
      <c r="Z139" s="16" t="n">
        <f aca="false">IF(X139=0,"",X139-Y139)</f>
        <v>-4</v>
      </c>
      <c r="AA139" s="22" t="n">
        <f aca="false">IFERROR(Y139/X139,"")</f>
        <v>2</v>
      </c>
      <c r="AB139" s="16" t="n">
        <v>0</v>
      </c>
      <c r="AC139" s="21"/>
    </row>
    <row r="140" customFormat="false" ht="15" hidden="false" customHeight="true" outlineLevel="0" collapsed="false">
      <c r="A140" s="15" t="s">
        <v>1465</v>
      </c>
      <c r="B140" s="15" t="s">
        <v>1466</v>
      </c>
      <c r="C140" s="15" t="s">
        <v>1467</v>
      </c>
      <c r="D140" s="15" t="s">
        <v>1468</v>
      </c>
      <c r="E140" s="15" t="s">
        <v>1469</v>
      </c>
      <c r="F140" s="15" t="s">
        <v>1470</v>
      </c>
      <c r="G140" s="15" t="s">
        <v>1471</v>
      </c>
      <c r="H140" s="15" t="s">
        <v>1472</v>
      </c>
      <c r="I140" s="15" t="s">
        <v>1473</v>
      </c>
      <c r="J140" s="15" t="s">
        <v>1474</v>
      </c>
      <c r="K140" s="15" t="s">
        <v>368</v>
      </c>
      <c r="L140" s="15" t="s">
        <v>1475</v>
      </c>
      <c r="M140" s="15" t="s">
        <v>1476</v>
      </c>
      <c r="N140" s="15" t="s">
        <v>73</v>
      </c>
      <c r="O140" s="16" t="n">
        <v>3</v>
      </c>
      <c r="P140" s="16" t="n">
        <v>2</v>
      </c>
      <c r="Q140" s="16" t="n">
        <v>4</v>
      </c>
      <c r="R140" s="16" t="n">
        <v>1</v>
      </c>
      <c r="S140" s="16" t="n">
        <v>10</v>
      </c>
      <c r="T140" s="17" t="n">
        <f aca="false">AVERAGE(O140:Q140)</f>
        <v>3</v>
      </c>
      <c r="U140" s="18" t="str">
        <f aca="false">IF(T140&gt;=$H$3,"Eligible","Not Eligible")</f>
        <v>Not Eligible</v>
      </c>
      <c r="V140" s="19" t="n">
        <f aca="false">IF(T140&lt;$H$3,0,IFERROR(T140/SUMIF($T$5:$T$999,"&gt;="&amp;$H$3),0))</f>
        <v>0</v>
      </c>
      <c r="W140" s="15" t="str">
        <f aca="false">IF(T140=0,"Win-Back","Active")</f>
        <v>Active</v>
      </c>
      <c r="X140" s="20" t="n">
        <f aca="false">IF(T140=0,0,IF(T140&gt;=$H$3,ROUND(T140*$D$3/SUMIF($T$5:$T$999,"&gt;="&amp;$H$3),0),ROUNDUP(T140*$D$3/SUMIF($T$5:$T$999,"&gt;="&amp;$H$3),0)))</f>
        <v>4</v>
      </c>
      <c r="Y140" s="21" t="n">
        <v>27</v>
      </c>
      <c r="Z140" s="16" t="n">
        <f aca="false">IF(X140=0,"",X140-Y140)</f>
        <v>-23</v>
      </c>
      <c r="AA140" s="22" t="n">
        <f aca="false">IFERROR(Y140/X140,"")</f>
        <v>6.75</v>
      </c>
      <c r="AB140" s="16" t="n">
        <v>10</v>
      </c>
      <c r="AC140" s="21"/>
    </row>
    <row r="141" customFormat="false" ht="15" hidden="false" customHeight="true" outlineLevel="0" collapsed="false">
      <c r="A141" s="15" t="s">
        <v>1477</v>
      </c>
      <c r="B141" s="15" t="s">
        <v>1477</v>
      </c>
      <c r="C141" s="15" t="s">
        <v>1478</v>
      </c>
      <c r="D141" s="15" t="s">
        <v>1479</v>
      </c>
      <c r="E141" s="15" t="s">
        <v>1480</v>
      </c>
      <c r="F141" s="15" t="s">
        <v>1481</v>
      </c>
      <c r="G141" s="15" t="s">
        <v>1482</v>
      </c>
      <c r="H141" s="15" t="s">
        <v>1483</v>
      </c>
      <c r="I141" s="15"/>
      <c r="J141" s="15" t="s">
        <v>1484</v>
      </c>
      <c r="K141" s="15" t="s">
        <v>70</v>
      </c>
      <c r="L141" s="15" t="s">
        <v>1485</v>
      </c>
      <c r="M141" s="15" t="s">
        <v>1486</v>
      </c>
      <c r="N141" s="15" t="s">
        <v>73</v>
      </c>
      <c r="O141" s="16" t="n">
        <v>2</v>
      </c>
      <c r="P141" s="16" t="n">
        <v>2</v>
      </c>
      <c r="Q141" s="16" t="n">
        <v>5</v>
      </c>
      <c r="R141" s="16" t="n">
        <v>1</v>
      </c>
      <c r="S141" s="16" t="n">
        <v>10</v>
      </c>
      <c r="T141" s="17" t="n">
        <f aca="false">AVERAGE(O141:Q141)</f>
        <v>3</v>
      </c>
      <c r="U141" s="18" t="str">
        <f aca="false">IF(T141&gt;=$H$3,"Eligible","Not Eligible")</f>
        <v>Not Eligible</v>
      </c>
      <c r="V141" s="19" t="n">
        <f aca="false">IF(T141&lt;$H$3,0,IFERROR(T141/SUMIF($T$5:$T$999,"&gt;="&amp;$H$3),0))</f>
        <v>0</v>
      </c>
      <c r="W141" s="15" t="str">
        <f aca="false">IF(T141=0,"Win-Back","Active")</f>
        <v>Active</v>
      </c>
      <c r="X141" s="20" t="n">
        <f aca="false">IF(T141=0,0,IF(T141&gt;=$H$3,ROUND(T141*$D$3/SUMIF($T$5:$T$999,"&gt;="&amp;$H$3),0),ROUNDUP(T141*$D$3/SUMIF($T$5:$T$999,"&gt;="&amp;$H$3),0)))</f>
        <v>4</v>
      </c>
      <c r="Y141" s="21" t="n">
        <v>4</v>
      </c>
      <c r="Z141" s="16" t="n">
        <f aca="false">IF(X141=0,"",X141-Y141)</f>
        <v>0</v>
      </c>
      <c r="AA141" s="22" t="n">
        <f aca="false">IFERROR(Y141/X141,"")</f>
        <v>1</v>
      </c>
      <c r="AB141" s="16" t="n">
        <v>0</v>
      </c>
      <c r="AC141" s="21"/>
    </row>
    <row r="142" customFormat="false" ht="15" hidden="false" customHeight="true" outlineLevel="0" collapsed="false">
      <c r="A142" s="15" t="s">
        <v>1487</v>
      </c>
      <c r="B142" s="15" t="s">
        <v>1488</v>
      </c>
      <c r="C142" s="15" t="s">
        <v>1489</v>
      </c>
      <c r="D142" s="15" t="s">
        <v>1490</v>
      </c>
      <c r="E142" s="15" t="s">
        <v>1491</v>
      </c>
      <c r="F142" s="15" t="s">
        <v>1492</v>
      </c>
      <c r="G142" s="15" t="s">
        <v>1493</v>
      </c>
      <c r="H142" s="15" t="s">
        <v>1494</v>
      </c>
      <c r="I142" s="15"/>
      <c r="J142" s="15" t="s">
        <v>646</v>
      </c>
      <c r="K142" s="15" t="s">
        <v>47</v>
      </c>
      <c r="L142" s="15" t="s">
        <v>647</v>
      </c>
      <c r="M142" s="15" t="s">
        <v>1495</v>
      </c>
      <c r="N142" s="15" t="s">
        <v>73</v>
      </c>
      <c r="O142" s="16" t="n">
        <v>2</v>
      </c>
      <c r="P142" s="16" t="n">
        <v>7</v>
      </c>
      <c r="Q142" s="16" t="n">
        <v>0</v>
      </c>
      <c r="R142" s="16" t="n">
        <v>0</v>
      </c>
      <c r="S142" s="16" t="n">
        <v>9</v>
      </c>
      <c r="T142" s="17" t="n">
        <f aca="false">AVERAGE(O142:Q142)</f>
        <v>3</v>
      </c>
      <c r="U142" s="18" t="str">
        <f aca="false">IF(T142&gt;=$H$3,"Eligible","Not Eligible")</f>
        <v>Not Eligible</v>
      </c>
      <c r="V142" s="19" t="n">
        <f aca="false">IF(T142&lt;$H$3,0,IFERROR(T142/SUMIF($T$5:$T$999,"&gt;="&amp;$H$3),0))</f>
        <v>0</v>
      </c>
      <c r="W142" s="15" t="str">
        <f aca="false">IF(T142=0,"Win-Back","Active")</f>
        <v>Active</v>
      </c>
      <c r="X142" s="20" t="n">
        <f aca="false">IF(T142=0,0,IF(T142&gt;=$H$3,ROUND(T142*$D$3/SUMIF($T$5:$T$999,"&gt;="&amp;$H$3),0),ROUNDUP(T142*$D$3/SUMIF($T$5:$T$999,"&gt;="&amp;$H$3),0)))</f>
        <v>4</v>
      </c>
      <c r="Y142" s="21"/>
      <c r="Z142" s="16" t="n">
        <f aca="false">IF(X142=0,"",X142-Y142)</f>
        <v>4</v>
      </c>
      <c r="AA142" s="22" t="n">
        <f aca="false">IFERROR(Y142/X142,"")</f>
        <v>0</v>
      </c>
      <c r="AB142" s="16" t="n">
        <v>0</v>
      </c>
      <c r="AC142" s="21"/>
    </row>
    <row r="143" customFormat="false" ht="15" hidden="false" customHeight="true" outlineLevel="0" collapsed="false">
      <c r="A143" s="15" t="s">
        <v>1496</v>
      </c>
      <c r="B143" s="15" t="s">
        <v>1497</v>
      </c>
      <c r="C143" s="15" t="s">
        <v>1498</v>
      </c>
      <c r="D143" s="15" t="s">
        <v>1499</v>
      </c>
      <c r="E143" s="15" t="s">
        <v>1500</v>
      </c>
      <c r="F143" s="15" t="s">
        <v>1501</v>
      </c>
      <c r="G143" s="15" t="s">
        <v>1502</v>
      </c>
      <c r="H143" s="15" t="s">
        <v>1503</v>
      </c>
      <c r="I143" s="15" t="s">
        <v>1504</v>
      </c>
      <c r="J143" s="15" t="s">
        <v>297</v>
      </c>
      <c r="K143" s="15" t="s">
        <v>298</v>
      </c>
      <c r="L143" s="15" t="s">
        <v>299</v>
      </c>
      <c r="M143" s="15" t="s">
        <v>1505</v>
      </c>
      <c r="N143" s="15" t="s">
        <v>73</v>
      </c>
      <c r="O143" s="16" t="n">
        <v>0</v>
      </c>
      <c r="P143" s="16" t="n">
        <v>7</v>
      </c>
      <c r="Q143" s="16" t="n">
        <v>2</v>
      </c>
      <c r="R143" s="16" t="n">
        <v>0</v>
      </c>
      <c r="S143" s="16" t="n">
        <v>9</v>
      </c>
      <c r="T143" s="17" t="n">
        <f aca="false">AVERAGE(O143:Q143)</f>
        <v>3</v>
      </c>
      <c r="U143" s="18" t="str">
        <f aca="false">IF(T143&gt;=$H$3,"Eligible","Not Eligible")</f>
        <v>Not Eligible</v>
      </c>
      <c r="V143" s="19" t="n">
        <f aca="false">IF(T143&lt;$H$3,0,IFERROR(T143/SUMIF($T$5:$T$999,"&gt;="&amp;$H$3),0))</f>
        <v>0</v>
      </c>
      <c r="W143" s="15" t="str">
        <f aca="false">IF(T143=0,"Win-Back","Active")</f>
        <v>Active</v>
      </c>
      <c r="X143" s="20" t="n">
        <f aca="false">IF(T143=0,0,IF(T143&gt;=$H$3,ROUND(T143*$D$3/SUMIF($T$5:$T$999,"&gt;="&amp;$H$3),0),ROUNDUP(T143*$D$3/SUMIF($T$5:$T$999,"&gt;="&amp;$H$3),0)))</f>
        <v>4</v>
      </c>
      <c r="Y143" s="21"/>
      <c r="Z143" s="16" t="n">
        <f aca="false">IF(X143=0,"",X143-Y143)</f>
        <v>4</v>
      </c>
      <c r="AA143" s="22" t="n">
        <f aca="false">IFERROR(Y143/X143,"")</f>
        <v>0</v>
      </c>
      <c r="AB143" s="16" t="n">
        <v>0</v>
      </c>
      <c r="AC143" s="21"/>
    </row>
    <row r="144" customFormat="false" ht="15" hidden="false" customHeight="true" outlineLevel="0" collapsed="false">
      <c r="A144" s="15" t="s">
        <v>1506</v>
      </c>
      <c r="B144" s="15" t="s">
        <v>1507</v>
      </c>
      <c r="C144" s="15" t="s">
        <v>1508</v>
      </c>
      <c r="D144" s="15" t="s">
        <v>1509</v>
      </c>
      <c r="E144" s="15" t="s">
        <v>1510</v>
      </c>
      <c r="F144" s="15" t="s">
        <v>1511</v>
      </c>
      <c r="G144" s="15" t="s">
        <v>1512</v>
      </c>
      <c r="H144" s="15" t="s">
        <v>1513</v>
      </c>
      <c r="I144" s="15"/>
      <c r="J144" s="15" t="s">
        <v>46</v>
      </c>
      <c r="K144" s="15" t="s">
        <v>47</v>
      </c>
      <c r="L144" s="15" t="s">
        <v>474</v>
      </c>
      <c r="M144" s="15" t="s">
        <v>1514</v>
      </c>
      <c r="N144" s="15" t="s">
        <v>50</v>
      </c>
      <c r="O144" s="16" t="n">
        <v>0</v>
      </c>
      <c r="P144" s="16" t="n">
        <v>3</v>
      </c>
      <c r="Q144" s="16" t="n">
        <v>6</v>
      </c>
      <c r="R144" s="16" t="n">
        <v>0</v>
      </c>
      <c r="S144" s="16" t="n">
        <v>9</v>
      </c>
      <c r="T144" s="17" t="n">
        <f aca="false">AVERAGE(O144:Q144)</f>
        <v>3</v>
      </c>
      <c r="U144" s="18" t="str">
        <f aca="false">IF(T144&gt;=$H$3,"Eligible","Not Eligible")</f>
        <v>Not Eligible</v>
      </c>
      <c r="V144" s="19" t="n">
        <f aca="false">IF(T144&lt;$H$3,0,IFERROR(T144/SUMIF($T$5:$T$999,"&gt;="&amp;$H$3),0))</f>
        <v>0</v>
      </c>
      <c r="W144" s="15" t="str">
        <f aca="false">IF(T144=0,"Win-Back","Active")</f>
        <v>Active</v>
      </c>
      <c r="X144" s="20" t="n">
        <f aca="false">IF(T144=0,0,IF(T144&gt;=$H$3,ROUND(T144*$D$3/SUMIF($T$5:$T$999,"&gt;="&amp;$H$3),0),ROUNDUP(T144*$D$3/SUMIF($T$5:$T$999,"&gt;="&amp;$H$3),0)))</f>
        <v>4</v>
      </c>
      <c r="Y144" s="21"/>
      <c r="Z144" s="16" t="n">
        <f aca="false">IF(X144=0,"",X144-Y144)</f>
        <v>4</v>
      </c>
      <c r="AA144" s="22" t="n">
        <f aca="false">IFERROR(Y144/X144,"")</f>
        <v>0</v>
      </c>
      <c r="AB144" s="16" t="n">
        <v>0</v>
      </c>
      <c r="AC144" s="21"/>
    </row>
    <row r="145" customFormat="false" ht="15" hidden="false" customHeight="true" outlineLevel="0" collapsed="false">
      <c r="A145" s="15" t="s">
        <v>1515</v>
      </c>
      <c r="B145" s="15" t="s">
        <v>1516</v>
      </c>
      <c r="C145" s="15" t="s">
        <v>1517</v>
      </c>
      <c r="D145" s="15" t="s">
        <v>1518</v>
      </c>
      <c r="E145" s="15" t="s">
        <v>1519</v>
      </c>
      <c r="F145" s="15" t="s">
        <v>1520</v>
      </c>
      <c r="G145" s="15" t="s">
        <v>1521</v>
      </c>
      <c r="H145" s="15" t="s">
        <v>1522</v>
      </c>
      <c r="I145" s="15"/>
      <c r="J145" s="15" t="s">
        <v>1523</v>
      </c>
      <c r="K145" s="15" t="s">
        <v>735</v>
      </c>
      <c r="L145" s="15" t="s">
        <v>1524</v>
      </c>
      <c r="M145" s="15" t="s">
        <v>1525</v>
      </c>
      <c r="N145" s="15" t="s">
        <v>73</v>
      </c>
      <c r="O145" s="16" t="n">
        <v>3</v>
      </c>
      <c r="P145" s="16" t="n">
        <v>0</v>
      </c>
      <c r="Q145" s="16" t="n">
        <v>6</v>
      </c>
      <c r="R145" s="16" t="n">
        <v>0</v>
      </c>
      <c r="S145" s="16" t="n">
        <v>9</v>
      </c>
      <c r="T145" s="17" t="n">
        <f aca="false">AVERAGE(O145:Q145)</f>
        <v>3</v>
      </c>
      <c r="U145" s="18" t="str">
        <f aca="false">IF(T145&gt;=$H$3,"Eligible","Not Eligible")</f>
        <v>Not Eligible</v>
      </c>
      <c r="V145" s="19" t="n">
        <f aca="false">IF(T145&lt;$H$3,0,IFERROR(T145/SUMIF($T$5:$T$999,"&gt;="&amp;$H$3),0))</f>
        <v>0</v>
      </c>
      <c r="W145" s="15" t="str">
        <f aca="false">IF(T145=0,"Win-Back","Active")</f>
        <v>Active</v>
      </c>
      <c r="X145" s="20" t="n">
        <f aca="false">IF(T145=0,0,IF(T145&gt;=$H$3,ROUND(T145*$D$3/SUMIF($T$5:$T$999,"&gt;="&amp;$H$3),0),ROUNDUP(T145*$D$3/SUMIF($T$5:$T$999,"&gt;="&amp;$H$3),0)))</f>
        <v>4</v>
      </c>
      <c r="Y145" s="21" t="n">
        <v>1</v>
      </c>
      <c r="Z145" s="16" t="n">
        <f aca="false">IF(X145=0,"",X145-Y145)</f>
        <v>3</v>
      </c>
      <c r="AA145" s="22" t="n">
        <f aca="false">IFERROR(Y145/X145,"")</f>
        <v>0.25</v>
      </c>
      <c r="AB145" s="16" t="n">
        <v>0</v>
      </c>
      <c r="AC145" s="21"/>
    </row>
    <row r="146" customFormat="false" ht="15" hidden="false" customHeight="true" outlineLevel="0" collapsed="false">
      <c r="A146" s="15" t="s">
        <v>1526</v>
      </c>
      <c r="B146" s="15" t="s">
        <v>1527</v>
      </c>
      <c r="C146" s="15" t="s">
        <v>1528</v>
      </c>
      <c r="D146" s="15" t="s">
        <v>1529</v>
      </c>
      <c r="E146" s="15" t="s">
        <v>1530</v>
      </c>
      <c r="F146" s="15" t="s">
        <v>1531</v>
      </c>
      <c r="G146" s="15" t="s">
        <v>1532</v>
      </c>
      <c r="H146" s="15" t="s">
        <v>1533</v>
      </c>
      <c r="I146" s="15"/>
      <c r="J146" s="15" t="s">
        <v>1534</v>
      </c>
      <c r="K146" s="15" t="s">
        <v>1535</v>
      </c>
      <c r="L146" s="15" t="s">
        <v>1536</v>
      </c>
      <c r="M146" s="15" t="s">
        <v>1537</v>
      </c>
      <c r="N146" s="15" t="s">
        <v>73</v>
      </c>
      <c r="O146" s="16" t="n">
        <v>5</v>
      </c>
      <c r="P146" s="16" t="n">
        <v>3</v>
      </c>
      <c r="Q146" s="16" t="n">
        <v>1</v>
      </c>
      <c r="R146" s="16" t="n">
        <v>0</v>
      </c>
      <c r="S146" s="16" t="n">
        <v>9</v>
      </c>
      <c r="T146" s="17" t="n">
        <f aca="false">AVERAGE(O146:Q146)</f>
        <v>3</v>
      </c>
      <c r="U146" s="18" t="str">
        <f aca="false">IF(T146&gt;=$H$3,"Eligible","Not Eligible")</f>
        <v>Not Eligible</v>
      </c>
      <c r="V146" s="19" t="n">
        <f aca="false">IF(T146&lt;$H$3,0,IFERROR(T146/SUMIF($T$5:$T$999,"&gt;="&amp;$H$3),0))</f>
        <v>0</v>
      </c>
      <c r="W146" s="15" t="str">
        <f aca="false">IF(T146=0,"Win-Back","Active")</f>
        <v>Active</v>
      </c>
      <c r="X146" s="20" t="n">
        <f aca="false">IF(T146=0,0,IF(T146&gt;=$H$3,ROUND(T146*$D$3/SUMIF($T$5:$T$999,"&gt;="&amp;$H$3),0),ROUNDUP(T146*$D$3/SUMIF($T$5:$T$999,"&gt;="&amp;$H$3),0)))</f>
        <v>4</v>
      </c>
      <c r="Y146" s="21" t="n">
        <v>13</v>
      </c>
      <c r="Z146" s="16" t="n">
        <f aca="false">IF(X146=0,"",X146-Y146)</f>
        <v>-9</v>
      </c>
      <c r="AA146" s="22" t="n">
        <f aca="false">IFERROR(Y146/X146,"")</f>
        <v>3.25</v>
      </c>
      <c r="AB146" s="16" t="n">
        <v>0</v>
      </c>
      <c r="AC146" s="21"/>
    </row>
    <row r="147" customFormat="false" ht="15" hidden="false" customHeight="true" outlineLevel="0" collapsed="false">
      <c r="A147" s="15" t="s">
        <v>1538</v>
      </c>
      <c r="B147" s="15" t="s">
        <v>1539</v>
      </c>
      <c r="C147" s="15" t="s">
        <v>1540</v>
      </c>
      <c r="D147" s="15" t="s">
        <v>1541</v>
      </c>
      <c r="E147" s="15" t="s">
        <v>1542</v>
      </c>
      <c r="F147" s="15" t="s">
        <v>1543</v>
      </c>
      <c r="G147" s="15" t="s">
        <v>1544</v>
      </c>
      <c r="H147" s="15" t="s">
        <v>1545</v>
      </c>
      <c r="I147" s="15"/>
      <c r="J147" s="15" t="s">
        <v>777</v>
      </c>
      <c r="K147" s="15" t="s">
        <v>70</v>
      </c>
      <c r="L147" s="15" t="s">
        <v>1546</v>
      </c>
      <c r="M147" s="15" t="s">
        <v>1547</v>
      </c>
      <c r="N147" s="15" t="s">
        <v>73</v>
      </c>
      <c r="O147" s="16" t="n">
        <v>2</v>
      </c>
      <c r="P147" s="16" t="n">
        <v>3</v>
      </c>
      <c r="Q147" s="16" t="n">
        <v>4</v>
      </c>
      <c r="R147" s="16" t="n">
        <v>0</v>
      </c>
      <c r="S147" s="16" t="n">
        <v>9</v>
      </c>
      <c r="T147" s="17" t="n">
        <f aca="false">AVERAGE(O147:Q147)</f>
        <v>3</v>
      </c>
      <c r="U147" s="18" t="str">
        <f aca="false">IF(T147&gt;=$H$3,"Eligible","Not Eligible")</f>
        <v>Not Eligible</v>
      </c>
      <c r="V147" s="19" t="n">
        <f aca="false">IF(T147&lt;$H$3,0,IFERROR(T147/SUMIF($T$5:$T$999,"&gt;="&amp;$H$3),0))</f>
        <v>0</v>
      </c>
      <c r="W147" s="15" t="str">
        <f aca="false">IF(T147=0,"Win-Back","Active")</f>
        <v>Active</v>
      </c>
      <c r="X147" s="20" t="n">
        <f aca="false">IF(T147=0,0,IF(T147&gt;=$H$3,ROUND(T147*$D$3/SUMIF($T$5:$T$999,"&gt;="&amp;$H$3),0),ROUNDUP(T147*$D$3/SUMIF($T$5:$T$999,"&gt;="&amp;$H$3),0)))</f>
        <v>4</v>
      </c>
      <c r="Y147" s="21" t="n">
        <v>1</v>
      </c>
      <c r="Z147" s="16" t="n">
        <f aca="false">IF(X147=0,"",X147-Y147)</f>
        <v>3</v>
      </c>
      <c r="AA147" s="22" t="n">
        <f aca="false">IFERROR(Y147/X147,"")</f>
        <v>0.25</v>
      </c>
      <c r="AB147" s="16" t="n">
        <v>0</v>
      </c>
      <c r="AC147" s="21"/>
    </row>
    <row r="148" customFormat="false" ht="15" hidden="false" customHeight="true" outlineLevel="0" collapsed="false">
      <c r="A148" s="15" t="s">
        <v>1548</v>
      </c>
      <c r="B148" s="15" t="s">
        <v>1549</v>
      </c>
      <c r="C148" s="15" t="s">
        <v>1550</v>
      </c>
      <c r="D148" s="15" t="s">
        <v>1551</v>
      </c>
      <c r="E148" s="15" t="s">
        <v>1552</v>
      </c>
      <c r="F148" s="15" t="s">
        <v>1553</v>
      </c>
      <c r="G148" s="15" t="s">
        <v>1554</v>
      </c>
      <c r="H148" s="15" t="s">
        <v>1555</v>
      </c>
      <c r="I148" s="15" t="s">
        <v>968</v>
      </c>
      <c r="J148" s="15" t="s">
        <v>777</v>
      </c>
      <c r="K148" s="15" t="s">
        <v>70</v>
      </c>
      <c r="L148" s="15" t="s">
        <v>1556</v>
      </c>
      <c r="M148" s="15" t="s">
        <v>1557</v>
      </c>
      <c r="N148" s="15" t="s">
        <v>73</v>
      </c>
      <c r="O148" s="16" t="n">
        <v>1</v>
      </c>
      <c r="P148" s="16" t="n">
        <v>7</v>
      </c>
      <c r="Q148" s="16" t="n">
        <v>0</v>
      </c>
      <c r="R148" s="16" t="n">
        <v>0</v>
      </c>
      <c r="S148" s="16" t="n">
        <v>8</v>
      </c>
      <c r="T148" s="17" t="n">
        <f aca="false">AVERAGE(O148:Q148)</f>
        <v>2.66666666666667</v>
      </c>
      <c r="U148" s="18" t="str">
        <f aca="false">IF(T148&gt;=$H$3,"Eligible","Not Eligible")</f>
        <v>Not Eligible</v>
      </c>
      <c r="V148" s="19" t="n">
        <f aca="false">IF(T148&lt;$H$3,0,IFERROR(T148/SUMIF($T$5:$T$999,"&gt;="&amp;$H$3),0))</f>
        <v>0</v>
      </c>
      <c r="W148" s="15" t="str">
        <f aca="false">IF(T148=0,"Win-Back","Active")</f>
        <v>Active</v>
      </c>
      <c r="X148" s="20" t="n">
        <f aca="false">IF(T148=0,0,IF(T148&gt;=$H$3,ROUND(T148*$D$3/SUMIF($T$5:$T$999,"&gt;="&amp;$H$3),0),ROUNDUP(T148*$D$3/SUMIF($T$5:$T$999,"&gt;="&amp;$H$3),0)))</f>
        <v>4</v>
      </c>
      <c r="Y148" s="21"/>
      <c r="Z148" s="16" t="n">
        <f aca="false">IF(X148=0,"",X148-Y148)</f>
        <v>4</v>
      </c>
      <c r="AA148" s="22" t="n">
        <f aca="false">IFERROR(Y148/X148,"")</f>
        <v>0</v>
      </c>
      <c r="AB148" s="16" t="n">
        <v>0</v>
      </c>
      <c r="AC148" s="21"/>
    </row>
    <row r="149" customFormat="false" ht="15" hidden="false" customHeight="true" outlineLevel="0" collapsed="false">
      <c r="A149" s="15" t="s">
        <v>1558</v>
      </c>
      <c r="B149" s="15" t="s">
        <v>1559</v>
      </c>
      <c r="C149" s="15" t="s">
        <v>1560</v>
      </c>
      <c r="D149" s="15" t="s">
        <v>1561</v>
      </c>
      <c r="E149" s="15" t="s">
        <v>1562</v>
      </c>
      <c r="F149" s="15" t="s">
        <v>1563</v>
      </c>
      <c r="G149" s="15" t="s">
        <v>1564</v>
      </c>
      <c r="H149" s="15" t="s">
        <v>1565</v>
      </c>
      <c r="I149" s="15" t="s">
        <v>1566</v>
      </c>
      <c r="J149" s="15" t="s">
        <v>1567</v>
      </c>
      <c r="K149" s="15" t="s">
        <v>368</v>
      </c>
      <c r="L149" s="15" t="s">
        <v>1568</v>
      </c>
      <c r="M149" s="15" t="s">
        <v>1569</v>
      </c>
      <c r="N149" s="15" t="s">
        <v>73</v>
      </c>
      <c r="O149" s="16" t="n">
        <v>2</v>
      </c>
      <c r="P149" s="16" t="n">
        <v>3</v>
      </c>
      <c r="Q149" s="16" t="n">
        <v>3</v>
      </c>
      <c r="R149" s="16" t="n">
        <v>0</v>
      </c>
      <c r="S149" s="16" t="n">
        <v>8</v>
      </c>
      <c r="T149" s="17" t="n">
        <f aca="false">AVERAGE(O149:Q149)</f>
        <v>2.66666666666667</v>
      </c>
      <c r="U149" s="18" t="str">
        <f aca="false">IF(T149&gt;=$H$3,"Eligible","Not Eligible")</f>
        <v>Not Eligible</v>
      </c>
      <c r="V149" s="19" t="n">
        <f aca="false">IF(T149&lt;$H$3,0,IFERROR(T149/SUMIF($T$5:$T$999,"&gt;="&amp;$H$3),0))</f>
        <v>0</v>
      </c>
      <c r="W149" s="15" t="str">
        <f aca="false">IF(T149=0,"Win-Back","Active")</f>
        <v>Active</v>
      </c>
      <c r="X149" s="20" t="n">
        <f aca="false">IF(T149=0,0,IF(T149&gt;=$H$3,ROUND(T149*$D$3/SUMIF($T$5:$T$999,"&gt;="&amp;$H$3),0),ROUNDUP(T149*$D$3/SUMIF($T$5:$T$999,"&gt;="&amp;$H$3),0)))</f>
        <v>4</v>
      </c>
      <c r="Y149" s="21" t="n">
        <v>3</v>
      </c>
      <c r="Z149" s="16" t="n">
        <f aca="false">IF(X149=0,"",X149-Y149)</f>
        <v>1</v>
      </c>
      <c r="AA149" s="22" t="n">
        <f aca="false">IFERROR(Y149/X149,"")</f>
        <v>0.75</v>
      </c>
      <c r="AB149" s="16" t="n">
        <v>0</v>
      </c>
      <c r="AC149" s="21"/>
    </row>
    <row r="150" customFormat="false" ht="15" hidden="false" customHeight="true" outlineLevel="0" collapsed="false">
      <c r="A150" s="15" t="s">
        <v>1570</v>
      </c>
      <c r="B150" s="15" t="s">
        <v>1571</v>
      </c>
      <c r="C150" s="15" t="s">
        <v>1572</v>
      </c>
      <c r="D150" s="15" t="s">
        <v>1573</v>
      </c>
      <c r="E150" s="15" t="s">
        <v>1574</v>
      </c>
      <c r="F150" s="15" t="s">
        <v>1575</v>
      </c>
      <c r="G150" s="15" t="s">
        <v>1576</v>
      </c>
      <c r="H150" s="15" t="s">
        <v>1577</v>
      </c>
      <c r="I150" s="15"/>
      <c r="J150" s="15" t="s">
        <v>1053</v>
      </c>
      <c r="K150" s="15" t="s">
        <v>47</v>
      </c>
      <c r="L150" s="15" t="s">
        <v>1578</v>
      </c>
      <c r="M150" s="15" t="s">
        <v>1579</v>
      </c>
      <c r="N150" s="15" t="s">
        <v>73</v>
      </c>
      <c r="O150" s="16" t="n">
        <v>0</v>
      </c>
      <c r="P150" s="16" t="n">
        <v>4</v>
      </c>
      <c r="Q150" s="16" t="n">
        <v>4</v>
      </c>
      <c r="R150" s="16" t="n">
        <v>0</v>
      </c>
      <c r="S150" s="16" t="n">
        <v>8</v>
      </c>
      <c r="T150" s="17" t="n">
        <f aca="false">AVERAGE(O150:Q150)</f>
        <v>2.66666666666667</v>
      </c>
      <c r="U150" s="18" t="str">
        <f aca="false">IF(T150&gt;=$H$3,"Eligible","Not Eligible")</f>
        <v>Not Eligible</v>
      </c>
      <c r="V150" s="19" t="n">
        <f aca="false">IF(T150&lt;$H$3,0,IFERROR(T150/SUMIF($T$5:$T$999,"&gt;="&amp;$H$3),0))</f>
        <v>0</v>
      </c>
      <c r="W150" s="15" t="str">
        <f aca="false">IF(T150=0,"Win-Back","Active")</f>
        <v>Active</v>
      </c>
      <c r="X150" s="20" t="n">
        <f aca="false">IF(T150=0,0,IF(T150&gt;=$H$3,ROUND(T150*$D$3/SUMIF($T$5:$T$999,"&gt;="&amp;$H$3),0),ROUNDUP(T150*$D$3/SUMIF($T$5:$T$999,"&gt;="&amp;$H$3),0)))</f>
        <v>4</v>
      </c>
      <c r="Y150" s="21" t="n">
        <v>2</v>
      </c>
      <c r="Z150" s="16" t="n">
        <f aca="false">IF(X150=0,"",X150-Y150)</f>
        <v>2</v>
      </c>
      <c r="AA150" s="22" t="n">
        <f aca="false">IFERROR(Y150/X150,"")</f>
        <v>0.5</v>
      </c>
      <c r="AB150" s="16" t="n">
        <v>0</v>
      </c>
      <c r="AC150" s="21"/>
    </row>
    <row r="151" customFormat="false" ht="15" hidden="false" customHeight="true" outlineLevel="0" collapsed="false">
      <c r="A151" s="15" t="s">
        <v>1580</v>
      </c>
      <c r="B151" s="15" t="s">
        <v>1581</v>
      </c>
      <c r="C151" s="15" t="s">
        <v>1582</v>
      </c>
      <c r="D151" s="15" t="s">
        <v>1583</v>
      </c>
      <c r="E151" s="15" t="s">
        <v>1584</v>
      </c>
      <c r="F151" s="15" t="s">
        <v>1585</v>
      </c>
      <c r="G151" s="15" t="s">
        <v>1586</v>
      </c>
      <c r="H151" s="15" t="s">
        <v>1587</v>
      </c>
      <c r="I151" s="15"/>
      <c r="J151" s="15" t="s">
        <v>1588</v>
      </c>
      <c r="K151" s="15" t="s">
        <v>47</v>
      </c>
      <c r="L151" s="15" t="s">
        <v>1589</v>
      </c>
      <c r="M151" s="15" t="s">
        <v>1590</v>
      </c>
      <c r="N151" s="15" t="s">
        <v>73</v>
      </c>
      <c r="O151" s="16" t="n">
        <v>2</v>
      </c>
      <c r="P151" s="16" t="n">
        <v>2</v>
      </c>
      <c r="Q151" s="16" t="n">
        <v>4</v>
      </c>
      <c r="R151" s="16" t="n">
        <v>0</v>
      </c>
      <c r="S151" s="16" t="n">
        <v>8</v>
      </c>
      <c r="T151" s="17" t="n">
        <f aca="false">AVERAGE(O151:Q151)</f>
        <v>2.66666666666667</v>
      </c>
      <c r="U151" s="18" t="str">
        <f aca="false">IF(T151&gt;=$H$3,"Eligible","Not Eligible")</f>
        <v>Not Eligible</v>
      </c>
      <c r="V151" s="19" t="n">
        <f aca="false">IF(T151&lt;$H$3,0,IFERROR(T151/SUMIF($T$5:$T$999,"&gt;="&amp;$H$3),0))</f>
        <v>0</v>
      </c>
      <c r="W151" s="15" t="str">
        <f aca="false">IF(T151=0,"Win-Back","Active")</f>
        <v>Active</v>
      </c>
      <c r="X151" s="20" t="n">
        <f aca="false">IF(T151=0,0,IF(T151&gt;=$H$3,ROUND(T151*$D$3/SUMIF($T$5:$T$999,"&gt;="&amp;$H$3),0),ROUNDUP(T151*$D$3/SUMIF($T$5:$T$999,"&gt;="&amp;$H$3),0)))</f>
        <v>4</v>
      </c>
      <c r="Y151" s="21"/>
      <c r="Z151" s="16" t="n">
        <f aca="false">IF(X151=0,"",X151-Y151)</f>
        <v>4</v>
      </c>
      <c r="AA151" s="22" t="n">
        <f aca="false">IFERROR(Y151/X151,"")</f>
        <v>0</v>
      </c>
      <c r="AB151" s="16" t="n">
        <v>0</v>
      </c>
      <c r="AC151" s="21"/>
    </row>
    <row r="152" customFormat="false" ht="15" hidden="false" customHeight="true" outlineLevel="0" collapsed="false">
      <c r="A152" s="15" t="s">
        <v>1591</v>
      </c>
      <c r="B152" s="15" t="s">
        <v>1592</v>
      </c>
      <c r="C152" s="15" t="s">
        <v>1593</v>
      </c>
      <c r="D152" s="15" t="s">
        <v>1594</v>
      </c>
      <c r="E152" s="15" t="s">
        <v>1595</v>
      </c>
      <c r="F152" s="15" t="s">
        <v>1596</v>
      </c>
      <c r="G152" s="15" t="s">
        <v>1597</v>
      </c>
      <c r="H152" s="15" t="s">
        <v>1598</v>
      </c>
      <c r="I152" s="15"/>
      <c r="J152" s="15" t="s">
        <v>1599</v>
      </c>
      <c r="K152" s="15" t="s">
        <v>735</v>
      </c>
      <c r="L152" s="15" t="s">
        <v>1600</v>
      </c>
      <c r="M152" s="15" t="s">
        <v>1601</v>
      </c>
      <c r="N152" s="15" t="s">
        <v>73</v>
      </c>
      <c r="O152" s="16" t="n">
        <v>3</v>
      </c>
      <c r="P152" s="16" t="n">
        <v>1</v>
      </c>
      <c r="Q152" s="16" t="n">
        <v>4</v>
      </c>
      <c r="R152" s="16" t="n">
        <v>0</v>
      </c>
      <c r="S152" s="16" t="n">
        <v>8</v>
      </c>
      <c r="T152" s="17" t="n">
        <f aca="false">AVERAGE(O152:Q152)</f>
        <v>2.66666666666667</v>
      </c>
      <c r="U152" s="18" t="str">
        <f aca="false">IF(T152&gt;=$H$3,"Eligible","Not Eligible")</f>
        <v>Not Eligible</v>
      </c>
      <c r="V152" s="19" t="n">
        <f aca="false">IF(T152&lt;$H$3,0,IFERROR(T152/SUMIF($T$5:$T$999,"&gt;="&amp;$H$3),0))</f>
        <v>0</v>
      </c>
      <c r="W152" s="15" t="str">
        <f aca="false">IF(T152=0,"Win-Back","Active")</f>
        <v>Active</v>
      </c>
      <c r="X152" s="20" t="n">
        <f aca="false">IF(T152=0,0,IF(T152&gt;=$H$3,ROUND(T152*$D$3/SUMIF($T$5:$T$999,"&gt;="&amp;$H$3),0),ROUNDUP(T152*$D$3/SUMIF($T$5:$T$999,"&gt;="&amp;$H$3),0)))</f>
        <v>4</v>
      </c>
      <c r="Y152" s="21" t="n">
        <v>2</v>
      </c>
      <c r="Z152" s="16" t="n">
        <f aca="false">IF(X152=0,"",X152-Y152)</f>
        <v>2</v>
      </c>
      <c r="AA152" s="22" t="n">
        <f aca="false">IFERROR(Y152/X152,"")</f>
        <v>0.5</v>
      </c>
      <c r="AB152" s="16" t="n">
        <v>0</v>
      </c>
      <c r="AC152" s="21"/>
    </row>
    <row r="153" customFormat="false" ht="15" hidden="false" customHeight="true" outlineLevel="0" collapsed="false">
      <c r="A153" s="15" t="s">
        <v>1602</v>
      </c>
      <c r="B153" s="15" t="s">
        <v>1603</v>
      </c>
      <c r="C153" s="15" t="s">
        <v>1604</v>
      </c>
      <c r="D153" s="15" t="s">
        <v>1605</v>
      </c>
      <c r="E153" s="15" t="s">
        <v>1606</v>
      </c>
      <c r="F153" s="15" t="s">
        <v>1607</v>
      </c>
      <c r="G153" s="15" t="s">
        <v>1608</v>
      </c>
      <c r="H153" s="15" t="s">
        <v>1609</v>
      </c>
      <c r="I153" s="15" t="s">
        <v>1610</v>
      </c>
      <c r="J153" s="15" t="s">
        <v>1611</v>
      </c>
      <c r="K153" s="15" t="s">
        <v>735</v>
      </c>
      <c r="L153" s="15" t="s">
        <v>1612</v>
      </c>
      <c r="M153" s="15" t="s">
        <v>1613</v>
      </c>
      <c r="N153" s="15" t="s">
        <v>73</v>
      </c>
      <c r="O153" s="16" t="n">
        <v>3</v>
      </c>
      <c r="P153" s="16" t="n">
        <v>4</v>
      </c>
      <c r="Q153" s="16" t="n">
        <v>1</v>
      </c>
      <c r="R153" s="16" t="n">
        <v>0</v>
      </c>
      <c r="S153" s="16" t="n">
        <v>8</v>
      </c>
      <c r="T153" s="17" t="n">
        <f aca="false">AVERAGE(O153:Q153)</f>
        <v>2.66666666666667</v>
      </c>
      <c r="U153" s="18" t="str">
        <f aca="false">IF(T153&gt;=$H$3,"Eligible","Not Eligible")</f>
        <v>Not Eligible</v>
      </c>
      <c r="V153" s="19" t="n">
        <f aca="false">IF(T153&lt;$H$3,0,IFERROR(T153/SUMIF($T$5:$T$999,"&gt;="&amp;$H$3),0))</f>
        <v>0</v>
      </c>
      <c r="W153" s="15" t="str">
        <f aca="false">IF(T153=0,"Win-Back","Active")</f>
        <v>Active</v>
      </c>
      <c r="X153" s="20" t="n">
        <f aca="false">IF(T153=0,0,IF(T153&gt;=$H$3,ROUND(T153*$D$3/SUMIF($T$5:$T$999,"&gt;="&amp;$H$3),0),ROUNDUP(T153*$D$3/SUMIF($T$5:$T$999,"&gt;="&amp;$H$3),0)))</f>
        <v>4</v>
      </c>
      <c r="Y153" s="21" t="n">
        <v>2</v>
      </c>
      <c r="Z153" s="16" t="n">
        <f aca="false">IF(X153=0,"",X153-Y153)</f>
        <v>2</v>
      </c>
      <c r="AA153" s="22" t="n">
        <f aca="false">IFERROR(Y153/X153,"")</f>
        <v>0.5</v>
      </c>
      <c r="AB153" s="16" t="n">
        <v>0</v>
      </c>
      <c r="AC153" s="21"/>
    </row>
    <row r="154" customFormat="false" ht="15" hidden="false" customHeight="true" outlineLevel="0" collapsed="false">
      <c r="A154" s="15" t="s">
        <v>1614</v>
      </c>
      <c r="B154" s="15" t="s">
        <v>1615</v>
      </c>
      <c r="C154" s="15" t="s">
        <v>1616</v>
      </c>
      <c r="D154" s="15" t="s">
        <v>1617</v>
      </c>
      <c r="E154" s="15" t="s">
        <v>1618</v>
      </c>
      <c r="F154" s="15" t="s">
        <v>1619</v>
      </c>
      <c r="G154" s="15" t="s">
        <v>1620</v>
      </c>
      <c r="H154" s="15" t="s">
        <v>1621</v>
      </c>
      <c r="I154" s="15" t="s">
        <v>1622</v>
      </c>
      <c r="J154" s="15" t="s">
        <v>1623</v>
      </c>
      <c r="K154" s="15" t="s">
        <v>615</v>
      </c>
      <c r="L154" s="15" t="s">
        <v>1624</v>
      </c>
      <c r="M154" s="15" t="s">
        <v>1625</v>
      </c>
      <c r="N154" s="15" t="s">
        <v>73</v>
      </c>
      <c r="O154" s="16" t="n">
        <v>2</v>
      </c>
      <c r="P154" s="16" t="n">
        <v>1</v>
      </c>
      <c r="Q154" s="16" t="n">
        <v>5</v>
      </c>
      <c r="R154" s="16" t="n">
        <v>0</v>
      </c>
      <c r="S154" s="16" t="n">
        <v>8</v>
      </c>
      <c r="T154" s="17" t="n">
        <f aca="false">AVERAGE(O154:Q154)</f>
        <v>2.66666666666667</v>
      </c>
      <c r="U154" s="18" t="str">
        <f aca="false">IF(T154&gt;=$H$3,"Eligible","Not Eligible")</f>
        <v>Not Eligible</v>
      </c>
      <c r="V154" s="19" t="n">
        <f aca="false">IF(T154&lt;$H$3,0,IFERROR(T154/SUMIF($T$5:$T$999,"&gt;="&amp;$H$3),0))</f>
        <v>0</v>
      </c>
      <c r="W154" s="15" t="str">
        <f aca="false">IF(T154=0,"Win-Back","Active")</f>
        <v>Active</v>
      </c>
      <c r="X154" s="20" t="n">
        <f aca="false">IF(T154=0,0,IF(T154&gt;=$H$3,ROUND(T154*$D$3/SUMIF($T$5:$T$999,"&gt;="&amp;$H$3),0),ROUNDUP(T154*$D$3/SUMIF($T$5:$T$999,"&gt;="&amp;$H$3),0)))</f>
        <v>4</v>
      </c>
      <c r="Y154" s="21" t="n">
        <v>1</v>
      </c>
      <c r="Z154" s="16" t="n">
        <f aca="false">IF(X154=0,"",X154-Y154)</f>
        <v>3</v>
      </c>
      <c r="AA154" s="22" t="n">
        <f aca="false">IFERROR(Y154/X154,"")</f>
        <v>0.25</v>
      </c>
      <c r="AB154" s="16" t="n">
        <v>0</v>
      </c>
      <c r="AC154" s="21"/>
    </row>
    <row r="155" customFormat="false" ht="15" hidden="false" customHeight="true" outlineLevel="0" collapsed="false">
      <c r="A155" s="15" t="s">
        <v>1626</v>
      </c>
      <c r="B155" s="15" t="s">
        <v>1627</v>
      </c>
      <c r="C155" s="15" t="s">
        <v>1628</v>
      </c>
      <c r="D155" s="15" t="s">
        <v>1629</v>
      </c>
      <c r="E155" s="15" t="s">
        <v>1630</v>
      </c>
      <c r="F155" s="15" t="s">
        <v>1631</v>
      </c>
      <c r="G155" s="15" t="s">
        <v>1632</v>
      </c>
      <c r="H155" s="15" t="s">
        <v>1633</v>
      </c>
      <c r="I155" s="15"/>
      <c r="J155" s="15" t="s">
        <v>777</v>
      </c>
      <c r="K155" s="15" t="s">
        <v>70</v>
      </c>
      <c r="L155" s="15" t="s">
        <v>1634</v>
      </c>
      <c r="M155" s="15" t="s">
        <v>1635</v>
      </c>
      <c r="N155" s="15" t="s">
        <v>73</v>
      </c>
      <c r="O155" s="16" t="n">
        <v>3</v>
      </c>
      <c r="P155" s="16" t="n">
        <v>4</v>
      </c>
      <c r="Q155" s="16" t="n">
        <v>1</v>
      </c>
      <c r="R155" s="16" t="n">
        <v>0</v>
      </c>
      <c r="S155" s="16" t="n">
        <v>8</v>
      </c>
      <c r="T155" s="17" t="n">
        <f aca="false">AVERAGE(O155:Q155)</f>
        <v>2.66666666666667</v>
      </c>
      <c r="U155" s="18" t="str">
        <f aca="false">IF(T155&gt;=$H$3,"Eligible","Not Eligible")</f>
        <v>Not Eligible</v>
      </c>
      <c r="V155" s="19" t="n">
        <f aca="false">IF(T155&lt;$H$3,0,IFERROR(T155/SUMIF($T$5:$T$999,"&gt;="&amp;$H$3),0))</f>
        <v>0</v>
      </c>
      <c r="W155" s="15" t="str">
        <f aca="false">IF(T155=0,"Win-Back","Active")</f>
        <v>Active</v>
      </c>
      <c r="X155" s="20" t="n">
        <f aca="false">IF(T155=0,0,IF(T155&gt;=$H$3,ROUND(T155*$D$3/SUMIF($T$5:$T$999,"&gt;="&amp;$H$3),0),ROUNDUP(T155*$D$3/SUMIF($T$5:$T$999,"&gt;="&amp;$H$3),0)))</f>
        <v>4</v>
      </c>
      <c r="Y155" s="21" t="n">
        <v>1</v>
      </c>
      <c r="Z155" s="16" t="n">
        <f aca="false">IF(X155=0,"",X155-Y155)</f>
        <v>3</v>
      </c>
      <c r="AA155" s="22" t="n">
        <f aca="false">IFERROR(Y155/X155,"")</f>
        <v>0.25</v>
      </c>
      <c r="AB155" s="16" t="n">
        <v>0</v>
      </c>
      <c r="AC155" s="21"/>
    </row>
    <row r="156" customFormat="false" ht="15" hidden="false" customHeight="true" outlineLevel="0" collapsed="false">
      <c r="A156" s="15" t="s">
        <v>1636</v>
      </c>
      <c r="B156" s="15" t="s">
        <v>1637</v>
      </c>
      <c r="C156" s="15" t="s">
        <v>1638</v>
      </c>
      <c r="D156" s="15" t="s">
        <v>1639</v>
      </c>
      <c r="E156" s="15" t="s">
        <v>1640</v>
      </c>
      <c r="F156" s="15" t="s">
        <v>1641</v>
      </c>
      <c r="G156" s="15" t="s">
        <v>1642</v>
      </c>
      <c r="H156" s="15" t="s">
        <v>1643</v>
      </c>
      <c r="I156" s="15"/>
      <c r="J156" s="15" t="s">
        <v>1644</v>
      </c>
      <c r="K156" s="15" t="s">
        <v>70</v>
      </c>
      <c r="L156" s="15" t="s">
        <v>1645</v>
      </c>
      <c r="M156" s="15" t="s">
        <v>1646</v>
      </c>
      <c r="N156" s="15" t="s">
        <v>73</v>
      </c>
      <c r="O156" s="16" t="n">
        <v>0</v>
      </c>
      <c r="P156" s="16" t="n">
        <v>1</v>
      </c>
      <c r="Q156" s="16" t="n">
        <v>7</v>
      </c>
      <c r="R156" s="16" t="n">
        <v>0</v>
      </c>
      <c r="S156" s="16" t="n">
        <v>8</v>
      </c>
      <c r="T156" s="17" t="n">
        <f aca="false">AVERAGE(O156:Q156)</f>
        <v>2.66666666666667</v>
      </c>
      <c r="U156" s="18" t="str">
        <f aca="false">IF(T156&gt;=$H$3,"Eligible","Not Eligible")</f>
        <v>Not Eligible</v>
      </c>
      <c r="V156" s="19" t="n">
        <f aca="false">IF(T156&lt;$H$3,0,IFERROR(T156/SUMIF($T$5:$T$999,"&gt;="&amp;$H$3),0))</f>
        <v>0</v>
      </c>
      <c r="W156" s="15" t="str">
        <f aca="false">IF(T156=0,"Win-Back","Active")</f>
        <v>Active</v>
      </c>
      <c r="X156" s="20" t="n">
        <f aca="false">IF(T156=0,0,IF(T156&gt;=$H$3,ROUND(T156*$D$3/SUMIF($T$5:$T$999,"&gt;="&amp;$H$3),0),ROUNDUP(T156*$D$3/SUMIF($T$5:$T$999,"&gt;="&amp;$H$3),0)))</f>
        <v>4</v>
      </c>
      <c r="Y156" s="21" t="n">
        <v>15</v>
      </c>
      <c r="Z156" s="16" t="n">
        <f aca="false">IF(X156=0,"",X156-Y156)</f>
        <v>-11</v>
      </c>
      <c r="AA156" s="22" t="n">
        <f aca="false">IFERROR(Y156/X156,"")</f>
        <v>3.75</v>
      </c>
      <c r="AB156" s="16" t="n">
        <v>0</v>
      </c>
      <c r="AC156" s="21"/>
    </row>
    <row r="157" customFormat="false" ht="15" hidden="false" customHeight="true" outlineLevel="0" collapsed="false">
      <c r="A157" s="15" t="s">
        <v>1647</v>
      </c>
      <c r="B157" s="15" t="s">
        <v>1648</v>
      </c>
      <c r="C157" s="15" t="s">
        <v>1649</v>
      </c>
      <c r="D157" s="15" t="s">
        <v>1650</v>
      </c>
      <c r="E157" s="15" t="s">
        <v>1651</v>
      </c>
      <c r="F157" s="15" t="s">
        <v>1652</v>
      </c>
      <c r="G157" s="15" t="s">
        <v>1653</v>
      </c>
      <c r="H157" s="15" t="s">
        <v>1654</v>
      </c>
      <c r="I157" s="15"/>
      <c r="J157" s="15" t="s">
        <v>1655</v>
      </c>
      <c r="K157" s="15" t="s">
        <v>70</v>
      </c>
      <c r="L157" s="15" t="s">
        <v>1656</v>
      </c>
      <c r="M157" s="15" t="s">
        <v>1657</v>
      </c>
      <c r="N157" s="15" t="s">
        <v>73</v>
      </c>
      <c r="O157" s="16" t="n">
        <v>1</v>
      </c>
      <c r="P157" s="16" t="n">
        <v>1</v>
      </c>
      <c r="Q157" s="16" t="n">
        <v>6</v>
      </c>
      <c r="R157" s="16" t="n">
        <v>0</v>
      </c>
      <c r="S157" s="16" t="n">
        <v>8</v>
      </c>
      <c r="T157" s="17" t="n">
        <f aca="false">AVERAGE(O157:Q157)</f>
        <v>2.66666666666667</v>
      </c>
      <c r="U157" s="18" t="str">
        <f aca="false">IF(T157&gt;=$H$3,"Eligible","Not Eligible")</f>
        <v>Not Eligible</v>
      </c>
      <c r="V157" s="19" t="n">
        <f aca="false">IF(T157&lt;$H$3,0,IFERROR(T157/SUMIF($T$5:$T$999,"&gt;="&amp;$H$3),0))</f>
        <v>0</v>
      </c>
      <c r="W157" s="15" t="str">
        <f aca="false">IF(T157=0,"Win-Back","Active")</f>
        <v>Active</v>
      </c>
      <c r="X157" s="20" t="n">
        <f aca="false">IF(T157=0,0,IF(T157&gt;=$H$3,ROUND(T157*$D$3/SUMIF($T$5:$T$999,"&gt;="&amp;$H$3),0),ROUNDUP(T157*$D$3/SUMIF($T$5:$T$999,"&gt;="&amp;$H$3),0)))</f>
        <v>4</v>
      </c>
      <c r="Y157" s="21" t="n">
        <v>2</v>
      </c>
      <c r="Z157" s="16" t="n">
        <f aca="false">IF(X157=0,"",X157-Y157)</f>
        <v>2</v>
      </c>
      <c r="AA157" s="22" t="n">
        <f aca="false">IFERROR(Y157/X157,"")</f>
        <v>0.5</v>
      </c>
      <c r="AB157" s="16" t="n">
        <v>0</v>
      </c>
      <c r="AC157" s="21"/>
    </row>
    <row r="158" customFormat="false" ht="15" hidden="false" customHeight="true" outlineLevel="0" collapsed="false">
      <c r="A158" s="15" t="s">
        <v>1658</v>
      </c>
      <c r="B158" s="15" t="s">
        <v>1659</v>
      </c>
      <c r="C158" s="15" t="s">
        <v>1660</v>
      </c>
      <c r="D158" s="15" t="s">
        <v>1661</v>
      </c>
      <c r="E158" s="15" t="s">
        <v>1662</v>
      </c>
      <c r="F158" s="15" t="s">
        <v>1663</v>
      </c>
      <c r="G158" s="15" t="s">
        <v>1664</v>
      </c>
      <c r="H158" s="15" t="s">
        <v>1665</v>
      </c>
      <c r="I158" s="15" t="s">
        <v>1666</v>
      </c>
      <c r="J158" s="15" t="s">
        <v>367</v>
      </c>
      <c r="K158" s="15" t="s">
        <v>368</v>
      </c>
      <c r="L158" s="15" t="s">
        <v>369</v>
      </c>
      <c r="M158" s="15" t="s">
        <v>1667</v>
      </c>
      <c r="N158" s="15" t="s">
        <v>73</v>
      </c>
      <c r="O158" s="16" t="n">
        <v>1</v>
      </c>
      <c r="P158" s="16" t="n">
        <v>2</v>
      </c>
      <c r="Q158" s="16" t="n">
        <v>5</v>
      </c>
      <c r="R158" s="16" t="n">
        <v>0</v>
      </c>
      <c r="S158" s="16" t="n">
        <v>8</v>
      </c>
      <c r="T158" s="17" t="n">
        <f aca="false">AVERAGE(O158:Q158)</f>
        <v>2.66666666666667</v>
      </c>
      <c r="U158" s="18" t="str">
        <f aca="false">IF(T158&gt;=$H$3,"Eligible","Not Eligible")</f>
        <v>Not Eligible</v>
      </c>
      <c r="V158" s="19" t="n">
        <f aca="false">IF(T158&lt;$H$3,0,IFERROR(T158/SUMIF($T$5:$T$999,"&gt;="&amp;$H$3),0))</f>
        <v>0</v>
      </c>
      <c r="W158" s="15" t="str">
        <f aca="false">IF(T158=0,"Win-Back","Active")</f>
        <v>Active</v>
      </c>
      <c r="X158" s="20" t="n">
        <f aca="false">IF(T158=0,0,IF(T158&gt;=$H$3,ROUND(T158*$D$3/SUMIF($T$5:$T$999,"&gt;="&amp;$H$3),0),ROUNDUP(T158*$D$3/SUMIF($T$5:$T$999,"&gt;="&amp;$H$3),0)))</f>
        <v>4</v>
      </c>
      <c r="Y158" s="21" t="n">
        <v>1</v>
      </c>
      <c r="Z158" s="16" t="n">
        <f aca="false">IF(X158=0,"",X158-Y158)</f>
        <v>3</v>
      </c>
      <c r="AA158" s="22" t="n">
        <f aca="false">IFERROR(Y158/X158,"")</f>
        <v>0.25</v>
      </c>
      <c r="AB158" s="16" t="n">
        <v>0</v>
      </c>
      <c r="AC158" s="21"/>
    </row>
    <row r="159" customFormat="false" ht="15" hidden="false" customHeight="true" outlineLevel="0" collapsed="false">
      <c r="A159" s="15" t="s">
        <v>1668</v>
      </c>
      <c r="B159" s="15" t="s">
        <v>1669</v>
      </c>
      <c r="C159" s="15" t="s">
        <v>1670</v>
      </c>
      <c r="D159" s="15" t="s">
        <v>1671</v>
      </c>
      <c r="E159" s="15" t="s">
        <v>1672</v>
      </c>
      <c r="F159" s="15" t="s">
        <v>1673</v>
      </c>
      <c r="G159" s="15" t="s">
        <v>1674</v>
      </c>
      <c r="H159" s="15" t="s">
        <v>1675</v>
      </c>
      <c r="I159" s="15" t="s">
        <v>1676</v>
      </c>
      <c r="J159" s="15" t="s">
        <v>1677</v>
      </c>
      <c r="K159" s="15" t="s">
        <v>298</v>
      </c>
      <c r="L159" s="15" t="s">
        <v>1678</v>
      </c>
      <c r="M159" s="15" t="s">
        <v>1679</v>
      </c>
      <c r="N159" s="15" t="s">
        <v>73</v>
      </c>
      <c r="O159" s="16" t="n">
        <v>3</v>
      </c>
      <c r="P159" s="16" t="n">
        <v>3</v>
      </c>
      <c r="Q159" s="16" t="n">
        <v>1</v>
      </c>
      <c r="R159" s="16" t="n">
        <v>1</v>
      </c>
      <c r="S159" s="16" t="n">
        <v>8</v>
      </c>
      <c r="T159" s="17" t="n">
        <f aca="false">AVERAGE(O159:Q159)</f>
        <v>2.33333333333333</v>
      </c>
      <c r="U159" s="18" t="str">
        <f aca="false">IF(T159&gt;=$H$3,"Eligible","Not Eligible")</f>
        <v>Not Eligible</v>
      </c>
      <c r="V159" s="19" t="n">
        <f aca="false">IF(T159&lt;$H$3,0,IFERROR(T159/SUMIF($T$5:$T$999,"&gt;="&amp;$H$3),0))</f>
        <v>0</v>
      </c>
      <c r="W159" s="15" t="str">
        <f aca="false">IF(T159=0,"Win-Back","Active")</f>
        <v>Active</v>
      </c>
      <c r="X159" s="20" t="n">
        <f aca="false">IF(T159=0,0,IF(T159&gt;=$H$3,ROUND(T159*$D$3/SUMIF($T$5:$T$999,"&gt;="&amp;$H$3),0),ROUNDUP(T159*$D$3/SUMIF($T$5:$T$999,"&gt;="&amp;$H$3),0)))</f>
        <v>3</v>
      </c>
      <c r="Y159" s="21" t="n">
        <v>1</v>
      </c>
      <c r="Z159" s="16" t="n">
        <f aca="false">IF(X159=0,"",X159-Y159)</f>
        <v>2</v>
      </c>
      <c r="AA159" s="22" t="n">
        <f aca="false">IFERROR(Y159/X159,"")</f>
        <v>0.333333333333333</v>
      </c>
      <c r="AB159" s="16" t="n">
        <v>0</v>
      </c>
      <c r="AC159" s="21"/>
    </row>
    <row r="160" customFormat="false" ht="15" hidden="false" customHeight="true" outlineLevel="0" collapsed="false">
      <c r="A160" s="15" t="s">
        <v>1680</v>
      </c>
      <c r="B160" s="15" t="s">
        <v>1681</v>
      </c>
      <c r="C160" s="15" t="s">
        <v>1682</v>
      </c>
      <c r="D160" s="15" t="s">
        <v>1683</v>
      </c>
      <c r="E160" s="15" t="s">
        <v>1684</v>
      </c>
      <c r="F160" s="15" t="s">
        <v>1685</v>
      </c>
      <c r="G160" s="15" t="s">
        <v>1686</v>
      </c>
      <c r="H160" s="15" t="s">
        <v>1687</v>
      </c>
      <c r="I160" s="15" t="s">
        <v>1265</v>
      </c>
      <c r="J160" s="15" t="s">
        <v>1688</v>
      </c>
      <c r="K160" s="15" t="s">
        <v>864</v>
      </c>
      <c r="L160" s="15" t="s">
        <v>1689</v>
      </c>
      <c r="M160" s="15" t="s">
        <v>1690</v>
      </c>
      <c r="N160" s="15" t="s">
        <v>73</v>
      </c>
      <c r="O160" s="16" t="n">
        <v>0</v>
      </c>
      <c r="P160" s="16" t="n">
        <v>2</v>
      </c>
      <c r="Q160" s="16" t="n">
        <v>5</v>
      </c>
      <c r="R160" s="16" t="n">
        <v>0</v>
      </c>
      <c r="S160" s="16" t="n">
        <v>7</v>
      </c>
      <c r="T160" s="17" t="n">
        <f aca="false">AVERAGE(O160:Q160)</f>
        <v>2.33333333333333</v>
      </c>
      <c r="U160" s="18" t="str">
        <f aca="false">IF(T160&gt;=$H$3,"Eligible","Not Eligible")</f>
        <v>Not Eligible</v>
      </c>
      <c r="V160" s="19" t="n">
        <f aca="false">IF(T160&lt;$H$3,0,IFERROR(T160/SUMIF($T$5:$T$999,"&gt;="&amp;$H$3),0))</f>
        <v>0</v>
      </c>
      <c r="W160" s="15" t="str">
        <f aca="false">IF(T160=0,"Win-Back","Active")</f>
        <v>Active</v>
      </c>
      <c r="X160" s="20" t="n">
        <f aca="false">IF(T160=0,0,IF(T160&gt;=$H$3,ROUND(T160*$D$3/SUMIF($T$5:$T$999,"&gt;="&amp;$H$3),0),ROUNDUP(T160*$D$3/SUMIF($T$5:$T$999,"&gt;="&amp;$H$3),0)))</f>
        <v>3</v>
      </c>
      <c r="Y160" s="21" t="n">
        <v>1</v>
      </c>
      <c r="Z160" s="16" t="n">
        <f aca="false">IF(X160=0,"",X160-Y160)</f>
        <v>2</v>
      </c>
      <c r="AA160" s="22" t="n">
        <f aca="false">IFERROR(Y160/X160,"")</f>
        <v>0.333333333333333</v>
      </c>
      <c r="AB160" s="16" t="n">
        <v>0</v>
      </c>
      <c r="AC160" s="21"/>
    </row>
    <row r="161" customFormat="false" ht="15" hidden="false" customHeight="true" outlineLevel="0" collapsed="false">
      <c r="A161" s="15" t="s">
        <v>1691</v>
      </c>
      <c r="B161" s="15" t="s">
        <v>1692</v>
      </c>
      <c r="C161" s="15" t="s">
        <v>1693</v>
      </c>
      <c r="D161" s="15" t="s">
        <v>1694</v>
      </c>
      <c r="E161" s="15" t="s">
        <v>1695</v>
      </c>
      <c r="F161" s="15" t="s">
        <v>1696</v>
      </c>
      <c r="G161" s="15" t="s">
        <v>1697</v>
      </c>
      <c r="H161" s="15" t="s">
        <v>1698</v>
      </c>
      <c r="I161" s="15"/>
      <c r="J161" s="15" t="s">
        <v>828</v>
      </c>
      <c r="K161" s="15" t="s">
        <v>368</v>
      </c>
      <c r="L161" s="15" t="s">
        <v>1699</v>
      </c>
      <c r="M161" s="15" t="s">
        <v>1700</v>
      </c>
      <c r="N161" s="15" t="s">
        <v>73</v>
      </c>
      <c r="O161" s="16" t="n">
        <v>7</v>
      </c>
      <c r="P161" s="16" t="n">
        <v>0</v>
      </c>
      <c r="Q161" s="16" t="n">
        <v>0</v>
      </c>
      <c r="R161" s="16" t="n">
        <v>0</v>
      </c>
      <c r="S161" s="16" t="n">
        <v>7</v>
      </c>
      <c r="T161" s="17" t="n">
        <f aca="false">AVERAGE(O161:Q161)</f>
        <v>2.33333333333333</v>
      </c>
      <c r="U161" s="18" t="str">
        <f aca="false">IF(T161&gt;=$H$3,"Eligible","Not Eligible")</f>
        <v>Not Eligible</v>
      </c>
      <c r="V161" s="19" t="n">
        <f aca="false">IF(T161&lt;$H$3,0,IFERROR(T161/SUMIF($T$5:$T$999,"&gt;="&amp;$H$3),0))</f>
        <v>0</v>
      </c>
      <c r="W161" s="15" t="str">
        <f aca="false">IF(T161=0,"Win-Back","Active")</f>
        <v>Active</v>
      </c>
      <c r="X161" s="20" t="n">
        <f aca="false">IF(T161=0,0,IF(T161&gt;=$H$3,ROUND(T161*$D$3/SUMIF($T$5:$T$999,"&gt;="&amp;$H$3),0),ROUNDUP(T161*$D$3/SUMIF($T$5:$T$999,"&gt;="&amp;$H$3),0)))</f>
        <v>3</v>
      </c>
      <c r="Y161" s="21" t="n">
        <v>4</v>
      </c>
      <c r="Z161" s="16" t="n">
        <f aca="false">IF(X161=0,"",X161-Y161)</f>
        <v>-1</v>
      </c>
      <c r="AA161" s="22" t="n">
        <f aca="false">IFERROR(Y161/X161,"")</f>
        <v>1.33333333333333</v>
      </c>
      <c r="AB161" s="16" t="n">
        <v>0</v>
      </c>
      <c r="AC161" s="21"/>
    </row>
    <row r="162" customFormat="false" ht="15" hidden="false" customHeight="true" outlineLevel="0" collapsed="false">
      <c r="A162" s="15" t="s">
        <v>1701</v>
      </c>
      <c r="B162" s="15" t="s">
        <v>1702</v>
      </c>
      <c r="C162" s="15" t="s">
        <v>1703</v>
      </c>
      <c r="D162" s="15" t="s">
        <v>1704</v>
      </c>
      <c r="E162" s="15" t="s">
        <v>1705</v>
      </c>
      <c r="F162" s="15" t="s">
        <v>1706</v>
      </c>
      <c r="G162" s="15" t="s">
        <v>1707</v>
      </c>
      <c r="H162" s="15" t="s">
        <v>1708</v>
      </c>
      <c r="I162" s="15"/>
      <c r="J162" s="15" t="s">
        <v>1709</v>
      </c>
      <c r="K162" s="15" t="s">
        <v>368</v>
      </c>
      <c r="L162" s="15" t="s">
        <v>1710</v>
      </c>
      <c r="M162" s="15" t="s">
        <v>1711</v>
      </c>
      <c r="N162" s="15" t="s">
        <v>73</v>
      </c>
      <c r="O162" s="16" t="n">
        <v>2</v>
      </c>
      <c r="P162" s="16" t="n">
        <v>4</v>
      </c>
      <c r="Q162" s="16" t="n">
        <v>1</v>
      </c>
      <c r="R162" s="16" t="n">
        <v>0</v>
      </c>
      <c r="S162" s="16" t="n">
        <v>7</v>
      </c>
      <c r="T162" s="17" t="n">
        <f aca="false">AVERAGE(O162:Q162)</f>
        <v>2.33333333333333</v>
      </c>
      <c r="U162" s="18" t="str">
        <f aca="false">IF(T162&gt;=$H$3,"Eligible","Not Eligible")</f>
        <v>Not Eligible</v>
      </c>
      <c r="V162" s="19" t="n">
        <f aca="false">IF(T162&lt;$H$3,0,IFERROR(T162/SUMIF($T$5:$T$999,"&gt;="&amp;$H$3),0))</f>
        <v>0</v>
      </c>
      <c r="W162" s="15" t="str">
        <f aca="false">IF(T162=0,"Win-Back","Active")</f>
        <v>Active</v>
      </c>
      <c r="X162" s="20" t="n">
        <f aca="false">IF(T162=0,0,IF(T162&gt;=$H$3,ROUND(T162*$D$3/SUMIF($T$5:$T$999,"&gt;="&amp;$H$3),0),ROUNDUP(T162*$D$3/SUMIF($T$5:$T$999,"&gt;="&amp;$H$3),0)))</f>
        <v>3</v>
      </c>
      <c r="Y162" s="21" t="n">
        <v>5</v>
      </c>
      <c r="Z162" s="16" t="n">
        <f aca="false">IF(X162=0,"",X162-Y162)</f>
        <v>-2</v>
      </c>
      <c r="AA162" s="22" t="n">
        <f aca="false">IFERROR(Y162/X162,"")</f>
        <v>1.66666666666667</v>
      </c>
      <c r="AB162" s="16" t="n">
        <v>0</v>
      </c>
      <c r="AC162" s="21"/>
    </row>
    <row r="163" customFormat="false" ht="15" hidden="false" customHeight="true" outlineLevel="0" collapsed="false">
      <c r="A163" s="15" t="s">
        <v>1712</v>
      </c>
      <c r="B163" s="15" t="s">
        <v>1713</v>
      </c>
      <c r="C163" s="15" t="s">
        <v>1714</v>
      </c>
      <c r="D163" s="15" t="s">
        <v>1715</v>
      </c>
      <c r="E163" s="15" t="s">
        <v>1716</v>
      </c>
      <c r="F163" s="15" t="s">
        <v>1717</v>
      </c>
      <c r="G163" s="15" t="s">
        <v>1718</v>
      </c>
      <c r="H163" s="15" t="s">
        <v>1719</v>
      </c>
      <c r="I163" s="15"/>
      <c r="J163" s="15" t="s">
        <v>379</v>
      </c>
      <c r="K163" s="15" t="s">
        <v>368</v>
      </c>
      <c r="L163" s="15" t="s">
        <v>1720</v>
      </c>
      <c r="M163" s="15" t="s">
        <v>1721</v>
      </c>
      <c r="N163" s="15" t="s">
        <v>73</v>
      </c>
      <c r="O163" s="16" t="n">
        <v>2</v>
      </c>
      <c r="P163" s="16" t="n">
        <v>3</v>
      </c>
      <c r="Q163" s="16" t="n">
        <v>2</v>
      </c>
      <c r="R163" s="16" t="n">
        <v>0</v>
      </c>
      <c r="S163" s="16" t="n">
        <v>7</v>
      </c>
      <c r="T163" s="17" t="n">
        <f aca="false">AVERAGE(O163:Q163)</f>
        <v>2.33333333333333</v>
      </c>
      <c r="U163" s="18" t="str">
        <f aca="false">IF(T163&gt;=$H$3,"Eligible","Not Eligible")</f>
        <v>Not Eligible</v>
      </c>
      <c r="V163" s="19" t="n">
        <f aca="false">IF(T163&lt;$H$3,0,IFERROR(T163/SUMIF($T$5:$T$999,"&gt;="&amp;$H$3),0))</f>
        <v>0</v>
      </c>
      <c r="W163" s="15" t="str">
        <f aca="false">IF(T163=0,"Win-Back","Active")</f>
        <v>Active</v>
      </c>
      <c r="X163" s="20" t="n">
        <f aca="false">IF(T163=0,0,IF(T163&gt;=$H$3,ROUND(T163*$D$3/SUMIF($T$5:$T$999,"&gt;="&amp;$H$3),0),ROUNDUP(T163*$D$3/SUMIF($T$5:$T$999,"&gt;="&amp;$H$3),0)))</f>
        <v>3</v>
      </c>
      <c r="Y163" s="21" t="n">
        <v>1</v>
      </c>
      <c r="Z163" s="16" t="n">
        <f aca="false">IF(X163=0,"",X163-Y163)</f>
        <v>2</v>
      </c>
      <c r="AA163" s="22" t="n">
        <f aca="false">IFERROR(Y163/X163,"")</f>
        <v>0.333333333333333</v>
      </c>
      <c r="AB163" s="16" t="n">
        <v>0</v>
      </c>
      <c r="AC163" s="21"/>
    </row>
    <row r="164" customFormat="false" ht="15" hidden="false" customHeight="true" outlineLevel="0" collapsed="false">
      <c r="A164" s="15" t="s">
        <v>1722</v>
      </c>
      <c r="B164" s="15" t="s">
        <v>1723</v>
      </c>
      <c r="C164" s="15" t="s">
        <v>1724</v>
      </c>
      <c r="D164" s="15" t="s">
        <v>1725</v>
      </c>
      <c r="E164" s="15" t="s">
        <v>1726</v>
      </c>
      <c r="F164" s="15" t="s">
        <v>1727</v>
      </c>
      <c r="G164" s="15" t="s">
        <v>1728</v>
      </c>
      <c r="H164" s="15" t="s">
        <v>1729</v>
      </c>
      <c r="I164" s="15"/>
      <c r="J164" s="15" t="s">
        <v>1053</v>
      </c>
      <c r="K164" s="15" t="s">
        <v>47</v>
      </c>
      <c r="L164" s="15" t="s">
        <v>1439</v>
      </c>
      <c r="M164" s="15" t="s">
        <v>1730</v>
      </c>
      <c r="N164" s="15" t="s">
        <v>73</v>
      </c>
      <c r="O164" s="16" t="n">
        <v>1</v>
      </c>
      <c r="P164" s="16" t="n">
        <v>6</v>
      </c>
      <c r="Q164" s="16" t="n">
        <v>0</v>
      </c>
      <c r="R164" s="16" t="n">
        <v>0</v>
      </c>
      <c r="S164" s="16" t="n">
        <v>7</v>
      </c>
      <c r="T164" s="17" t="n">
        <f aca="false">AVERAGE(O164:Q164)</f>
        <v>2.33333333333333</v>
      </c>
      <c r="U164" s="18" t="str">
        <f aca="false">IF(T164&gt;=$H$3,"Eligible","Not Eligible")</f>
        <v>Not Eligible</v>
      </c>
      <c r="V164" s="19" t="n">
        <f aca="false">IF(T164&lt;$H$3,0,IFERROR(T164/SUMIF($T$5:$T$999,"&gt;="&amp;$H$3),0))</f>
        <v>0</v>
      </c>
      <c r="W164" s="15" t="str">
        <f aca="false">IF(T164=0,"Win-Back","Active")</f>
        <v>Active</v>
      </c>
      <c r="X164" s="20" t="n">
        <f aca="false">IF(T164=0,0,IF(T164&gt;=$H$3,ROUND(T164*$D$3/SUMIF($T$5:$T$999,"&gt;="&amp;$H$3),0),ROUNDUP(T164*$D$3/SUMIF($T$5:$T$999,"&gt;="&amp;$H$3),0)))</f>
        <v>3</v>
      </c>
      <c r="Y164" s="21" t="n">
        <v>3</v>
      </c>
      <c r="Z164" s="16" t="n">
        <f aca="false">IF(X164=0,"",X164-Y164)</f>
        <v>0</v>
      </c>
      <c r="AA164" s="22" t="n">
        <f aca="false">IFERROR(Y164/X164,"")</f>
        <v>1</v>
      </c>
      <c r="AB164" s="16" t="n">
        <v>0</v>
      </c>
      <c r="AC164" s="21"/>
    </row>
    <row r="165" customFormat="false" ht="15" hidden="false" customHeight="true" outlineLevel="0" collapsed="false">
      <c r="A165" s="15" t="s">
        <v>1731</v>
      </c>
      <c r="B165" s="15" t="s">
        <v>1732</v>
      </c>
      <c r="C165" s="15" t="s">
        <v>1733</v>
      </c>
      <c r="D165" s="15" t="s">
        <v>1734</v>
      </c>
      <c r="E165" s="15" t="s">
        <v>1735</v>
      </c>
      <c r="F165" s="15" t="s">
        <v>1736</v>
      </c>
      <c r="G165" s="15" t="s">
        <v>1737</v>
      </c>
      <c r="H165" s="15" t="s">
        <v>1738</v>
      </c>
      <c r="I165" s="15" t="s">
        <v>1739</v>
      </c>
      <c r="J165" s="15" t="s">
        <v>1740</v>
      </c>
      <c r="K165" s="15" t="s">
        <v>70</v>
      </c>
      <c r="L165" s="15" t="s">
        <v>1741</v>
      </c>
      <c r="M165" s="15" t="s">
        <v>1742</v>
      </c>
      <c r="N165" s="15" t="s">
        <v>73</v>
      </c>
      <c r="O165" s="16" t="n">
        <v>4</v>
      </c>
      <c r="P165" s="16" t="n">
        <v>3</v>
      </c>
      <c r="Q165" s="16" t="n">
        <v>0</v>
      </c>
      <c r="R165" s="16" t="n">
        <v>0</v>
      </c>
      <c r="S165" s="16" t="n">
        <v>7</v>
      </c>
      <c r="T165" s="17" t="n">
        <f aca="false">AVERAGE(O165:Q165)</f>
        <v>2.33333333333333</v>
      </c>
      <c r="U165" s="18" t="str">
        <f aca="false">IF(T165&gt;=$H$3,"Eligible","Not Eligible")</f>
        <v>Not Eligible</v>
      </c>
      <c r="V165" s="19" t="n">
        <f aca="false">IF(T165&lt;$H$3,0,IFERROR(T165/SUMIF($T$5:$T$999,"&gt;="&amp;$H$3),0))</f>
        <v>0</v>
      </c>
      <c r="W165" s="15" t="str">
        <f aca="false">IF(T165=0,"Win-Back","Active")</f>
        <v>Active</v>
      </c>
      <c r="X165" s="20" t="n">
        <f aca="false">IF(T165=0,0,IF(T165&gt;=$H$3,ROUND(T165*$D$3/SUMIF($T$5:$T$999,"&gt;="&amp;$H$3),0),ROUNDUP(T165*$D$3/SUMIF($T$5:$T$999,"&gt;="&amp;$H$3),0)))</f>
        <v>3</v>
      </c>
      <c r="Y165" s="21" t="n">
        <v>3</v>
      </c>
      <c r="Z165" s="16" t="n">
        <f aca="false">IF(X165=0,"",X165-Y165)</f>
        <v>0</v>
      </c>
      <c r="AA165" s="22" t="n">
        <f aca="false">IFERROR(Y165/X165,"")</f>
        <v>1</v>
      </c>
      <c r="AB165" s="16" t="n">
        <v>5</v>
      </c>
      <c r="AC165" s="21" t="n">
        <v>5</v>
      </c>
    </row>
    <row r="166" customFormat="false" ht="15" hidden="false" customHeight="true" outlineLevel="0" collapsed="false">
      <c r="A166" s="15" t="s">
        <v>1743</v>
      </c>
      <c r="B166" s="15" t="s">
        <v>1744</v>
      </c>
      <c r="C166" s="15" t="s">
        <v>1745</v>
      </c>
      <c r="D166" s="15" t="s">
        <v>1746</v>
      </c>
      <c r="E166" s="15" t="s">
        <v>1747</v>
      </c>
      <c r="F166" s="15" t="s">
        <v>1748</v>
      </c>
      <c r="G166" s="15" t="s">
        <v>1749</v>
      </c>
      <c r="H166" s="15" t="s">
        <v>1750</v>
      </c>
      <c r="I166" s="15"/>
      <c r="J166" s="15" t="s">
        <v>689</v>
      </c>
      <c r="K166" s="15" t="s">
        <v>47</v>
      </c>
      <c r="L166" s="15" t="s">
        <v>1751</v>
      </c>
      <c r="M166" s="15" t="s">
        <v>1752</v>
      </c>
      <c r="N166" s="15" t="s">
        <v>73</v>
      </c>
      <c r="O166" s="16" t="n">
        <v>2</v>
      </c>
      <c r="P166" s="16" t="n">
        <v>3</v>
      </c>
      <c r="Q166" s="16" t="n">
        <v>2</v>
      </c>
      <c r="R166" s="16" t="n">
        <v>0</v>
      </c>
      <c r="S166" s="16" t="n">
        <v>7</v>
      </c>
      <c r="T166" s="17" t="n">
        <f aca="false">AVERAGE(O166:Q166)</f>
        <v>2.33333333333333</v>
      </c>
      <c r="U166" s="18" t="str">
        <f aca="false">IF(T166&gt;=$H$3,"Eligible","Not Eligible")</f>
        <v>Not Eligible</v>
      </c>
      <c r="V166" s="19" t="n">
        <f aca="false">IF(T166&lt;$H$3,0,IFERROR(T166/SUMIF($T$5:$T$999,"&gt;="&amp;$H$3),0))</f>
        <v>0</v>
      </c>
      <c r="W166" s="15" t="str">
        <f aca="false">IF(T166=0,"Win-Back","Active")</f>
        <v>Active</v>
      </c>
      <c r="X166" s="20" t="n">
        <f aca="false">IF(T166=0,0,IF(T166&gt;=$H$3,ROUND(T166*$D$3/SUMIF($T$5:$T$999,"&gt;="&amp;$H$3),0),ROUNDUP(T166*$D$3/SUMIF($T$5:$T$999,"&gt;="&amp;$H$3),0)))</f>
        <v>3</v>
      </c>
      <c r="Y166" s="21" t="n">
        <v>7</v>
      </c>
      <c r="Z166" s="16" t="n">
        <f aca="false">IF(X166=0,"",X166-Y166)</f>
        <v>-4</v>
      </c>
      <c r="AA166" s="22" t="n">
        <f aca="false">IFERROR(Y166/X166,"")</f>
        <v>2.33333333333333</v>
      </c>
      <c r="AB166" s="16" t="n">
        <v>0</v>
      </c>
      <c r="AC166" s="21"/>
    </row>
    <row r="167" customFormat="false" ht="15" hidden="false" customHeight="true" outlineLevel="0" collapsed="false">
      <c r="A167" s="15" t="s">
        <v>1753</v>
      </c>
      <c r="B167" s="15" t="s">
        <v>1754</v>
      </c>
      <c r="C167" s="15" t="s">
        <v>1755</v>
      </c>
      <c r="D167" s="15" t="s">
        <v>1756</v>
      </c>
      <c r="E167" s="15" t="s">
        <v>1757</v>
      </c>
      <c r="F167" s="15" t="s">
        <v>1758</v>
      </c>
      <c r="G167" s="15" t="s">
        <v>1759</v>
      </c>
      <c r="H167" s="15" t="s">
        <v>1760</v>
      </c>
      <c r="I167" s="15"/>
      <c r="J167" s="15" t="s">
        <v>777</v>
      </c>
      <c r="K167" s="15" t="s">
        <v>70</v>
      </c>
      <c r="L167" s="15" t="s">
        <v>1761</v>
      </c>
      <c r="M167" s="15" t="s">
        <v>1762</v>
      </c>
      <c r="N167" s="15" t="s">
        <v>73</v>
      </c>
      <c r="O167" s="16" t="n">
        <v>2</v>
      </c>
      <c r="P167" s="16" t="n">
        <v>1</v>
      </c>
      <c r="Q167" s="16" t="n">
        <v>4</v>
      </c>
      <c r="R167" s="16" t="n">
        <v>0</v>
      </c>
      <c r="S167" s="16" t="n">
        <v>7</v>
      </c>
      <c r="T167" s="17" t="n">
        <f aca="false">AVERAGE(O167:Q167)</f>
        <v>2.33333333333333</v>
      </c>
      <c r="U167" s="18" t="str">
        <f aca="false">IF(T167&gt;=$H$3,"Eligible","Not Eligible")</f>
        <v>Not Eligible</v>
      </c>
      <c r="V167" s="19" t="n">
        <f aca="false">IF(T167&lt;$H$3,0,IFERROR(T167/SUMIF($T$5:$T$999,"&gt;="&amp;$H$3),0))</f>
        <v>0</v>
      </c>
      <c r="W167" s="15" t="str">
        <f aca="false">IF(T167=0,"Win-Back","Active")</f>
        <v>Active</v>
      </c>
      <c r="X167" s="20" t="n">
        <f aca="false">IF(T167=0,0,IF(T167&gt;=$H$3,ROUND(T167*$D$3/SUMIF($T$5:$T$999,"&gt;="&amp;$H$3),0),ROUNDUP(T167*$D$3/SUMIF($T$5:$T$999,"&gt;="&amp;$H$3),0)))</f>
        <v>3</v>
      </c>
      <c r="Y167" s="21" t="n">
        <v>1</v>
      </c>
      <c r="Z167" s="16" t="n">
        <f aca="false">IF(X167=0,"",X167-Y167)</f>
        <v>2</v>
      </c>
      <c r="AA167" s="22" t="n">
        <f aca="false">IFERROR(Y167/X167,"")</f>
        <v>0.333333333333333</v>
      </c>
      <c r="AB167" s="16" t="n">
        <v>0</v>
      </c>
      <c r="AC167" s="21"/>
    </row>
    <row r="168" customFormat="false" ht="15" hidden="false" customHeight="true" outlineLevel="0" collapsed="false">
      <c r="A168" s="15" t="s">
        <v>1763</v>
      </c>
      <c r="B168" s="15" t="s">
        <v>1764</v>
      </c>
      <c r="C168" s="15" t="s">
        <v>1765</v>
      </c>
      <c r="D168" s="15" t="s">
        <v>1766</v>
      </c>
      <c r="E168" s="15" t="s">
        <v>1767</v>
      </c>
      <c r="F168" s="15" t="s">
        <v>1768</v>
      </c>
      <c r="G168" s="15" t="s">
        <v>1769</v>
      </c>
      <c r="H168" s="15" t="s">
        <v>1770</v>
      </c>
      <c r="I168" s="15"/>
      <c r="J168" s="15" t="s">
        <v>1771</v>
      </c>
      <c r="K168" s="15" t="s">
        <v>864</v>
      </c>
      <c r="L168" s="15" t="s">
        <v>1772</v>
      </c>
      <c r="M168" s="15" t="s">
        <v>1773</v>
      </c>
      <c r="N168" s="15" t="s">
        <v>73</v>
      </c>
      <c r="O168" s="16" t="n">
        <v>1</v>
      </c>
      <c r="P168" s="16" t="n">
        <v>5</v>
      </c>
      <c r="Q168" s="16" t="n">
        <v>1</v>
      </c>
      <c r="R168" s="16" t="n">
        <v>0</v>
      </c>
      <c r="S168" s="16" t="n">
        <v>7</v>
      </c>
      <c r="T168" s="17" t="n">
        <f aca="false">AVERAGE(O168:Q168)</f>
        <v>2.33333333333333</v>
      </c>
      <c r="U168" s="18" t="str">
        <f aca="false">IF(T168&gt;=$H$3,"Eligible","Not Eligible")</f>
        <v>Not Eligible</v>
      </c>
      <c r="V168" s="19" t="n">
        <f aca="false">IF(T168&lt;$H$3,0,IFERROR(T168/SUMIF($T$5:$T$999,"&gt;="&amp;$H$3),0))</f>
        <v>0</v>
      </c>
      <c r="W168" s="15" t="str">
        <f aca="false">IF(T168=0,"Win-Back","Active")</f>
        <v>Active</v>
      </c>
      <c r="X168" s="20" t="n">
        <f aca="false">IF(T168=0,0,IF(T168&gt;=$H$3,ROUND(T168*$D$3/SUMIF($T$5:$T$999,"&gt;="&amp;$H$3),0),ROUNDUP(T168*$D$3/SUMIF($T$5:$T$999,"&gt;="&amp;$H$3),0)))</f>
        <v>3</v>
      </c>
      <c r="Y168" s="21" t="n">
        <v>2</v>
      </c>
      <c r="Z168" s="16" t="n">
        <f aca="false">IF(X168=0,"",X168-Y168)</f>
        <v>1</v>
      </c>
      <c r="AA168" s="22" t="n">
        <f aca="false">IFERROR(Y168/X168,"")</f>
        <v>0.666666666666667</v>
      </c>
      <c r="AB168" s="16" t="n">
        <v>0</v>
      </c>
      <c r="AC168" s="21"/>
    </row>
    <row r="169" customFormat="false" ht="15" hidden="false" customHeight="true" outlineLevel="0" collapsed="false">
      <c r="A169" s="15" t="s">
        <v>1774</v>
      </c>
      <c r="B169" s="15" t="s">
        <v>1775</v>
      </c>
      <c r="C169" s="15" t="s">
        <v>1776</v>
      </c>
      <c r="D169" s="15" t="s">
        <v>1777</v>
      </c>
      <c r="E169" s="15" t="s">
        <v>1778</v>
      </c>
      <c r="F169" s="15" t="s">
        <v>1779</v>
      </c>
      <c r="G169" s="15" t="s">
        <v>1780</v>
      </c>
      <c r="H169" s="15" t="s">
        <v>1781</v>
      </c>
      <c r="I169" s="15" t="s">
        <v>1782</v>
      </c>
      <c r="J169" s="15" t="s">
        <v>1783</v>
      </c>
      <c r="K169" s="15" t="s">
        <v>1255</v>
      </c>
      <c r="L169" s="15" t="s">
        <v>1784</v>
      </c>
      <c r="M169" s="15" t="s">
        <v>1785</v>
      </c>
      <c r="N169" s="15" t="s">
        <v>73</v>
      </c>
      <c r="O169" s="16" t="n">
        <v>1</v>
      </c>
      <c r="P169" s="16" t="n">
        <v>3</v>
      </c>
      <c r="Q169" s="16" t="n">
        <v>3</v>
      </c>
      <c r="R169" s="16" t="n">
        <v>0</v>
      </c>
      <c r="S169" s="16" t="n">
        <v>7</v>
      </c>
      <c r="T169" s="17" t="n">
        <f aca="false">AVERAGE(O169:Q169)</f>
        <v>2.33333333333333</v>
      </c>
      <c r="U169" s="18" t="str">
        <f aca="false">IF(T169&gt;=$H$3,"Eligible","Not Eligible")</f>
        <v>Not Eligible</v>
      </c>
      <c r="V169" s="19" t="n">
        <f aca="false">IF(T169&lt;$H$3,0,IFERROR(T169/SUMIF($T$5:$T$999,"&gt;="&amp;$H$3),0))</f>
        <v>0</v>
      </c>
      <c r="W169" s="15" t="str">
        <f aca="false">IF(T169=0,"Win-Back","Active")</f>
        <v>Active</v>
      </c>
      <c r="X169" s="20" t="n">
        <f aca="false">IF(T169=0,0,IF(T169&gt;=$H$3,ROUND(T169*$D$3/SUMIF($T$5:$T$999,"&gt;="&amp;$H$3),0),ROUNDUP(T169*$D$3/SUMIF($T$5:$T$999,"&gt;="&amp;$H$3),0)))</f>
        <v>3</v>
      </c>
      <c r="Y169" s="21" t="n">
        <v>2</v>
      </c>
      <c r="Z169" s="16" t="n">
        <f aca="false">IF(X169=0,"",X169-Y169)</f>
        <v>1</v>
      </c>
      <c r="AA169" s="22" t="n">
        <f aca="false">IFERROR(Y169/X169,"")</f>
        <v>0.666666666666667</v>
      </c>
      <c r="AB169" s="16" t="n">
        <v>0</v>
      </c>
      <c r="AC169" s="21"/>
    </row>
    <row r="170" customFormat="false" ht="15" hidden="false" customHeight="true" outlineLevel="0" collapsed="false">
      <c r="A170" s="15" t="s">
        <v>1786</v>
      </c>
      <c r="B170" s="15" t="s">
        <v>1787</v>
      </c>
      <c r="C170" s="15" t="s">
        <v>1788</v>
      </c>
      <c r="D170" s="15" t="s">
        <v>1789</v>
      </c>
      <c r="E170" s="15" t="s">
        <v>1790</v>
      </c>
      <c r="F170" s="15" t="s">
        <v>1791</v>
      </c>
      <c r="G170" s="15" t="s">
        <v>1792</v>
      </c>
      <c r="H170" s="15" t="s">
        <v>1793</v>
      </c>
      <c r="I170" s="15"/>
      <c r="J170" s="15" t="s">
        <v>1794</v>
      </c>
      <c r="K170" s="15" t="s">
        <v>47</v>
      </c>
      <c r="L170" s="15" t="s">
        <v>1795</v>
      </c>
      <c r="M170" s="15" t="s">
        <v>1796</v>
      </c>
      <c r="N170" s="15" t="s">
        <v>73</v>
      </c>
      <c r="O170" s="16" t="n">
        <v>2</v>
      </c>
      <c r="P170" s="16" t="n">
        <v>2</v>
      </c>
      <c r="Q170" s="16" t="n">
        <v>2</v>
      </c>
      <c r="R170" s="16" t="n">
        <v>5</v>
      </c>
      <c r="S170" s="16" t="n">
        <v>11</v>
      </c>
      <c r="T170" s="17" t="n">
        <f aca="false">AVERAGE(O170:Q170)</f>
        <v>2</v>
      </c>
      <c r="U170" s="18" t="str">
        <f aca="false">IF(T170&gt;=$H$3,"Eligible","Not Eligible")</f>
        <v>Not Eligible</v>
      </c>
      <c r="V170" s="19" t="n">
        <f aca="false">IF(T170&lt;$H$3,0,IFERROR(T170/SUMIF($T$5:$T$999,"&gt;="&amp;$H$3),0))</f>
        <v>0</v>
      </c>
      <c r="W170" s="15" t="str">
        <f aca="false">IF(T170=0,"Win-Back","Active")</f>
        <v>Active</v>
      </c>
      <c r="X170" s="20" t="n">
        <f aca="false">IF(T170=0,0,IF(T170&gt;=$H$3,ROUND(T170*$D$3/SUMIF($T$5:$T$999,"&gt;="&amp;$H$3),0),ROUNDUP(T170*$D$3/SUMIF($T$5:$T$999,"&gt;="&amp;$H$3),0)))</f>
        <v>3</v>
      </c>
      <c r="Y170" s="21" t="n">
        <v>5</v>
      </c>
      <c r="Z170" s="16" t="n">
        <f aca="false">IF(X170=0,"",X170-Y170)</f>
        <v>-2</v>
      </c>
      <c r="AA170" s="22" t="n">
        <f aca="false">IFERROR(Y170/X170,"")</f>
        <v>1.66666666666667</v>
      </c>
      <c r="AB170" s="16" t="n">
        <v>0</v>
      </c>
      <c r="AC170" s="21"/>
    </row>
    <row r="171" customFormat="false" ht="15" hidden="false" customHeight="true" outlineLevel="0" collapsed="false">
      <c r="A171" s="15" t="s">
        <v>1797</v>
      </c>
      <c r="B171" s="15" t="s">
        <v>1798</v>
      </c>
      <c r="C171" s="15" t="s">
        <v>1799</v>
      </c>
      <c r="D171" s="15" t="s">
        <v>1800</v>
      </c>
      <c r="E171" s="15" t="s">
        <v>1801</v>
      </c>
      <c r="F171" s="15" t="s">
        <v>1802</v>
      </c>
      <c r="G171" s="15" t="s">
        <v>1803</v>
      </c>
      <c r="H171" s="15" t="s">
        <v>1804</v>
      </c>
      <c r="I171" s="15" t="s">
        <v>1805</v>
      </c>
      <c r="J171" s="15" t="s">
        <v>1806</v>
      </c>
      <c r="K171" s="15" t="s">
        <v>368</v>
      </c>
      <c r="L171" s="15" t="s">
        <v>1807</v>
      </c>
      <c r="M171" s="15" t="s">
        <v>1808</v>
      </c>
      <c r="N171" s="15" t="s">
        <v>73</v>
      </c>
      <c r="O171" s="16" t="n">
        <v>0</v>
      </c>
      <c r="P171" s="16" t="n">
        <v>0</v>
      </c>
      <c r="Q171" s="16" t="n">
        <v>6</v>
      </c>
      <c r="R171" s="16" t="n">
        <v>2</v>
      </c>
      <c r="S171" s="16" t="n">
        <v>8</v>
      </c>
      <c r="T171" s="17" t="n">
        <f aca="false">AVERAGE(O171:Q171)</f>
        <v>2</v>
      </c>
      <c r="U171" s="18" t="str">
        <f aca="false">IF(T171&gt;=$H$3,"Eligible","Not Eligible")</f>
        <v>Not Eligible</v>
      </c>
      <c r="V171" s="19" t="n">
        <f aca="false">IF(T171&lt;$H$3,0,IFERROR(T171/SUMIF($T$5:$T$999,"&gt;="&amp;$H$3),0))</f>
        <v>0</v>
      </c>
      <c r="W171" s="15" t="str">
        <f aca="false">IF(T171=0,"Win-Back","Active")</f>
        <v>Active</v>
      </c>
      <c r="X171" s="20" t="n">
        <f aca="false">IF(T171=0,0,IF(T171&gt;=$H$3,ROUND(T171*$D$3/SUMIF($T$5:$T$999,"&gt;="&amp;$H$3),0),ROUNDUP(T171*$D$3/SUMIF($T$5:$T$999,"&gt;="&amp;$H$3),0)))</f>
        <v>3</v>
      </c>
      <c r="Y171" s="21"/>
      <c r="Z171" s="16" t="n">
        <f aca="false">IF(X171=0,"",X171-Y171)</f>
        <v>3</v>
      </c>
      <c r="AA171" s="22" t="n">
        <f aca="false">IFERROR(Y171/X171,"")</f>
        <v>0</v>
      </c>
      <c r="AB171" s="16" t="n">
        <v>0</v>
      </c>
      <c r="AC171" s="21"/>
    </row>
    <row r="172" customFormat="false" ht="15" hidden="false" customHeight="true" outlineLevel="0" collapsed="false">
      <c r="A172" s="15" t="s">
        <v>1809</v>
      </c>
      <c r="B172" s="15" t="s">
        <v>1810</v>
      </c>
      <c r="C172" s="15" t="s">
        <v>1811</v>
      </c>
      <c r="D172" s="15" t="s">
        <v>1812</v>
      </c>
      <c r="E172" s="15" t="s">
        <v>1813</v>
      </c>
      <c r="F172" s="15" t="s">
        <v>1814</v>
      </c>
      <c r="G172" s="15" t="s">
        <v>1815</v>
      </c>
      <c r="H172" s="15" t="s">
        <v>1816</v>
      </c>
      <c r="I172" s="15"/>
      <c r="J172" s="15" t="s">
        <v>1817</v>
      </c>
      <c r="K172" s="15" t="s">
        <v>368</v>
      </c>
      <c r="L172" s="15" t="s">
        <v>1818</v>
      </c>
      <c r="M172" s="15" t="s">
        <v>1819</v>
      </c>
      <c r="N172" s="15" t="s">
        <v>73</v>
      </c>
      <c r="O172" s="16" t="n">
        <v>2</v>
      </c>
      <c r="P172" s="16" t="n">
        <v>2</v>
      </c>
      <c r="Q172" s="16" t="n">
        <v>2</v>
      </c>
      <c r="R172" s="16" t="n">
        <v>1</v>
      </c>
      <c r="S172" s="16" t="n">
        <v>7</v>
      </c>
      <c r="T172" s="17" t="n">
        <f aca="false">AVERAGE(O172:Q172)</f>
        <v>2</v>
      </c>
      <c r="U172" s="18" t="str">
        <f aca="false">IF(T172&gt;=$H$3,"Eligible","Not Eligible")</f>
        <v>Not Eligible</v>
      </c>
      <c r="V172" s="19" t="n">
        <f aca="false">IF(T172&lt;$H$3,0,IFERROR(T172/SUMIF($T$5:$T$999,"&gt;="&amp;$H$3),0))</f>
        <v>0</v>
      </c>
      <c r="W172" s="15" t="str">
        <f aca="false">IF(T172=0,"Win-Back","Active")</f>
        <v>Active</v>
      </c>
      <c r="X172" s="20" t="n">
        <f aca="false">IF(T172=0,0,IF(T172&gt;=$H$3,ROUND(T172*$D$3/SUMIF($T$5:$T$999,"&gt;="&amp;$H$3),0),ROUNDUP(T172*$D$3/SUMIF($T$5:$T$999,"&gt;="&amp;$H$3),0)))</f>
        <v>3</v>
      </c>
      <c r="Y172" s="21" t="n">
        <v>1</v>
      </c>
      <c r="Z172" s="16" t="n">
        <f aca="false">IF(X172=0,"",X172-Y172)</f>
        <v>2</v>
      </c>
      <c r="AA172" s="22" t="n">
        <f aca="false">IFERROR(Y172/X172,"")</f>
        <v>0.333333333333333</v>
      </c>
      <c r="AB172" s="16" t="n">
        <v>0</v>
      </c>
      <c r="AC172" s="21"/>
    </row>
    <row r="173" customFormat="false" ht="15" hidden="false" customHeight="true" outlineLevel="0" collapsed="false">
      <c r="A173" s="15" t="s">
        <v>1820</v>
      </c>
      <c r="B173" s="15" t="s">
        <v>1821</v>
      </c>
      <c r="C173" s="15" t="s">
        <v>1822</v>
      </c>
      <c r="D173" s="15" t="s">
        <v>1823</v>
      </c>
      <c r="E173" s="15" t="s">
        <v>1824</v>
      </c>
      <c r="F173" s="15" t="s">
        <v>1825</v>
      </c>
      <c r="G173" s="15" t="s">
        <v>1826</v>
      </c>
      <c r="H173" s="15" t="s">
        <v>1827</v>
      </c>
      <c r="I173" s="15"/>
      <c r="J173" s="15" t="s">
        <v>677</v>
      </c>
      <c r="K173" s="15" t="s">
        <v>678</v>
      </c>
      <c r="L173" s="15" t="s">
        <v>1828</v>
      </c>
      <c r="M173" s="15" t="s">
        <v>1829</v>
      </c>
      <c r="N173" s="15" t="s">
        <v>73</v>
      </c>
      <c r="O173" s="16" t="n">
        <v>1</v>
      </c>
      <c r="P173" s="16" t="n">
        <v>3</v>
      </c>
      <c r="Q173" s="16" t="n">
        <v>2</v>
      </c>
      <c r="R173" s="16" t="n">
        <v>1</v>
      </c>
      <c r="S173" s="16" t="n">
        <v>7</v>
      </c>
      <c r="T173" s="17" t="n">
        <f aca="false">AVERAGE(O173:Q173)</f>
        <v>2</v>
      </c>
      <c r="U173" s="18" t="str">
        <f aca="false">IF(T173&gt;=$H$3,"Eligible","Not Eligible")</f>
        <v>Not Eligible</v>
      </c>
      <c r="V173" s="19" t="n">
        <f aca="false">IF(T173&lt;$H$3,0,IFERROR(T173/SUMIF($T$5:$T$999,"&gt;="&amp;$H$3),0))</f>
        <v>0</v>
      </c>
      <c r="W173" s="15" t="str">
        <f aca="false">IF(T173=0,"Win-Back","Active")</f>
        <v>Active</v>
      </c>
      <c r="X173" s="20" t="n">
        <f aca="false">IF(T173=0,0,IF(T173&gt;=$H$3,ROUND(T173*$D$3/SUMIF($T$5:$T$999,"&gt;="&amp;$H$3),0),ROUNDUP(T173*$D$3/SUMIF($T$5:$T$999,"&gt;="&amp;$H$3),0)))</f>
        <v>3</v>
      </c>
      <c r="Y173" s="21" t="n">
        <v>1</v>
      </c>
      <c r="Z173" s="16" t="n">
        <f aca="false">IF(X173=0,"",X173-Y173)</f>
        <v>2</v>
      </c>
      <c r="AA173" s="22" t="n">
        <f aca="false">IFERROR(Y173/X173,"")</f>
        <v>0.333333333333333</v>
      </c>
      <c r="AB173" s="16" t="n">
        <v>0</v>
      </c>
      <c r="AC173" s="21"/>
    </row>
    <row r="174" customFormat="false" ht="15" hidden="false" customHeight="true" outlineLevel="0" collapsed="false">
      <c r="A174" s="15" t="s">
        <v>1830</v>
      </c>
      <c r="B174" s="15" t="s">
        <v>1831</v>
      </c>
      <c r="C174" s="15" t="s">
        <v>1832</v>
      </c>
      <c r="D174" s="15" t="s">
        <v>1833</v>
      </c>
      <c r="E174" s="15" t="s">
        <v>1834</v>
      </c>
      <c r="F174" s="15" t="s">
        <v>1835</v>
      </c>
      <c r="G174" s="15" t="s">
        <v>1836</v>
      </c>
      <c r="H174" s="15" t="s">
        <v>1837</v>
      </c>
      <c r="I174" s="15"/>
      <c r="J174" s="15" t="s">
        <v>677</v>
      </c>
      <c r="K174" s="15" t="s">
        <v>678</v>
      </c>
      <c r="L174" s="15" t="s">
        <v>1838</v>
      </c>
      <c r="M174" s="15" t="s">
        <v>1839</v>
      </c>
      <c r="N174" s="15" t="s">
        <v>73</v>
      </c>
      <c r="O174" s="16" t="n">
        <v>3</v>
      </c>
      <c r="P174" s="16" t="n">
        <v>2</v>
      </c>
      <c r="Q174" s="16" t="n">
        <v>1</v>
      </c>
      <c r="R174" s="16" t="n">
        <v>1</v>
      </c>
      <c r="S174" s="16" t="n">
        <v>7</v>
      </c>
      <c r="T174" s="17" t="n">
        <f aca="false">AVERAGE(O174:Q174)</f>
        <v>2</v>
      </c>
      <c r="U174" s="18" t="str">
        <f aca="false">IF(T174&gt;=$H$3,"Eligible","Not Eligible")</f>
        <v>Not Eligible</v>
      </c>
      <c r="V174" s="19" t="n">
        <f aca="false">IF(T174&lt;$H$3,0,IFERROR(T174/SUMIF($T$5:$T$999,"&gt;="&amp;$H$3),0))</f>
        <v>0</v>
      </c>
      <c r="W174" s="15" t="str">
        <f aca="false">IF(T174=0,"Win-Back","Active")</f>
        <v>Active</v>
      </c>
      <c r="X174" s="20" t="n">
        <f aca="false">IF(T174=0,0,IF(T174&gt;=$H$3,ROUND(T174*$D$3/SUMIF($T$5:$T$999,"&gt;="&amp;$H$3),0),ROUNDUP(T174*$D$3/SUMIF($T$5:$T$999,"&gt;="&amp;$H$3),0)))</f>
        <v>3</v>
      </c>
      <c r="Y174" s="21" t="n">
        <v>3</v>
      </c>
      <c r="Z174" s="16" t="n">
        <f aca="false">IF(X174=0,"",X174-Y174)</f>
        <v>0</v>
      </c>
      <c r="AA174" s="22" t="n">
        <f aca="false">IFERROR(Y174/X174,"")</f>
        <v>1</v>
      </c>
      <c r="AB174" s="16" t="n">
        <v>0</v>
      </c>
      <c r="AC174" s="21"/>
    </row>
    <row r="175" customFormat="false" ht="15" hidden="false" customHeight="true" outlineLevel="0" collapsed="false">
      <c r="A175" s="15" t="s">
        <v>1840</v>
      </c>
      <c r="B175" s="15" t="s">
        <v>1841</v>
      </c>
      <c r="C175" s="15" t="s">
        <v>1842</v>
      </c>
      <c r="D175" s="15" t="s">
        <v>1843</v>
      </c>
      <c r="E175" s="15" t="s">
        <v>1844</v>
      </c>
      <c r="F175" s="15" t="s">
        <v>1845</v>
      </c>
      <c r="G175" s="15" t="s">
        <v>1846</v>
      </c>
      <c r="H175" s="15" t="s">
        <v>1847</v>
      </c>
      <c r="I175" s="15"/>
      <c r="J175" s="15" t="s">
        <v>1848</v>
      </c>
      <c r="K175" s="15" t="s">
        <v>402</v>
      </c>
      <c r="L175" s="15" t="s">
        <v>1849</v>
      </c>
      <c r="M175" s="15" t="s">
        <v>1850</v>
      </c>
      <c r="N175" s="15" t="s">
        <v>73</v>
      </c>
      <c r="O175" s="16" t="n">
        <v>2</v>
      </c>
      <c r="P175" s="16" t="n">
        <v>3</v>
      </c>
      <c r="Q175" s="16" t="n">
        <v>1</v>
      </c>
      <c r="R175" s="16" t="n">
        <v>1</v>
      </c>
      <c r="S175" s="16" t="n">
        <v>7</v>
      </c>
      <c r="T175" s="17" t="n">
        <f aca="false">AVERAGE(O175:Q175)</f>
        <v>2</v>
      </c>
      <c r="U175" s="18" t="str">
        <f aca="false">IF(T175&gt;=$H$3,"Eligible","Not Eligible")</f>
        <v>Not Eligible</v>
      </c>
      <c r="V175" s="19" t="n">
        <f aca="false">IF(T175&lt;$H$3,0,IFERROR(T175/SUMIF($T$5:$T$999,"&gt;="&amp;$H$3),0))</f>
        <v>0</v>
      </c>
      <c r="W175" s="15" t="str">
        <f aca="false">IF(T175=0,"Win-Back","Active")</f>
        <v>Active</v>
      </c>
      <c r="X175" s="20" t="n">
        <f aca="false">IF(T175=0,0,IF(T175&gt;=$H$3,ROUND(T175*$D$3/SUMIF($T$5:$T$999,"&gt;="&amp;$H$3),0),ROUNDUP(T175*$D$3/SUMIF($T$5:$T$999,"&gt;="&amp;$H$3),0)))</f>
        <v>3</v>
      </c>
      <c r="Y175" s="21" t="n">
        <v>2</v>
      </c>
      <c r="Z175" s="16" t="n">
        <f aca="false">IF(X175=0,"",X175-Y175)</f>
        <v>1</v>
      </c>
      <c r="AA175" s="22" t="n">
        <f aca="false">IFERROR(Y175/X175,"")</f>
        <v>0.666666666666667</v>
      </c>
      <c r="AB175" s="16" t="n">
        <v>0</v>
      </c>
      <c r="AC175" s="21"/>
    </row>
    <row r="176" customFormat="false" ht="15" hidden="false" customHeight="true" outlineLevel="0" collapsed="false">
      <c r="A176" s="15" t="s">
        <v>1851</v>
      </c>
      <c r="B176" s="15" t="s">
        <v>1852</v>
      </c>
      <c r="C176" s="15" t="s">
        <v>1853</v>
      </c>
      <c r="D176" s="15" t="s">
        <v>1854</v>
      </c>
      <c r="E176" s="15" t="s">
        <v>1855</v>
      </c>
      <c r="F176" s="15"/>
      <c r="G176" s="15" t="s">
        <v>1856</v>
      </c>
      <c r="H176" s="15" t="s">
        <v>1857</v>
      </c>
      <c r="I176" s="15"/>
      <c r="J176" s="15" t="s">
        <v>1858</v>
      </c>
      <c r="K176" s="15" t="s">
        <v>735</v>
      </c>
      <c r="L176" s="15" t="s">
        <v>1859</v>
      </c>
      <c r="M176" s="15" t="s">
        <v>1860</v>
      </c>
      <c r="N176" s="15" t="s">
        <v>73</v>
      </c>
      <c r="O176" s="16" t="n">
        <v>2</v>
      </c>
      <c r="P176" s="16" t="n">
        <v>1</v>
      </c>
      <c r="Q176" s="16" t="n">
        <v>3</v>
      </c>
      <c r="R176" s="16" t="n">
        <v>0</v>
      </c>
      <c r="S176" s="16" t="n">
        <v>6</v>
      </c>
      <c r="T176" s="17" t="n">
        <f aca="false">AVERAGE(O176:Q176)</f>
        <v>2</v>
      </c>
      <c r="U176" s="18" t="str">
        <f aca="false">IF(T176&gt;=$H$3,"Eligible","Not Eligible")</f>
        <v>Not Eligible</v>
      </c>
      <c r="V176" s="19" t="n">
        <f aca="false">IF(T176&lt;$H$3,0,IFERROR(T176/SUMIF($T$5:$T$999,"&gt;="&amp;$H$3),0))</f>
        <v>0</v>
      </c>
      <c r="W176" s="15" t="str">
        <f aca="false">IF(T176=0,"Win-Back","Active")</f>
        <v>Active</v>
      </c>
      <c r="X176" s="20" t="n">
        <f aca="false">IF(T176=0,0,IF(T176&gt;=$H$3,ROUND(T176*$D$3/SUMIF($T$5:$T$999,"&gt;="&amp;$H$3),0),ROUNDUP(T176*$D$3/SUMIF($T$5:$T$999,"&gt;="&amp;$H$3),0)))</f>
        <v>3</v>
      </c>
      <c r="Y176" s="21" t="n">
        <v>1</v>
      </c>
      <c r="Z176" s="16" t="n">
        <f aca="false">IF(X176=0,"",X176-Y176)</f>
        <v>2</v>
      </c>
      <c r="AA176" s="22" t="n">
        <f aca="false">IFERROR(Y176/X176,"")</f>
        <v>0.333333333333333</v>
      </c>
      <c r="AB176" s="16" t="n">
        <v>0</v>
      </c>
      <c r="AC176" s="21"/>
    </row>
    <row r="177" customFormat="false" ht="15" hidden="false" customHeight="true" outlineLevel="0" collapsed="false">
      <c r="A177" s="15" t="s">
        <v>1861</v>
      </c>
      <c r="B177" s="15" t="s">
        <v>1862</v>
      </c>
      <c r="C177" s="15" t="s">
        <v>1863</v>
      </c>
      <c r="D177" s="15" t="s">
        <v>1864</v>
      </c>
      <c r="E177" s="15" t="s">
        <v>1865</v>
      </c>
      <c r="F177" s="15" t="s">
        <v>1866</v>
      </c>
      <c r="G177" s="15" t="s">
        <v>1867</v>
      </c>
      <c r="H177" s="15" t="s">
        <v>1868</v>
      </c>
      <c r="I177" s="15" t="s">
        <v>331</v>
      </c>
      <c r="J177" s="15" t="s">
        <v>1869</v>
      </c>
      <c r="K177" s="15" t="s">
        <v>1418</v>
      </c>
      <c r="L177" s="15" t="s">
        <v>1870</v>
      </c>
      <c r="M177" s="15" t="s">
        <v>1871</v>
      </c>
      <c r="N177" s="15" t="s">
        <v>73</v>
      </c>
      <c r="O177" s="16" t="n">
        <v>1</v>
      </c>
      <c r="P177" s="16" t="n">
        <v>3</v>
      </c>
      <c r="Q177" s="16" t="n">
        <v>2</v>
      </c>
      <c r="R177" s="16" t="n">
        <v>0</v>
      </c>
      <c r="S177" s="16" t="n">
        <v>6</v>
      </c>
      <c r="T177" s="17" t="n">
        <f aca="false">AVERAGE(O177:Q177)</f>
        <v>2</v>
      </c>
      <c r="U177" s="18" t="str">
        <f aca="false">IF(T177&gt;=$H$3,"Eligible","Not Eligible")</f>
        <v>Not Eligible</v>
      </c>
      <c r="V177" s="19" t="n">
        <f aca="false">IF(T177&lt;$H$3,0,IFERROR(T177/SUMIF($T$5:$T$999,"&gt;="&amp;$H$3),0))</f>
        <v>0</v>
      </c>
      <c r="W177" s="15" t="str">
        <f aca="false">IF(T177=0,"Win-Back","Active")</f>
        <v>Active</v>
      </c>
      <c r="X177" s="20" t="n">
        <f aca="false">IF(T177=0,0,IF(T177&gt;=$H$3,ROUND(T177*$D$3/SUMIF($T$5:$T$999,"&gt;="&amp;$H$3),0),ROUNDUP(T177*$D$3/SUMIF($T$5:$T$999,"&gt;="&amp;$H$3),0)))</f>
        <v>3</v>
      </c>
      <c r="Y177" s="21" t="n">
        <v>3</v>
      </c>
      <c r="Z177" s="16" t="n">
        <f aca="false">IF(X177=0,"",X177-Y177)</f>
        <v>0</v>
      </c>
      <c r="AA177" s="22" t="n">
        <f aca="false">IFERROR(Y177/X177,"")</f>
        <v>1</v>
      </c>
      <c r="AB177" s="16" t="n">
        <v>0</v>
      </c>
      <c r="AC177" s="21"/>
    </row>
    <row r="178" customFormat="false" ht="15" hidden="false" customHeight="true" outlineLevel="0" collapsed="false">
      <c r="A178" s="15" t="s">
        <v>1872</v>
      </c>
      <c r="B178" s="15" t="s">
        <v>1873</v>
      </c>
      <c r="C178" s="15" t="s">
        <v>1874</v>
      </c>
      <c r="D178" s="15" t="s">
        <v>1875</v>
      </c>
      <c r="E178" s="15" t="s">
        <v>1876</v>
      </c>
      <c r="F178" s="15" t="s">
        <v>1877</v>
      </c>
      <c r="G178" s="15" t="s">
        <v>1878</v>
      </c>
      <c r="H178" s="15" t="s">
        <v>1879</v>
      </c>
      <c r="I178" s="15"/>
      <c r="J178" s="15" t="s">
        <v>367</v>
      </c>
      <c r="K178" s="15" t="s">
        <v>368</v>
      </c>
      <c r="L178" s="15" t="s">
        <v>369</v>
      </c>
      <c r="M178" s="15" t="s">
        <v>1880</v>
      </c>
      <c r="N178" s="15" t="s">
        <v>73</v>
      </c>
      <c r="O178" s="16" t="n">
        <v>1</v>
      </c>
      <c r="P178" s="16" t="n">
        <v>3</v>
      </c>
      <c r="Q178" s="16" t="n">
        <v>2</v>
      </c>
      <c r="R178" s="16" t="n">
        <v>0</v>
      </c>
      <c r="S178" s="16" t="n">
        <v>6</v>
      </c>
      <c r="T178" s="17" t="n">
        <f aca="false">AVERAGE(O178:Q178)</f>
        <v>2</v>
      </c>
      <c r="U178" s="18" t="str">
        <f aca="false">IF(T178&gt;=$H$3,"Eligible","Not Eligible")</f>
        <v>Not Eligible</v>
      </c>
      <c r="V178" s="19" t="n">
        <f aca="false">IF(T178&lt;$H$3,0,IFERROR(T178/SUMIF($T$5:$T$999,"&gt;="&amp;$H$3),0))</f>
        <v>0</v>
      </c>
      <c r="W178" s="15" t="str">
        <f aca="false">IF(T178=0,"Win-Back","Active")</f>
        <v>Active</v>
      </c>
      <c r="X178" s="20" t="n">
        <f aca="false">IF(T178=0,0,IF(T178&gt;=$H$3,ROUND(T178*$D$3/SUMIF($T$5:$T$999,"&gt;="&amp;$H$3),0),ROUNDUP(T178*$D$3/SUMIF($T$5:$T$999,"&gt;="&amp;$H$3),0)))</f>
        <v>3</v>
      </c>
      <c r="Y178" s="21" t="n">
        <v>2</v>
      </c>
      <c r="Z178" s="16" t="n">
        <f aca="false">IF(X178=0,"",X178-Y178)</f>
        <v>1</v>
      </c>
      <c r="AA178" s="22" t="n">
        <f aca="false">IFERROR(Y178/X178,"")</f>
        <v>0.666666666666667</v>
      </c>
      <c r="AB178" s="16" t="n">
        <v>0</v>
      </c>
      <c r="AC178" s="21"/>
    </row>
    <row r="179" customFormat="false" ht="15" hidden="false" customHeight="true" outlineLevel="0" collapsed="false">
      <c r="A179" s="15" t="s">
        <v>1881</v>
      </c>
      <c r="B179" s="15" t="s">
        <v>1882</v>
      </c>
      <c r="C179" s="15" t="s">
        <v>1883</v>
      </c>
      <c r="D179" s="15" t="s">
        <v>1884</v>
      </c>
      <c r="E179" s="15" t="s">
        <v>1885</v>
      </c>
      <c r="F179" s="15" t="s">
        <v>1886</v>
      </c>
      <c r="G179" s="15" t="s">
        <v>1887</v>
      </c>
      <c r="H179" s="15" t="s">
        <v>1888</v>
      </c>
      <c r="I179" s="15"/>
      <c r="J179" s="15" t="s">
        <v>1889</v>
      </c>
      <c r="K179" s="15" t="s">
        <v>1890</v>
      </c>
      <c r="L179" s="15" t="s">
        <v>1891</v>
      </c>
      <c r="M179" s="15" t="s">
        <v>1892</v>
      </c>
      <c r="N179" s="15" t="s">
        <v>73</v>
      </c>
      <c r="O179" s="16" t="n">
        <v>0</v>
      </c>
      <c r="P179" s="16" t="n">
        <v>3</v>
      </c>
      <c r="Q179" s="16" t="n">
        <v>3</v>
      </c>
      <c r="R179" s="16" t="n">
        <v>0</v>
      </c>
      <c r="S179" s="16" t="n">
        <v>6</v>
      </c>
      <c r="T179" s="17" t="n">
        <f aca="false">AVERAGE(O179:Q179)</f>
        <v>2</v>
      </c>
      <c r="U179" s="18" t="str">
        <f aca="false">IF(T179&gt;=$H$3,"Eligible","Not Eligible")</f>
        <v>Not Eligible</v>
      </c>
      <c r="V179" s="19" t="n">
        <f aca="false">IF(T179&lt;$H$3,0,IFERROR(T179/SUMIF($T$5:$T$999,"&gt;="&amp;$H$3),0))</f>
        <v>0</v>
      </c>
      <c r="W179" s="15" t="str">
        <f aca="false">IF(T179=0,"Win-Back","Active")</f>
        <v>Active</v>
      </c>
      <c r="X179" s="20" t="n">
        <f aca="false">IF(T179=0,0,IF(T179&gt;=$H$3,ROUND(T179*$D$3/SUMIF($T$5:$T$999,"&gt;="&amp;$H$3),0),ROUNDUP(T179*$D$3/SUMIF($T$5:$T$999,"&gt;="&amp;$H$3),0)))</f>
        <v>3</v>
      </c>
      <c r="Y179" s="21" t="n">
        <v>4</v>
      </c>
      <c r="Z179" s="16" t="n">
        <f aca="false">IF(X179=0,"",X179-Y179)</f>
        <v>-1</v>
      </c>
      <c r="AA179" s="22" t="n">
        <f aca="false">IFERROR(Y179/X179,"")</f>
        <v>1.33333333333333</v>
      </c>
      <c r="AB179" s="16" t="n">
        <v>1</v>
      </c>
      <c r="AC179" s="21"/>
    </row>
    <row r="180" customFormat="false" ht="15" hidden="false" customHeight="true" outlineLevel="0" collapsed="false">
      <c r="A180" s="15" t="s">
        <v>1893</v>
      </c>
      <c r="B180" s="15" t="s">
        <v>1894</v>
      </c>
      <c r="C180" s="15" t="s">
        <v>1895</v>
      </c>
      <c r="D180" s="15" t="s">
        <v>1896</v>
      </c>
      <c r="E180" s="15" t="s">
        <v>1897</v>
      </c>
      <c r="F180" s="15" t="s">
        <v>1898</v>
      </c>
      <c r="G180" s="15" t="s">
        <v>1899</v>
      </c>
      <c r="H180" s="15" t="s">
        <v>1900</v>
      </c>
      <c r="I180" s="15"/>
      <c r="J180" s="15" t="s">
        <v>401</v>
      </c>
      <c r="K180" s="15" t="s">
        <v>402</v>
      </c>
      <c r="L180" s="15" t="s">
        <v>1901</v>
      </c>
      <c r="M180" s="15" t="s">
        <v>1902</v>
      </c>
      <c r="N180" s="15" t="s">
        <v>73</v>
      </c>
      <c r="O180" s="16" t="n">
        <v>4</v>
      </c>
      <c r="P180" s="16" t="n">
        <v>1</v>
      </c>
      <c r="Q180" s="16" t="n">
        <v>1</v>
      </c>
      <c r="R180" s="16" t="n">
        <v>0</v>
      </c>
      <c r="S180" s="16" t="n">
        <v>6</v>
      </c>
      <c r="T180" s="17" t="n">
        <f aca="false">AVERAGE(O180:Q180)</f>
        <v>2</v>
      </c>
      <c r="U180" s="18" t="str">
        <f aca="false">IF(T180&gt;=$H$3,"Eligible","Not Eligible")</f>
        <v>Not Eligible</v>
      </c>
      <c r="V180" s="19" t="n">
        <f aca="false">IF(T180&lt;$H$3,0,IFERROR(T180/SUMIF($T$5:$T$999,"&gt;="&amp;$H$3),0))</f>
        <v>0</v>
      </c>
      <c r="W180" s="15" t="str">
        <f aca="false">IF(T180=0,"Win-Back","Active")</f>
        <v>Active</v>
      </c>
      <c r="X180" s="20" t="n">
        <f aca="false">IF(T180=0,0,IF(T180&gt;=$H$3,ROUND(T180*$D$3/SUMIF($T$5:$T$999,"&gt;="&amp;$H$3),0),ROUNDUP(T180*$D$3/SUMIF($T$5:$T$999,"&gt;="&amp;$H$3),0)))</f>
        <v>3</v>
      </c>
      <c r="Y180" s="21" t="n">
        <v>1</v>
      </c>
      <c r="Z180" s="16" t="n">
        <f aca="false">IF(X180=0,"",X180-Y180)</f>
        <v>2</v>
      </c>
      <c r="AA180" s="22" t="n">
        <f aca="false">IFERROR(Y180/X180,"")</f>
        <v>0.333333333333333</v>
      </c>
      <c r="AB180" s="16" t="n">
        <v>0</v>
      </c>
      <c r="AC180" s="21"/>
    </row>
    <row r="181" customFormat="false" ht="15" hidden="false" customHeight="true" outlineLevel="0" collapsed="false">
      <c r="A181" s="15" t="s">
        <v>1903</v>
      </c>
      <c r="B181" s="15" t="s">
        <v>1904</v>
      </c>
      <c r="C181" s="15" t="s">
        <v>1905</v>
      </c>
      <c r="D181" s="15" t="s">
        <v>1906</v>
      </c>
      <c r="E181" s="15" t="s">
        <v>1907</v>
      </c>
      <c r="F181" s="15" t="s">
        <v>1908</v>
      </c>
      <c r="G181" s="15" t="s">
        <v>1909</v>
      </c>
      <c r="H181" s="15" t="s">
        <v>1910</v>
      </c>
      <c r="I181" s="15"/>
      <c r="J181" s="15" t="s">
        <v>367</v>
      </c>
      <c r="K181" s="15" t="s">
        <v>368</v>
      </c>
      <c r="L181" s="15" t="s">
        <v>1911</v>
      </c>
      <c r="M181" s="15" t="s">
        <v>1912</v>
      </c>
      <c r="N181" s="15" t="s">
        <v>73</v>
      </c>
      <c r="O181" s="16" t="n">
        <v>4</v>
      </c>
      <c r="P181" s="16" t="n">
        <v>1</v>
      </c>
      <c r="Q181" s="16" t="n">
        <v>1</v>
      </c>
      <c r="R181" s="16" t="n">
        <v>0</v>
      </c>
      <c r="S181" s="16" t="n">
        <v>6</v>
      </c>
      <c r="T181" s="17" t="n">
        <f aca="false">AVERAGE(O181:Q181)</f>
        <v>2</v>
      </c>
      <c r="U181" s="18" t="str">
        <f aca="false">IF(T181&gt;=$H$3,"Eligible","Not Eligible")</f>
        <v>Not Eligible</v>
      </c>
      <c r="V181" s="19" t="n">
        <f aca="false">IF(T181&lt;$H$3,0,IFERROR(T181/SUMIF($T$5:$T$999,"&gt;="&amp;$H$3),0))</f>
        <v>0</v>
      </c>
      <c r="W181" s="15" t="str">
        <f aca="false">IF(T181=0,"Win-Back","Active")</f>
        <v>Active</v>
      </c>
      <c r="X181" s="20" t="n">
        <f aca="false">IF(T181=0,0,IF(T181&gt;=$H$3,ROUND(T181*$D$3/SUMIF($T$5:$T$999,"&gt;="&amp;$H$3),0),ROUNDUP(T181*$D$3/SUMIF($T$5:$T$999,"&gt;="&amp;$H$3),0)))</f>
        <v>3</v>
      </c>
      <c r="Y181" s="21"/>
      <c r="Z181" s="16" t="n">
        <f aca="false">IF(X181=0,"",X181-Y181)</f>
        <v>3</v>
      </c>
      <c r="AA181" s="22" t="n">
        <f aca="false">IFERROR(Y181/X181,"")</f>
        <v>0</v>
      </c>
      <c r="AB181" s="16" t="n">
        <v>0</v>
      </c>
      <c r="AC181" s="21"/>
    </row>
    <row r="182" customFormat="false" ht="15" hidden="false" customHeight="true" outlineLevel="0" collapsed="false">
      <c r="A182" s="15" t="s">
        <v>1913</v>
      </c>
      <c r="B182" s="15" t="s">
        <v>1914</v>
      </c>
      <c r="C182" s="15" t="s">
        <v>1915</v>
      </c>
      <c r="D182" s="15" t="s">
        <v>1916</v>
      </c>
      <c r="E182" s="15" t="s">
        <v>1295</v>
      </c>
      <c r="F182" s="15" t="s">
        <v>1917</v>
      </c>
      <c r="G182" s="15" t="s">
        <v>1918</v>
      </c>
      <c r="H182" s="15" t="s">
        <v>1919</v>
      </c>
      <c r="I182" s="15" t="s">
        <v>1920</v>
      </c>
      <c r="J182" s="15" t="s">
        <v>1921</v>
      </c>
      <c r="K182" s="15" t="s">
        <v>368</v>
      </c>
      <c r="L182" s="15" t="s">
        <v>1922</v>
      </c>
      <c r="M182" s="15" t="s">
        <v>1923</v>
      </c>
      <c r="N182" s="15" t="s">
        <v>73</v>
      </c>
      <c r="O182" s="16" t="n">
        <v>3</v>
      </c>
      <c r="P182" s="16" t="n">
        <v>2</v>
      </c>
      <c r="Q182" s="16" t="n">
        <v>1</v>
      </c>
      <c r="R182" s="16" t="n">
        <v>0</v>
      </c>
      <c r="S182" s="16" t="n">
        <v>6</v>
      </c>
      <c r="T182" s="17" t="n">
        <f aca="false">AVERAGE(O182:Q182)</f>
        <v>2</v>
      </c>
      <c r="U182" s="18" t="str">
        <f aca="false">IF(T182&gt;=$H$3,"Eligible","Not Eligible")</f>
        <v>Not Eligible</v>
      </c>
      <c r="V182" s="19" t="n">
        <f aca="false">IF(T182&lt;$H$3,0,IFERROR(T182/SUMIF($T$5:$T$999,"&gt;="&amp;$H$3),0))</f>
        <v>0</v>
      </c>
      <c r="W182" s="15" t="str">
        <f aca="false">IF(T182=0,"Win-Back","Active")</f>
        <v>Active</v>
      </c>
      <c r="X182" s="20" t="n">
        <f aca="false">IF(T182=0,0,IF(T182&gt;=$H$3,ROUND(T182*$D$3/SUMIF($T$5:$T$999,"&gt;="&amp;$H$3),0),ROUNDUP(T182*$D$3/SUMIF($T$5:$T$999,"&gt;="&amp;$H$3),0)))</f>
        <v>3</v>
      </c>
      <c r="Y182" s="21" t="n">
        <v>2</v>
      </c>
      <c r="Z182" s="16" t="n">
        <f aca="false">IF(X182=0,"",X182-Y182)</f>
        <v>1</v>
      </c>
      <c r="AA182" s="22" t="n">
        <f aca="false">IFERROR(Y182/X182,"")</f>
        <v>0.666666666666667</v>
      </c>
      <c r="AB182" s="16" t="n">
        <v>0</v>
      </c>
      <c r="AC182" s="21"/>
    </row>
    <row r="183" customFormat="false" ht="15" hidden="false" customHeight="true" outlineLevel="0" collapsed="false">
      <c r="A183" s="15" t="s">
        <v>1924</v>
      </c>
      <c r="B183" s="15" t="s">
        <v>1925</v>
      </c>
      <c r="C183" s="15" t="s">
        <v>1926</v>
      </c>
      <c r="D183" s="15" t="s">
        <v>1927</v>
      </c>
      <c r="E183" s="15" t="s">
        <v>1928</v>
      </c>
      <c r="F183" s="15" t="s">
        <v>1929</v>
      </c>
      <c r="G183" s="15" t="s">
        <v>1930</v>
      </c>
      <c r="H183" s="15" t="s">
        <v>1931</v>
      </c>
      <c r="I183" s="15"/>
      <c r="J183" s="15" t="s">
        <v>1932</v>
      </c>
      <c r="K183" s="15" t="s">
        <v>615</v>
      </c>
      <c r="L183" s="15" t="s">
        <v>1933</v>
      </c>
      <c r="M183" s="15" t="s">
        <v>1934</v>
      </c>
      <c r="N183" s="15" t="s">
        <v>73</v>
      </c>
      <c r="O183" s="16" t="n">
        <v>1</v>
      </c>
      <c r="P183" s="16" t="n">
        <v>5</v>
      </c>
      <c r="Q183" s="16" t="n">
        <v>0</v>
      </c>
      <c r="R183" s="16" t="n">
        <v>0</v>
      </c>
      <c r="S183" s="16" t="n">
        <v>6</v>
      </c>
      <c r="T183" s="17" t="n">
        <f aca="false">AVERAGE(O183:Q183)</f>
        <v>2</v>
      </c>
      <c r="U183" s="18" t="str">
        <f aca="false">IF(T183&gt;=$H$3,"Eligible","Not Eligible")</f>
        <v>Not Eligible</v>
      </c>
      <c r="V183" s="19" t="n">
        <f aca="false">IF(T183&lt;$H$3,0,IFERROR(T183/SUMIF($T$5:$T$999,"&gt;="&amp;$H$3),0))</f>
        <v>0</v>
      </c>
      <c r="W183" s="15" t="str">
        <f aca="false">IF(T183=0,"Win-Back","Active")</f>
        <v>Active</v>
      </c>
      <c r="X183" s="20" t="n">
        <f aca="false">IF(T183=0,0,IF(T183&gt;=$H$3,ROUND(T183*$D$3/SUMIF($T$5:$T$999,"&gt;="&amp;$H$3),0),ROUNDUP(T183*$D$3/SUMIF($T$5:$T$999,"&gt;="&amp;$H$3),0)))</f>
        <v>3</v>
      </c>
      <c r="Y183" s="21"/>
      <c r="Z183" s="16" t="n">
        <f aca="false">IF(X183=0,"",X183-Y183)</f>
        <v>3</v>
      </c>
      <c r="AA183" s="22" t="n">
        <f aca="false">IFERROR(Y183/X183,"")</f>
        <v>0</v>
      </c>
      <c r="AB183" s="16" t="n">
        <v>0</v>
      </c>
      <c r="AC183" s="21"/>
    </row>
    <row r="184" customFormat="false" ht="15" hidden="false" customHeight="true" outlineLevel="0" collapsed="false">
      <c r="A184" s="15" t="s">
        <v>1935</v>
      </c>
      <c r="B184" s="15" t="s">
        <v>1936</v>
      </c>
      <c r="C184" s="15" t="s">
        <v>1937</v>
      </c>
      <c r="D184" s="15" t="s">
        <v>1938</v>
      </c>
      <c r="E184" s="15" t="s">
        <v>1939</v>
      </c>
      <c r="F184" s="15" t="s">
        <v>1940</v>
      </c>
      <c r="G184" s="15" t="s">
        <v>1941</v>
      </c>
      <c r="H184" s="15" t="s">
        <v>1942</v>
      </c>
      <c r="I184" s="15"/>
      <c r="J184" s="15" t="s">
        <v>1943</v>
      </c>
      <c r="K184" s="15" t="s">
        <v>70</v>
      </c>
      <c r="L184" s="15" t="s">
        <v>1944</v>
      </c>
      <c r="M184" s="15" t="s">
        <v>1945</v>
      </c>
      <c r="N184" s="15" t="s">
        <v>73</v>
      </c>
      <c r="O184" s="16" t="n">
        <v>2</v>
      </c>
      <c r="P184" s="16" t="n">
        <v>4</v>
      </c>
      <c r="Q184" s="16" t="n">
        <v>0</v>
      </c>
      <c r="R184" s="16" t="n">
        <v>0</v>
      </c>
      <c r="S184" s="16" t="n">
        <v>6</v>
      </c>
      <c r="T184" s="17" t="n">
        <f aca="false">AVERAGE(O184:Q184)</f>
        <v>2</v>
      </c>
      <c r="U184" s="18" t="str">
        <f aca="false">IF(T184&gt;=$H$3,"Eligible","Not Eligible")</f>
        <v>Not Eligible</v>
      </c>
      <c r="V184" s="19" t="n">
        <f aca="false">IF(T184&lt;$H$3,0,IFERROR(T184/SUMIF($T$5:$T$999,"&gt;="&amp;$H$3),0))</f>
        <v>0</v>
      </c>
      <c r="W184" s="15" t="str">
        <f aca="false">IF(T184=0,"Win-Back","Active")</f>
        <v>Active</v>
      </c>
      <c r="X184" s="20" t="n">
        <f aca="false">IF(T184=0,0,IF(T184&gt;=$H$3,ROUND(T184*$D$3/SUMIF($T$5:$T$999,"&gt;="&amp;$H$3),0),ROUNDUP(T184*$D$3/SUMIF($T$5:$T$999,"&gt;="&amp;$H$3),0)))</f>
        <v>3</v>
      </c>
      <c r="Y184" s="21" t="n">
        <v>2</v>
      </c>
      <c r="Z184" s="16" t="n">
        <f aca="false">IF(X184=0,"",X184-Y184)</f>
        <v>1</v>
      </c>
      <c r="AA184" s="22" t="n">
        <f aca="false">IFERROR(Y184/X184,"")</f>
        <v>0.666666666666667</v>
      </c>
      <c r="AB184" s="16" t="n">
        <v>0</v>
      </c>
      <c r="AC184" s="21"/>
    </row>
    <row r="185" customFormat="false" ht="15" hidden="false" customHeight="true" outlineLevel="0" collapsed="false">
      <c r="A185" s="15" t="s">
        <v>1946</v>
      </c>
      <c r="B185" s="15" t="s">
        <v>1947</v>
      </c>
      <c r="C185" s="15" t="s">
        <v>1948</v>
      </c>
      <c r="D185" s="15" t="s">
        <v>1949</v>
      </c>
      <c r="E185" s="15" t="s">
        <v>1950</v>
      </c>
      <c r="F185" s="15" t="s">
        <v>1951</v>
      </c>
      <c r="G185" s="15" t="s">
        <v>1952</v>
      </c>
      <c r="H185" s="15" t="s">
        <v>1953</v>
      </c>
      <c r="I185" s="15" t="s">
        <v>186</v>
      </c>
      <c r="J185" s="15" t="s">
        <v>1954</v>
      </c>
      <c r="K185" s="15" t="s">
        <v>1418</v>
      </c>
      <c r="L185" s="15" t="s">
        <v>1955</v>
      </c>
      <c r="M185" s="15" t="s">
        <v>1956</v>
      </c>
      <c r="N185" s="15" t="s">
        <v>73</v>
      </c>
      <c r="O185" s="16" t="n">
        <v>4</v>
      </c>
      <c r="P185" s="16" t="n">
        <v>1</v>
      </c>
      <c r="Q185" s="16" t="n">
        <v>1</v>
      </c>
      <c r="R185" s="16" t="n">
        <v>0</v>
      </c>
      <c r="S185" s="16" t="n">
        <v>6</v>
      </c>
      <c r="T185" s="17" t="n">
        <f aca="false">AVERAGE(O185:Q185)</f>
        <v>2</v>
      </c>
      <c r="U185" s="18" t="str">
        <f aca="false">IF(T185&gt;=$H$3,"Eligible","Not Eligible")</f>
        <v>Not Eligible</v>
      </c>
      <c r="V185" s="19" t="n">
        <f aca="false">IF(T185&lt;$H$3,0,IFERROR(T185/SUMIF($T$5:$T$999,"&gt;="&amp;$H$3),0))</f>
        <v>0</v>
      </c>
      <c r="W185" s="15" t="str">
        <f aca="false">IF(T185=0,"Win-Back","Active")</f>
        <v>Active</v>
      </c>
      <c r="X185" s="20" t="n">
        <f aca="false">IF(T185=0,0,IF(T185&gt;=$H$3,ROUND(T185*$D$3/SUMIF($T$5:$T$999,"&gt;="&amp;$H$3),0),ROUNDUP(T185*$D$3/SUMIF($T$5:$T$999,"&gt;="&amp;$H$3),0)))</f>
        <v>3</v>
      </c>
      <c r="Y185" s="21"/>
      <c r="Z185" s="16" t="n">
        <f aca="false">IF(X185=0,"",X185-Y185)</f>
        <v>3</v>
      </c>
      <c r="AA185" s="22" t="n">
        <f aca="false">IFERROR(Y185/X185,"")</f>
        <v>0</v>
      </c>
      <c r="AB185" s="16" t="n">
        <v>0</v>
      </c>
      <c r="AC185" s="21"/>
    </row>
    <row r="186" customFormat="false" ht="15" hidden="false" customHeight="true" outlineLevel="0" collapsed="false">
      <c r="A186" s="15" t="s">
        <v>1957</v>
      </c>
      <c r="B186" s="15" t="s">
        <v>1958</v>
      </c>
      <c r="C186" s="15" t="s">
        <v>1959</v>
      </c>
      <c r="D186" s="15" t="s">
        <v>1960</v>
      </c>
      <c r="E186" s="15" t="s">
        <v>1961</v>
      </c>
      <c r="F186" s="15" t="s">
        <v>1962</v>
      </c>
      <c r="G186" s="15" t="s">
        <v>1963</v>
      </c>
      <c r="H186" s="15" t="s">
        <v>1964</v>
      </c>
      <c r="I186" s="15"/>
      <c r="J186" s="15" t="s">
        <v>1965</v>
      </c>
      <c r="K186" s="15" t="s">
        <v>368</v>
      </c>
      <c r="L186" s="15" t="s">
        <v>1966</v>
      </c>
      <c r="M186" s="15" t="s">
        <v>1967</v>
      </c>
      <c r="N186" s="15" t="s">
        <v>73</v>
      </c>
      <c r="O186" s="16" t="n">
        <v>1</v>
      </c>
      <c r="P186" s="16" t="n">
        <v>3</v>
      </c>
      <c r="Q186" s="16" t="n">
        <v>2</v>
      </c>
      <c r="R186" s="16" t="n">
        <v>0</v>
      </c>
      <c r="S186" s="16" t="n">
        <v>6</v>
      </c>
      <c r="T186" s="17" t="n">
        <f aca="false">AVERAGE(O186:Q186)</f>
        <v>2</v>
      </c>
      <c r="U186" s="18" t="str">
        <f aca="false">IF(T186&gt;=$H$3,"Eligible","Not Eligible")</f>
        <v>Not Eligible</v>
      </c>
      <c r="V186" s="19" t="n">
        <f aca="false">IF(T186&lt;$H$3,0,IFERROR(T186/SUMIF($T$5:$T$999,"&gt;="&amp;$H$3),0))</f>
        <v>0</v>
      </c>
      <c r="W186" s="15" t="str">
        <f aca="false">IF(T186=0,"Win-Back","Active")</f>
        <v>Active</v>
      </c>
      <c r="X186" s="20" t="n">
        <f aca="false">IF(T186=0,0,IF(T186&gt;=$H$3,ROUND(T186*$D$3/SUMIF($T$5:$T$999,"&gt;="&amp;$H$3),0),ROUNDUP(T186*$D$3/SUMIF($T$5:$T$999,"&gt;="&amp;$H$3),0)))</f>
        <v>3</v>
      </c>
      <c r="Y186" s="21" t="n">
        <v>1</v>
      </c>
      <c r="Z186" s="16" t="n">
        <f aca="false">IF(X186=0,"",X186-Y186)</f>
        <v>2</v>
      </c>
      <c r="AA186" s="22" t="n">
        <f aca="false">IFERROR(Y186/X186,"")</f>
        <v>0.333333333333333</v>
      </c>
      <c r="AB186" s="16" t="n">
        <v>0</v>
      </c>
      <c r="AC186" s="21"/>
    </row>
    <row r="187" customFormat="false" ht="15" hidden="false" customHeight="true" outlineLevel="0" collapsed="false">
      <c r="A187" s="15" t="s">
        <v>1968</v>
      </c>
      <c r="B187" s="15" t="s">
        <v>1969</v>
      </c>
      <c r="C187" s="15" t="s">
        <v>1970</v>
      </c>
      <c r="D187" s="15" t="s">
        <v>1971</v>
      </c>
      <c r="E187" s="15" t="s">
        <v>1972</v>
      </c>
      <c r="F187" s="15" t="s">
        <v>1973</v>
      </c>
      <c r="G187" s="15" t="s">
        <v>1974</v>
      </c>
      <c r="H187" s="15" t="s">
        <v>1975</v>
      </c>
      <c r="I187" s="15"/>
      <c r="J187" s="15" t="s">
        <v>1976</v>
      </c>
      <c r="K187" s="15" t="s">
        <v>1977</v>
      </c>
      <c r="L187" s="15" t="s">
        <v>1978</v>
      </c>
      <c r="M187" s="15" t="s">
        <v>1979</v>
      </c>
      <c r="N187" s="15" t="s">
        <v>73</v>
      </c>
      <c r="O187" s="16" t="n">
        <v>3</v>
      </c>
      <c r="P187" s="16" t="n">
        <v>0</v>
      </c>
      <c r="Q187" s="16" t="n">
        <v>3</v>
      </c>
      <c r="R187" s="16" t="n">
        <v>0</v>
      </c>
      <c r="S187" s="16" t="n">
        <v>6</v>
      </c>
      <c r="T187" s="17" t="n">
        <f aca="false">AVERAGE(O187:Q187)</f>
        <v>2</v>
      </c>
      <c r="U187" s="18" t="str">
        <f aca="false">IF(T187&gt;=$H$3,"Eligible","Not Eligible")</f>
        <v>Not Eligible</v>
      </c>
      <c r="V187" s="19" t="n">
        <f aca="false">IF(T187&lt;$H$3,0,IFERROR(T187/SUMIF($T$5:$T$999,"&gt;="&amp;$H$3),0))</f>
        <v>0</v>
      </c>
      <c r="W187" s="15" t="str">
        <f aca="false">IF(T187=0,"Win-Back","Active")</f>
        <v>Active</v>
      </c>
      <c r="X187" s="20" t="n">
        <f aca="false">IF(T187=0,0,IF(T187&gt;=$H$3,ROUND(T187*$D$3/SUMIF($T$5:$T$999,"&gt;="&amp;$H$3),0),ROUNDUP(T187*$D$3/SUMIF($T$5:$T$999,"&gt;="&amp;$H$3),0)))</f>
        <v>3</v>
      </c>
      <c r="Y187" s="21" t="n">
        <v>1</v>
      </c>
      <c r="Z187" s="16" t="n">
        <f aca="false">IF(X187=0,"",X187-Y187)</f>
        <v>2</v>
      </c>
      <c r="AA187" s="22" t="n">
        <f aca="false">IFERROR(Y187/X187,"")</f>
        <v>0.333333333333333</v>
      </c>
      <c r="AB187" s="16" t="n">
        <v>0</v>
      </c>
      <c r="AC187" s="21"/>
    </row>
    <row r="188" customFormat="false" ht="15" hidden="false" customHeight="true" outlineLevel="0" collapsed="false">
      <c r="A188" s="15" t="s">
        <v>1980</v>
      </c>
      <c r="B188" s="15" t="s">
        <v>1981</v>
      </c>
      <c r="C188" s="15" t="s">
        <v>1982</v>
      </c>
      <c r="D188" s="15" t="s">
        <v>1983</v>
      </c>
      <c r="E188" s="15" t="s">
        <v>1984</v>
      </c>
      <c r="F188" s="15" t="s">
        <v>1985</v>
      </c>
      <c r="G188" s="15" t="s">
        <v>1986</v>
      </c>
      <c r="H188" s="15" t="s">
        <v>1987</v>
      </c>
      <c r="I188" s="15"/>
      <c r="J188" s="15" t="s">
        <v>777</v>
      </c>
      <c r="K188" s="15" t="s">
        <v>70</v>
      </c>
      <c r="L188" s="15" t="s">
        <v>1761</v>
      </c>
      <c r="M188" s="15" t="s">
        <v>1988</v>
      </c>
      <c r="N188" s="15" t="s">
        <v>73</v>
      </c>
      <c r="O188" s="16" t="n">
        <v>3</v>
      </c>
      <c r="P188" s="16" t="n">
        <v>1</v>
      </c>
      <c r="Q188" s="16" t="n">
        <v>2</v>
      </c>
      <c r="R188" s="16" t="n">
        <v>0</v>
      </c>
      <c r="S188" s="16" t="n">
        <v>6</v>
      </c>
      <c r="T188" s="17" t="n">
        <f aca="false">AVERAGE(O188:Q188)</f>
        <v>2</v>
      </c>
      <c r="U188" s="18" t="str">
        <f aca="false">IF(T188&gt;=$H$3,"Eligible","Not Eligible")</f>
        <v>Not Eligible</v>
      </c>
      <c r="V188" s="19" t="n">
        <f aca="false">IF(T188&lt;$H$3,0,IFERROR(T188/SUMIF($T$5:$T$999,"&gt;="&amp;$H$3),0))</f>
        <v>0</v>
      </c>
      <c r="W188" s="15" t="str">
        <f aca="false">IF(T188=0,"Win-Back","Active")</f>
        <v>Active</v>
      </c>
      <c r="X188" s="20" t="n">
        <f aca="false">IF(T188=0,0,IF(T188&gt;=$H$3,ROUND(T188*$D$3/SUMIF($T$5:$T$999,"&gt;="&amp;$H$3),0),ROUNDUP(T188*$D$3/SUMIF($T$5:$T$999,"&gt;="&amp;$H$3),0)))</f>
        <v>3</v>
      </c>
      <c r="Y188" s="21" t="n">
        <v>1</v>
      </c>
      <c r="Z188" s="16" t="n">
        <f aca="false">IF(X188=0,"",X188-Y188)</f>
        <v>2</v>
      </c>
      <c r="AA188" s="22" t="n">
        <f aca="false">IFERROR(Y188/X188,"")</f>
        <v>0.333333333333333</v>
      </c>
      <c r="AB188" s="16" t="n">
        <v>0</v>
      </c>
      <c r="AC188" s="21"/>
    </row>
    <row r="189" customFormat="false" ht="15" hidden="false" customHeight="true" outlineLevel="0" collapsed="false">
      <c r="A189" s="15" t="s">
        <v>1989</v>
      </c>
      <c r="B189" s="15" t="s">
        <v>1990</v>
      </c>
      <c r="C189" s="15" t="s">
        <v>1991</v>
      </c>
      <c r="D189" s="15" t="s">
        <v>1992</v>
      </c>
      <c r="E189" s="15" t="s">
        <v>1993</v>
      </c>
      <c r="F189" s="15" t="s">
        <v>1994</v>
      </c>
      <c r="G189" s="15" t="s">
        <v>1995</v>
      </c>
      <c r="H189" s="15" t="s">
        <v>1996</v>
      </c>
      <c r="I189" s="15" t="s">
        <v>1997</v>
      </c>
      <c r="J189" s="15" t="s">
        <v>1998</v>
      </c>
      <c r="K189" s="15" t="s">
        <v>70</v>
      </c>
      <c r="L189" s="15" t="s">
        <v>1999</v>
      </c>
      <c r="M189" s="15" t="s">
        <v>2000</v>
      </c>
      <c r="N189" s="15" t="s">
        <v>73</v>
      </c>
      <c r="O189" s="16" t="n">
        <v>3</v>
      </c>
      <c r="P189" s="16" t="n">
        <v>1</v>
      </c>
      <c r="Q189" s="16" t="n">
        <v>2</v>
      </c>
      <c r="R189" s="16" t="n">
        <v>0</v>
      </c>
      <c r="S189" s="16" t="n">
        <v>6</v>
      </c>
      <c r="T189" s="17" t="n">
        <f aca="false">AVERAGE(O189:Q189)</f>
        <v>2</v>
      </c>
      <c r="U189" s="18" t="str">
        <f aca="false">IF(T189&gt;=$H$3,"Eligible","Not Eligible")</f>
        <v>Not Eligible</v>
      </c>
      <c r="V189" s="19" t="n">
        <f aca="false">IF(T189&lt;$H$3,0,IFERROR(T189/SUMIF($T$5:$T$999,"&gt;="&amp;$H$3),0))</f>
        <v>0</v>
      </c>
      <c r="W189" s="15" t="str">
        <f aca="false">IF(T189=0,"Win-Back","Active")</f>
        <v>Active</v>
      </c>
      <c r="X189" s="20" t="n">
        <f aca="false">IF(T189=0,0,IF(T189&gt;=$H$3,ROUND(T189*$D$3/SUMIF($T$5:$T$999,"&gt;="&amp;$H$3),0),ROUNDUP(T189*$D$3/SUMIF($T$5:$T$999,"&gt;="&amp;$H$3),0)))</f>
        <v>3</v>
      </c>
      <c r="Y189" s="21" t="n">
        <v>4</v>
      </c>
      <c r="Z189" s="16" t="n">
        <f aca="false">IF(X189=0,"",X189-Y189)</f>
        <v>-1</v>
      </c>
      <c r="AA189" s="22" t="n">
        <f aca="false">IFERROR(Y189/X189,"")</f>
        <v>1.33333333333333</v>
      </c>
      <c r="AB189" s="16" t="n">
        <v>0</v>
      </c>
      <c r="AC189" s="21"/>
    </row>
    <row r="190" customFormat="false" ht="15" hidden="false" customHeight="true" outlineLevel="0" collapsed="false">
      <c r="A190" s="15" t="s">
        <v>2001</v>
      </c>
      <c r="B190" s="15" t="s">
        <v>2002</v>
      </c>
      <c r="C190" s="15" t="s">
        <v>2003</v>
      </c>
      <c r="D190" s="15" t="s">
        <v>2004</v>
      </c>
      <c r="E190" s="15" t="s">
        <v>2005</v>
      </c>
      <c r="F190" s="15" t="s">
        <v>2006</v>
      </c>
      <c r="G190" s="15" t="s">
        <v>2007</v>
      </c>
      <c r="H190" s="15" t="s">
        <v>2008</v>
      </c>
      <c r="I190" s="15"/>
      <c r="J190" s="15" t="s">
        <v>2009</v>
      </c>
      <c r="K190" s="15" t="s">
        <v>563</v>
      </c>
      <c r="L190" s="15" t="s">
        <v>2010</v>
      </c>
      <c r="M190" s="15" t="s">
        <v>2011</v>
      </c>
      <c r="N190" s="15" t="s">
        <v>73</v>
      </c>
      <c r="O190" s="16" t="n">
        <v>0</v>
      </c>
      <c r="P190" s="16" t="n">
        <v>2</v>
      </c>
      <c r="Q190" s="16" t="n">
        <v>4</v>
      </c>
      <c r="R190" s="16" t="n">
        <v>0</v>
      </c>
      <c r="S190" s="16" t="n">
        <v>6</v>
      </c>
      <c r="T190" s="17" t="n">
        <f aca="false">AVERAGE(O190:Q190)</f>
        <v>2</v>
      </c>
      <c r="U190" s="18" t="str">
        <f aca="false">IF(T190&gt;=$H$3,"Eligible","Not Eligible")</f>
        <v>Not Eligible</v>
      </c>
      <c r="V190" s="19" t="n">
        <f aca="false">IF(T190&lt;$H$3,0,IFERROR(T190/SUMIF($T$5:$T$999,"&gt;="&amp;$H$3),0))</f>
        <v>0</v>
      </c>
      <c r="W190" s="15" t="str">
        <f aca="false">IF(T190=0,"Win-Back","Active")</f>
        <v>Active</v>
      </c>
      <c r="X190" s="20" t="n">
        <f aca="false">IF(T190=0,0,IF(T190&gt;=$H$3,ROUND(T190*$D$3/SUMIF($T$5:$T$999,"&gt;="&amp;$H$3),0),ROUNDUP(T190*$D$3/SUMIF($T$5:$T$999,"&gt;="&amp;$H$3),0)))</f>
        <v>3</v>
      </c>
      <c r="Y190" s="21"/>
      <c r="Z190" s="16" t="n">
        <f aca="false">IF(X190=0,"",X190-Y190)</f>
        <v>3</v>
      </c>
      <c r="AA190" s="22" t="n">
        <f aca="false">IFERROR(Y190/X190,"")</f>
        <v>0</v>
      </c>
      <c r="AB190" s="16" t="n">
        <v>0</v>
      </c>
      <c r="AC190" s="21"/>
    </row>
    <row r="191" customFormat="false" ht="15" hidden="false" customHeight="true" outlineLevel="0" collapsed="false">
      <c r="A191" s="15" t="s">
        <v>2012</v>
      </c>
      <c r="B191" s="15" t="s">
        <v>2013</v>
      </c>
      <c r="C191" s="15" t="s">
        <v>2014</v>
      </c>
      <c r="D191" s="15" t="s">
        <v>2015</v>
      </c>
      <c r="E191" s="15" t="s">
        <v>351</v>
      </c>
      <c r="F191" s="15" t="s">
        <v>2016</v>
      </c>
      <c r="G191" s="15" t="s">
        <v>353</v>
      </c>
      <c r="H191" s="15" t="s">
        <v>2017</v>
      </c>
      <c r="I191" s="15"/>
      <c r="J191" s="15" t="s">
        <v>2018</v>
      </c>
      <c r="K191" s="15" t="s">
        <v>70</v>
      </c>
      <c r="L191" s="15" t="s">
        <v>2019</v>
      </c>
      <c r="M191" s="15" t="s">
        <v>357</v>
      </c>
      <c r="N191" s="15" t="s">
        <v>73</v>
      </c>
      <c r="O191" s="16" t="n">
        <v>0</v>
      </c>
      <c r="P191" s="16" t="n">
        <v>1</v>
      </c>
      <c r="Q191" s="16" t="n">
        <v>4</v>
      </c>
      <c r="R191" s="16" t="n">
        <v>2</v>
      </c>
      <c r="S191" s="16" t="n">
        <v>7</v>
      </c>
      <c r="T191" s="17" t="n">
        <f aca="false">AVERAGE(O191:Q191)</f>
        <v>1.66666666666667</v>
      </c>
      <c r="U191" s="18" t="str">
        <f aca="false">IF(T191&gt;=$H$3,"Eligible","Not Eligible")</f>
        <v>Not Eligible</v>
      </c>
      <c r="V191" s="19" t="n">
        <f aca="false">IF(T191&lt;$H$3,0,IFERROR(T191/SUMIF($T$5:$T$999,"&gt;="&amp;$H$3),0))</f>
        <v>0</v>
      </c>
      <c r="W191" s="15" t="str">
        <f aca="false">IF(T191=0,"Win-Back","Active")</f>
        <v>Active</v>
      </c>
      <c r="X191" s="20" t="n">
        <f aca="false">IF(T191=0,0,IF(T191&gt;=$H$3,ROUND(T191*$D$3/SUMIF($T$5:$T$999,"&gt;="&amp;$H$3),0),ROUNDUP(T191*$D$3/SUMIF($T$5:$T$999,"&gt;="&amp;$H$3),0)))</f>
        <v>2</v>
      </c>
      <c r="Y191" s="21"/>
      <c r="Z191" s="16" t="n">
        <f aca="false">IF(X191=0,"",X191-Y191)</f>
        <v>2</v>
      </c>
      <c r="AA191" s="22" t="n">
        <f aca="false">IFERROR(Y191/X191,"")</f>
        <v>0</v>
      </c>
      <c r="AB191" s="16" t="n">
        <v>0</v>
      </c>
      <c r="AC191" s="21"/>
    </row>
    <row r="192" customFormat="false" ht="15" hidden="false" customHeight="true" outlineLevel="0" collapsed="false">
      <c r="A192" s="15" t="s">
        <v>2020</v>
      </c>
      <c r="B192" s="15" t="s">
        <v>2021</v>
      </c>
      <c r="C192" s="15" t="s">
        <v>2022</v>
      </c>
      <c r="D192" s="15" t="s">
        <v>2023</v>
      </c>
      <c r="E192" s="15" t="s">
        <v>2024</v>
      </c>
      <c r="F192" s="15" t="s">
        <v>2025</v>
      </c>
      <c r="G192" s="15" t="s">
        <v>2026</v>
      </c>
      <c r="H192" s="15" t="s">
        <v>2027</v>
      </c>
      <c r="I192" s="15"/>
      <c r="J192" s="15" t="s">
        <v>2028</v>
      </c>
      <c r="K192" s="15" t="s">
        <v>70</v>
      </c>
      <c r="L192" s="15" t="s">
        <v>2029</v>
      </c>
      <c r="M192" s="15" t="s">
        <v>2030</v>
      </c>
      <c r="N192" s="15" t="s">
        <v>73</v>
      </c>
      <c r="O192" s="16" t="n">
        <v>2</v>
      </c>
      <c r="P192" s="16" t="n">
        <v>3</v>
      </c>
      <c r="Q192" s="16" t="n">
        <v>0</v>
      </c>
      <c r="R192" s="16" t="n">
        <v>1</v>
      </c>
      <c r="S192" s="16" t="n">
        <v>6</v>
      </c>
      <c r="T192" s="17" t="n">
        <f aca="false">AVERAGE(O192:Q192)</f>
        <v>1.66666666666667</v>
      </c>
      <c r="U192" s="18" t="str">
        <f aca="false">IF(T192&gt;=$H$3,"Eligible","Not Eligible")</f>
        <v>Not Eligible</v>
      </c>
      <c r="V192" s="19" t="n">
        <f aca="false">IF(T192&lt;$H$3,0,IFERROR(T192/SUMIF($T$5:$T$999,"&gt;="&amp;$H$3),0))</f>
        <v>0</v>
      </c>
      <c r="W192" s="15" t="str">
        <f aca="false">IF(T192=0,"Win-Back","Active")</f>
        <v>Active</v>
      </c>
      <c r="X192" s="20" t="n">
        <f aca="false">IF(T192=0,0,IF(T192&gt;=$H$3,ROUND(T192*$D$3/SUMIF($T$5:$T$999,"&gt;="&amp;$H$3),0),ROUNDUP(T192*$D$3/SUMIF($T$5:$T$999,"&gt;="&amp;$H$3),0)))</f>
        <v>2</v>
      </c>
      <c r="Y192" s="21"/>
      <c r="Z192" s="16" t="n">
        <f aca="false">IF(X192=0,"",X192-Y192)</f>
        <v>2</v>
      </c>
      <c r="AA192" s="22" t="n">
        <f aca="false">IFERROR(Y192/X192,"")</f>
        <v>0</v>
      </c>
      <c r="AB192" s="16" t="n">
        <v>0</v>
      </c>
      <c r="AC192" s="21"/>
    </row>
    <row r="193" customFormat="false" ht="15" hidden="false" customHeight="true" outlineLevel="0" collapsed="false">
      <c r="A193" s="15" t="s">
        <v>2031</v>
      </c>
      <c r="B193" s="15" t="s">
        <v>2032</v>
      </c>
      <c r="C193" s="15" t="s">
        <v>2033</v>
      </c>
      <c r="D193" s="15" t="s">
        <v>2034</v>
      </c>
      <c r="E193" s="15" t="s">
        <v>2035</v>
      </c>
      <c r="F193" s="15" t="s">
        <v>2036</v>
      </c>
      <c r="G193" s="15" t="s">
        <v>2037</v>
      </c>
      <c r="H193" s="15" t="s">
        <v>2038</v>
      </c>
      <c r="I193" s="15"/>
      <c r="J193" s="15" t="s">
        <v>809</v>
      </c>
      <c r="K193" s="15" t="s">
        <v>735</v>
      </c>
      <c r="L193" s="15" t="s">
        <v>2039</v>
      </c>
      <c r="M193" s="15" t="s">
        <v>2040</v>
      </c>
      <c r="N193" s="15" t="s">
        <v>73</v>
      </c>
      <c r="O193" s="16" t="n">
        <v>2</v>
      </c>
      <c r="P193" s="16" t="n">
        <v>2</v>
      </c>
      <c r="Q193" s="16" t="n">
        <v>1</v>
      </c>
      <c r="R193" s="16" t="n">
        <v>1</v>
      </c>
      <c r="S193" s="16" t="n">
        <v>6</v>
      </c>
      <c r="T193" s="17" t="n">
        <f aca="false">AVERAGE(O193:Q193)</f>
        <v>1.66666666666667</v>
      </c>
      <c r="U193" s="18" t="str">
        <f aca="false">IF(T193&gt;=$H$3,"Eligible","Not Eligible")</f>
        <v>Not Eligible</v>
      </c>
      <c r="V193" s="19" t="n">
        <f aca="false">IF(T193&lt;$H$3,0,IFERROR(T193/SUMIF($T$5:$T$999,"&gt;="&amp;$H$3),0))</f>
        <v>0</v>
      </c>
      <c r="W193" s="15" t="str">
        <f aca="false">IF(T193=0,"Win-Back","Active")</f>
        <v>Active</v>
      </c>
      <c r="X193" s="20" t="n">
        <f aca="false">IF(T193=0,0,IF(T193&gt;=$H$3,ROUND(T193*$D$3/SUMIF($T$5:$T$999,"&gt;="&amp;$H$3),0),ROUNDUP(T193*$D$3/SUMIF($T$5:$T$999,"&gt;="&amp;$H$3),0)))</f>
        <v>2</v>
      </c>
      <c r="Y193" s="21" t="n">
        <v>3</v>
      </c>
      <c r="Z193" s="16" t="n">
        <f aca="false">IF(X193=0,"",X193-Y193)</f>
        <v>-1</v>
      </c>
      <c r="AA193" s="22" t="n">
        <f aca="false">IFERROR(Y193/X193,"")</f>
        <v>1.5</v>
      </c>
      <c r="AB193" s="16" t="n">
        <v>0</v>
      </c>
      <c r="AC193" s="21"/>
    </row>
    <row r="194" customFormat="false" ht="15" hidden="false" customHeight="true" outlineLevel="0" collapsed="false">
      <c r="A194" s="15" t="s">
        <v>2041</v>
      </c>
      <c r="B194" s="15" t="s">
        <v>2042</v>
      </c>
      <c r="C194" s="15" t="s">
        <v>2043</v>
      </c>
      <c r="D194" s="15" t="s">
        <v>2044</v>
      </c>
      <c r="E194" s="15" t="s">
        <v>2045</v>
      </c>
      <c r="F194" s="15" t="s">
        <v>2046</v>
      </c>
      <c r="G194" s="15" t="s">
        <v>2047</v>
      </c>
      <c r="H194" s="15" t="s">
        <v>2048</v>
      </c>
      <c r="I194" s="15" t="s">
        <v>2049</v>
      </c>
      <c r="J194" s="15" t="s">
        <v>2050</v>
      </c>
      <c r="K194" s="15" t="s">
        <v>70</v>
      </c>
      <c r="L194" s="15" t="s">
        <v>2051</v>
      </c>
      <c r="M194" s="15" t="s">
        <v>2052</v>
      </c>
      <c r="N194" s="15" t="s">
        <v>73</v>
      </c>
      <c r="O194" s="16" t="n">
        <v>2</v>
      </c>
      <c r="P194" s="16" t="n">
        <v>0</v>
      </c>
      <c r="Q194" s="16" t="n">
        <v>3</v>
      </c>
      <c r="R194" s="16" t="n">
        <v>1</v>
      </c>
      <c r="S194" s="16" t="n">
        <v>6</v>
      </c>
      <c r="T194" s="17" t="n">
        <f aca="false">AVERAGE(O194:Q194)</f>
        <v>1.66666666666667</v>
      </c>
      <c r="U194" s="18" t="str">
        <f aca="false">IF(T194&gt;=$H$3,"Eligible","Not Eligible")</f>
        <v>Not Eligible</v>
      </c>
      <c r="V194" s="19" t="n">
        <f aca="false">IF(T194&lt;$H$3,0,IFERROR(T194/SUMIF($T$5:$T$999,"&gt;="&amp;$H$3),0))</f>
        <v>0</v>
      </c>
      <c r="W194" s="15" t="str">
        <f aca="false">IF(T194=0,"Win-Back","Active")</f>
        <v>Active</v>
      </c>
      <c r="X194" s="20" t="n">
        <f aca="false">IF(T194=0,0,IF(T194&gt;=$H$3,ROUND(T194*$D$3/SUMIF($T$5:$T$999,"&gt;="&amp;$H$3),0),ROUNDUP(T194*$D$3/SUMIF($T$5:$T$999,"&gt;="&amp;$H$3),0)))</f>
        <v>2</v>
      </c>
      <c r="Y194" s="21"/>
      <c r="Z194" s="16" t="n">
        <f aca="false">IF(X194=0,"",X194-Y194)</f>
        <v>2</v>
      </c>
      <c r="AA194" s="22" t="n">
        <f aca="false">IFERROR(Y194/X194,"")</f>
        <v>0</v>
      </c>
      <c r="AB194" s="16" t="n">
        <v>0</v>
      </c>
      <c r="AC194" s="21"/>
    </row>
    <row r="195" customFormat="false" ht="15" hidden="false" customHeight="true" outlineLevel="0" collapsed="false">
      <c r="A195" s="15" t="s">
        <v>2053</v>
      </c>
      <c r="B195" s="15" t="s">
        <v>2054</v>
      </c>
      <c r="C195" s="15" t="s">
        <v>2055</v>
      </c>
      <c r="D195" s="15" t="s">
        <v>2056</v>
      </c>
      <c r="E195" s="15" t="s">
        <v>2057</v>
      </c>
      <c r="F195" s="15" t="s">
        <v>2058</v>
      </c>
      <c r="G195" s="15" t="s">
        <v>2059</v>
      </c>
      <c r="H195" s="15" t="s">
        <v>2060</v>
      </c>
      <c r="I195" s="15" t="s">
        <v>2061</v>
      </c>
      <c r="J195" s="15" t="s">
        <v>2062</v>
      </c>
      <c r="K195" s="15" t="s">
        <v>70</v>
      </c>
      <c r="L195" s="15" t="s">
        <v>2063</v>
      </c>
      <c r="M195" s="15" t="s">
        <v>2064</v>
      </c>
      <c r="N195" s="15" t="s">
        <v>73</v>
      </c>
      <c r="O195" s="16" t="n">
        <v>0</v>
      </c>
      <c r="P195" s="16" t="n">
        <v>1</v>
      </c>
      <c r="Q195" s="16" t="n">
        <v>4</v>
      </c>
      <c r="R195" s="16" t="n">
        <v>1</v>
      </c>
      <c r="S195" s="16" t="n">
        <v>6</v>
      </c>
      <c r="T195" s="17" t="n">
        <f aca="false">AVERAGE(O195:Q195)</f>
        <v>1.66666666666667</v>
      </c>
      <c r="U195" s="18" t="str">
        <f aca="false">IF(T195&gt;=$H$3,"Eligible","Not Eligible")</f>
        <v>Not Eligible</v>
      </c>
      <c r="V195" s="19" t="n">
        <f aca="false">IF(T195&lt;$H$3,0,IFERROR(T195/SUMIF($T$5:$T$999,"&gt;="&amp;$H$3),0))</f>
        <v>0</v>
      </c>
      <c r="W195" s="15" t="str">
        <f aca="false">IF(T195=0,"Win-Back","Active")</f>
        <v>Active</v>
      </c>
      <c r="X195" s="20" t="n">
        <f aca="false">IF(T195=0,0,IF(T195&gt;=$H$3,ROUND(T195*$D$3/SUMIF($T$5:$T$999,"&gt;="&amp;$H$3),0),ROUNDUP(T195*$D$3/SUMIF($T$5:$T$999,"&gt;="&amp;$H$3),0)))</f>
        <v>2</v>
      </c>
      <c r="Y195" s="21"/>
      <c r="Z195" s="16" t="n">
        <f aca="false">IF(X195=0,"",X195-Y195)</f>
        <v>2</v>
      </c>
      <c r="AA195" s="22" t="n">
        <f aca="false">IFERROR(Y195/X195,"")</f>
        <v>0</v>
      </c>
      <c r="AB195" s="16" t="n">
        <v>0</v>
      </c>
      <c r="AC195" s="21"/>
    </row>
    <row r="196" customFormat="false" ht="15" hidden="false" customHeight="true" outlineLevel="0" collapsed="false">
      <c r="A196" s="15" t="s">
        <v>2065</v>
      </c>
      <c r="B196" s="15" t="s">
        <v>2066</v>
      </c>
      <c r="C196" s="15" t="s">
        <v>2067</v>
      </c>
      <c r="D196" s="15" t="s">
        <v>2068</v>
      </c>
      <c r="E196" s="15" t="s">
        <v>2069</v>
      </c>
      <c r="F196" s="15" t="s">
        <v>2070</v>
      </c>
      <c r="G196" s="15" t="s">
        <v>2071</v>
      </c>
      <c r="H196" s="15" t="s">
        <v>2072</v>
      </c>
      <c r="I196" s="15"/>
      <c r="J196" s="15" t="s">
        <v>2073</v>
      </c>
      <c r="K196" s="15" t="s">
        <v>735</v>
      </c>
      <c r="L196" s="15" t="s">
        <v>2074</v>
      </c>
      <c r="M196" s="15" t="s">
        <v>2075</v>
      </c>
      <c r="N196" s="15" t="s">
        <v>73</v>
      </c>
      <c r="O196" s="16" t="n">
        <v>2</v>
      </c>
      <c r="P196" s="16" t="n">
        <v>0</v>
      </c>
      <c r="Q196" s="16" t="n">
        <v>3</v>
      </c>
      <c r="R196" s="16" t="n">
        <v>1</v>
      </c>
      <c r="S196" s="16" t="n">
        <v>6</v>
      </c>
      <c r="T196" s="17" t="n">
        <f aca="false">AVERAGE(O196:Q196)</f>
        <v>1.66666666666667</v>
      </c>
      <c r="U196" s="18" t="str">
        <f aca="false">IF(T196&gt;=$H$3,"Eligible","Not Eligible")</f>
        <v>Not Eligible</v>
      </c>
      <c r="V196" s="19" t="n">
        <f aca="false">IF(T196&lt;$H$3,0,IFERROR(T196/SUMIF($T$5:$T$999,"&gt;="&amp;$H$3),0))</f>
        <v>0</v>
      </c>
      <c r="W196" s="15" t="str">
        <f aca="false">IF(T196=0,"Win-Back","Active")</f>
        <v>Active</v>
      </c>
      <c r="X196" s="20" t="n">
        <f aca="false">IF(T196=0,0,IF(T196&gt;=$H$3,ROUND(T196*$D$3/SUMIF($T$5:$T$999,"&gt;="&amp;$H$3),0),ROUNDUP(T196*$D$3/SUMIF($T$5:$T$999,"&gt;="&amp;$H$3),0)))</f>
        <v>2</v>
      </c>
      <c r="Y196" s="21" t="n">
        <v>2</v>
      </c>
      <c r="Z196" s="16" t="n">
        <f aca="false">IF(X196=0,"",X196-Y196)</f>
        <v>0</v>
      </c>
      <c r="AA196" s="22" t="n">
        <f aca="false">IFERROR(Y196/X196,"")</f>
        <v>1</v>
      </c>
      <c r="AB196" s="16" t="n">
        <v>0</v>
      </c>
      <c r="AC196" s="21"/>
    </row>
    <row r="197" customFormat="false" ht="15" hidden="false" customHeight="true" outlineLevel="0" collapsed="false">
      <c r="A197" s="15" t="s">
        <v>2076</v>
      </c>
      <c r="B197" s="15" t="s">
        <v>2077</v>
      </c>
      <c r="C197" s="15" t="s">
        <v>2078</v>
      </c>
      <c r="D197" s="15" t="s">
        <v>2079</v>
      </c>
      <c r="E197" s="15" t="s">
        <v>2080</v>
      </c>
      <c r="F197" s="15" t="s">
        <v>2081</v>
      </c>
      <c r="G197" s="15" t="s">
        <v>2082</v>
      </c>
      <c r="H197" s="15" t="s">
        <v>2083</v>
      </c>
      <c r="I197" s="15" t="s">
        <v>2084</v>
      </c>
      <c r="J197" s="15" t="s">
        <v>2085</v>
      </c>
      <c r="K197" s="15" t="s">
        <v>47</v>
      </c>
      <c r="L197" s="15" t="s">
        <v>2086</v>
      </c>
      <c r="M197" s="15" t="s">
        <v>2087</v>
      </c>
      <c r="N197" s="15" t="s">
        <v>73</v>
      </c>
      <c r="O197" s="16" t="n">
        <v>2</v>
      </c>
      <c r="P197" s="16" t="n">
        <v>0</v>
      </c>
      <c r="Q197" s="16" t="n">
        <v>3</v>
      </c>
      <c r="R197" s="16" t="n">
        <v>0</v>
      </c>
      <c r="S197" s="16" t="n">
        <v>5</v>
      </c>
      <c r="T197" s="17" t="n">
        <f aca="false">AVERAGE(O197:Q197)</f>
        <v>1.66666666666667</v>
      </c>
      <c r="U197" s="18" t="str">
        <f aca="false">IF(T197&gt;=$H$3,"Eligible","Not Eligible")</f>
        <v>Not Eligible</v>
      </c>
      <c r="V197" s="19" t="n">
        <f aca="false">IF(T197&lt;$H$3,0,IFERROR(T197/SUMIF($T$5:$T$999,"&gt;="&amp;$H$3),0))</f>
        <v>0</v>
      </c>
      <c r="W197" s="15" t="str">
        <f aca="false">IF(T197=0,"Win-Back","Active")</f>
        <v>Active</v>
      </c>
      <c r="X197" s="20" t="n">
        <f aca="false">IF(T197=0,0,IF(T197&gt;=$H$3,ROUND(T197*$D$3/SUMIF($T$5:$T$999,"&gt;="&amp;$H$3),0),ROUNDUP(T197*$D$3/SUMIF($T$5:$T$999,"&gt;="&amp;$H$3),0)))</f>
        <v>2</v>
      </c>
      <c r="Y197" s="21"/>
      <c r="Z197" s="16" t="n">
        <f aca="false">IF(X197=0,"",X197-Y197)</f>
        <v>2</v>
      </c>
      <c r="AA197" s="22" t="n">
        <f aca="false">IFERROR(Y197/X197,"")</f>
        <v>0</v>
      </c>
      <c r="AB197" s="16" t="n">
        <v>0</v>
      </c>
      <c r="AC197" s="21"/>
    </row>
    <row r="198" customFormat="false" ht="15" hidden="false" customHeight="true" outlineLevel="0" collapsed="false">
      <c r="A198" s="15" t="s">
        <v>2088</v>
      </c>
      <c r="B198" s="15" t="s">
        <v>2089</v>
      </c>
      <c r="C198" s="15" t="s">
        <v>2090</v>
      </c>
      <c r="D198" s="15" t="s">
        <v>2091</v>
      </c>
      <c r="E198" s="15" t="s">
        <v>2092</v>
      </c>
      <c r="F198" s="15" t="s">
        <v>2093</v>
      </c>
      <c r="G198" s="15" t="s">
        <v>2094</v>
      </c>
      <c r="H198" s="15" t="s">
        <v>2095</v>
      </c>
      <c r="I198" s="15" t="s">
        <v>2096</v>
      </c>
      <c r="J198" s="15" t="s">
        <v>2097</v>
      </c>
      <c r="K198" s="15" t="s">
        <v>2098</v>
      </c>
      <c r="L198" s="15" t="s">
        <v>2099</v>
      </c>
      <c r="M198" s="15" t="s">
        <v>2100</v>
      </c>
      <c r="N198" s="15" t="s">
        <v>73</v>
      </c>
      <c r="O198" s="16" t="n">
        <v>2</v>
      </c>
      <c r="P198" s="16" t="n">
        <v>1</v>
      </c>
      <c r="Q198" s="16" t="n">
        <v>2</v>
      </c>
      <c r="R198" s="16" t="n">
        <v>0</v>
      </c>
      <c r="S198" s="16" t="n">
        <v>5</v>
      </c>
      <c r="T198" s="17" t="n">
        <f aca="false">AVERAGE(O198:Q198)</f>
        <v>1.66666666666667</v>
      </c>
      <c r="U198" s="18" t="str">
        <f aca="false">IF(T198&gt;=$H$3,"Eligible","Not Eligible")</f>
        <v>Not Eligible</v>
      </c>
      <c r="V198" s="19" t="n">
        <f aca="false">IF(T198&lt;$H$3,0,IFERROR(T198/SUMIF($T$5:$T$999,"&gt;="&amp;$H$3),0))</f>
        <v>0</v>
      </c>
      <c r="W198" s="15" t="str">
        <f aca="false">IF(T198=0,"Win-Back","Active")</f>
        <v>Active</v>
      </c>
      <c r="X198" s="20" t="n">
        <f aca="false">IF(T198=0,0,IF(T198&gt;=$H$3,ROUND(T198*$D$3/SUMIF($T$5:$T$999,"&gt;="&amp;$H$3),0),ROUNDUP(T198*$D$3/SUMIF($T$5:$T$999,"&gt;="&amp;$H$3),0)))</f>
        <v>2</v>
      </c>
      <c r="Y198" s="21" t="n">
        <v>1</v>
      </c>
      <c r="Z198" s="16" t="n">
        <f aca="false">IF(X198=0,"",X198-Y198)</f>
        <v>1</v>
      </c>
      <c r="AA198" s="22" t="n">
        <f aca="false">IFERROR(Y198/X198,"")</f>
        <v>0.5</v>
      </c>
      <c r="AB198" s="16" t="n">
        <v>0</v>
      </c>
      <c r="AC198" s="21"/>
    </row>
    <row r="199" customFormat="false" ht="15" hidden="false" customHeight="true" outlineLevel="0" collapsed="false">
      <c r="A199" s="15" t="s">
        <v>2101</v>
      </c>
      <c r="B199" s="15" t="s">
        <v>2102</v>
      </c>
      <c r="C199" s="15" t="s">
        <v>2103</v>
      </c>
      <c r="D199" s="15" t="s">
        <v>2104</v>
      </c>
      <c r="E199" s="15" t="s">
        <v>2105</v>
      </c>
      <c r="F199" s="15" t="s">
        <v>2106</v>
      </c>
      <c r="G199" s="15" t="s">
        <v>2107</v>
      </c>
      <c r="H199" s="15" t="s">
        <v>2108</v>
      </c>
      <c r="I199" s="15"/>
      <c r="J199" s="15" t="s">
        <v>1462</v>
      </c>
      <c r="K199" s="15" t="s">
        <v>70</v>
      </c>
      <c r="L199" s="15" t="s">
        <v>2109</v>
      </c>
      <c r="M199" s="15" t="s">
        <v>2110</v>
      </c>
      <c r="N199" s="15" t="s">
        <v>73</v>
      </c>
      <c r="O199" s="16" t="n">
        <v>0</v>
      </c>
      <c r="P199" s="16" t="n">
        <v>3</v>
      </c>
      <c r="Q199" s="16" t="n">
        <v>2</v>
      </c>
      <c r="R199" s="16" t="n">
        <v>0</v>
      </c>
      <c r="S199" s="16" t="n">
        <v>5</v>
      </c>
      <c r="T199" s="17" t="n">
        <f aca="false">AVERAGE(O199:Q199)</f>
        <v>1.66666666666667</v>
      </c>
      <c r="U199" s="18" t="str">
        <f aca="false">IF(T199&gt;=$H$3,"Eligible","Not Eligible")</f>
        <v>Not Eligible</v>
      </c>
      <c r="V199" s="19" t="n">
        <f aca="false">IF(T199&lt;$H$3,0,IFERROR(T199/SUMIF($T$5:$T$999,"&gt;="&amp;$H$3),0))</f>
        <v>0</v>
      </c>
      <c r="W199" s="15" t="str">
        <f aca="false">IF(T199=0,"Win-Back","Active")</f>
        <v>Active</v>
      </c>
      <c r="X199" s="20" t="n">
        <f aca="false">IF(T199=0,0,IF(T199&gt;=$H$3,ROUND(T199*$D$3/SUMIF($T$5:$T$999,"&gt;="&amp;$H$3),0),ROUNDUP(T199*$D$3/SUMIF($T$5:$T$999,"&gt;="&amp;$H$3),0)))</f>
        <v>2</v>
      </c>
      <c r="Y199" s="21" t="n">
        <v>1</v>
      </c>
      <c r="Z199" s="16" t="n">
        <f aca="false">IF(X199=0,"",X199-Y199)</f>
        <v>1</v>
      </c>
      <c r="AA199" s="22" t="n">
        <f aca="false">IFERROR(Y199/X199,"")</f>
        <v>0.5</v>
      </c>
      <c r="AB199" s="16" t="n">
        <v>0</v>
      </c>
      <c r="AC199" s="21"/>
    </row>
    <row r="200" customFormat="false" ht="15" hidden="false" customHeight="true" outlineLevel="0" collapsed="false">
      <c r="A200" s="15" t="s">
        <v>2111</v>
      </c>
      <c r="B200" s="15" t="s">
        <v>2112</v>
      </c>
      <c r="C200" s="15" t="s">
        <v>2113</v>
      </c>
      <c r="D200" s="15" t="s">
        <v>2114</v>
      </c>
      <c r="E200" s="15" t="s">
        <v>2115</v>
      </c>
      <c r="F200" s="15" t="s">
        <v>2116</v>
      </c>
      <c r="G200" s="15" t="s">
        <v>2117</v>
      </c>
      <c r="H200" s="15" t="s">
        <v>2118</v>
      </c>
      <c r="I200" s="15" t="s">
        <v>331</v>
      </c>
      <c r="J200" s="15" t="s">
        <v>2119</v>
      </c>
      <c r="K200" s="15" t="s">
        <v>615</v>
      </c>
      <c r="L200" s="15" t="s">
        <v>2120</v>
      </c>
      <c r="M200" s="15" t="s">
        <v>2121</v>
      </c>
      <c r="N200" s="15" t="s">
        <v>73</v>
      </c>
      <c r="O200" s="16" t="n">
        <v>1</v>
      </c>
      <c r="P200" s="16" t="n">
        <v>0</v>
      </c>
      <c r="Q200" s="16" t="n">
        <v>4</v>
      </c>
      <c r="R200" s="16" t="n">
        <v>0</v>
      </c>
      <c r="S200" s="16" t="n">
        <v>5</v>
      </c>
      <c r="T200" s="17" t="n">
        <f aca="false">AVERAGE(O200:Q200)</f>
        <v>1.66666666666667</v>
      </c>
      <c r="U200" s="18" t="str">
        <f aca="false">IF(T200&gt;=$H$3,"Eligible","Not Eligible")</f>
        <v>Not Eligible</v>
      </c>
      <c r="V200" s="19" t="n">
        <f aca="false">IF(T200&lt;$H$3,0,IFERROR(T200/SUMIF($T$5:$T$999,"&gt;="&amp;$H$3),0))</f>
        <v>0</v>
      </c>
      <c r="W200" s="15" t="str">
        <f aca="false">IF(T200=0,"Win-Back","Active")</f>
        <v>Active</v>
      </c>
      <c r="X200" s="20" t="n">
        <f aca="false">IF(T200=0,0,IF(T200&gt;=$H$3,ROUND(T200*$D$3/SUMIF($T$5:$T$999,"&gt;="&amp;$H$3),0),ROUNDUP(T200*$D$3/SUMIF($T$5:$T$999,"&gt;="&amp;$H$3),0)))</f>
        <v>2</v>
      </c>
      <c r="Y200" s="21" t="n">
        <v>2</v>
      </c>
      <c r="Z200" s="16" t="n">
        <f aca="false">IF(X200=0,"",X200-Y200)</f>
        <v>0</v>
      </c>
      <c r="AA200" s="22" t="n">
        <f aca="false">IFERROR(Y200/X200,"")</f>
        <v>1</v>
      </c>
      <c r="AB200" s="16" t="n">
        <v>0</v>
      </c>
      <c r="AC200" s="21"/>
    </row>
    <row r="201" customFormat="false" ht="15" hidden="false" customHeight="true" outlineLevel="0" collapsed="false">
      <c r="A201" s="15" t="s">
        <v>2122</v>
      </c>
      <c r="B201" s="15" t="s">
        <v>2123</v>
      </c>
      <c r="C201" s="15" t="s">
        <v>2124</v>
      </c>
      <c r="D201" s="15" t="s">
        <v>2125</v>
      </c>
      <c r="E201" s="15" t="s">
        <v>2126</v>
      </c>
      <c r="F201" s="15" t="s">
        <v>2127</v>
      </c>
      <c r="G201" s="15" t="s">
        <v>2128</v>
      </c>
      <c r="H201" s="15" t="s">
        <v>2129</v>
      </c>
      <c r="I201" s="15" t="s">
        <v>2130</v>
      </c>
      <c r="J201" s="15" t="s">
        <v>2131</v>
      </c>
      <c r="K201" s="15" t="s">
        <v>1255</v>
      </c>
      <c r="L201" s="15" t="s">
        <v>2132</v>
      </c>
      <c r="M201" s="15" t="s">
        <v>2133</v>
      </c>
      <c r="N201" s="15" t="s">
        <v>73</v>
      </c>
      <c r="O201" s="16" t="n">
        <v>2</v>
      </c>
      <c r="P201" s="16" t="n">
        <v>1</v>
      </c>
      <c r="Q201" s="16" t="n">
        <v>2</v>
      </c>
      <c r="R201" s="16" t="n">
        <v>0</v>
      </c>
      <c r="S201" s="16" t="n">
        <v>5</v>
      </c>
      <c r="T201" s="17" t="n">
        <f aca="false">AVERAGE(O201:Q201)</f>
        <v>1.66666666666667</v>
      </c>
      <c r="U201" s="18" t="str">
        <f aca="false">IF(T201&gt;=$H$3,"Eligible","Not Eligible")</f>
        <v>Not Eligible</v>
      </c>
      <c r="V201" s="19" t="n">
        <f aca="false">IF(T201&lt;$H$3,0,IFERROR(T201/SUMIF($T$5:$T$999,"&gt;="&amp;$H$3),0))</f>
        <v>0</v>
      </c>
      <c r="W201" s="15" t="str">
        <f aca="false">IF(T201=0,"Win-Back","Active")</f>
        <v>Active</v>
      </c>
      <c r="X201" s="20" t="n">
        <f aca="false">IF(T201=0,0,IF(T201&gt;=$H$3,ROUND(T201*$D$3/SUMIF($T$5:$T$999,"&gt;="&amp;$H$3),0),ROUNDUP(T201*$D$3/SUMIF($T$5:$T$999,"&gt;="&amp;$H$3),0)))</f>
        <v>2</v>
      </c>
      <c r="Y201" s="21" t="n">
        <v>1</v>
      </c>
      <c r="Z201" s="16" t="n">
        <f aca="false">IF(X201=0,"",X201-Y201)</f>
        <v>1</v>
      </c>
      <c r="AA201" s="22" t="n">
        <f aca="false">IFERROR(Y201/X201,"")</f>
        <v>0.5</v>
      </c>
      <c r="AB201" s="16" t="n">
        <v>0</v>
      </c>
      <c r="AC201" s="21"/>
    </row>
    <row r="202" customFormat="false" ht="15" hidden="false" customHeight="true" outlineLevel="0" collapsed="false">
      <c r="A202" s="15" t="s">
        <v>2134</v>
      </c>
      <c r="B202" s="15" t="s">
        <v>2135</v>
      </c>
      <c r="C202" s="15" t="s">
        <v>2136</v>
      </c>
      <c r="D202" s="15" t="s">
        <v>2137</v>
      </c>
      <c r="E202" s="15" t="s">
        <v>2138</v>
      </c>
      <c r="F202" s="15" t="s">
        <v>2139</v>
      </c>
      <c r="G202" s="15" t="s">
        <v>2140</v>
      </c>
      <c r="H202" s="15" t="s">
        <v>2141</v>
      </c>
      <c r="I202" s="15"/>
      <c r="J202" s="15" t="s">
        <v>2142</v>
      </c>
      <c r="K202" s="15" t="s">
        <v>2143</v>
      </c>
      <c r="L202" s="15" t="s">
        <v>2144</v>
      </c>
      <c r="M202" s="15" t="s">
        <v>2145</v>
      </c>
      <c r="N202" s="15" t="s">
        <v>73</v>
      </c>
      <c r="O202" s="16" t="n">
        <v>1</v>
      </c>
      <c r="P202" s="16" t="n">
        <v>2</v>
      </c>
      <c r="Q202" s="16" t="n">
        <v>2</v>
      </c>
      <c r="R202" s="16" t="n">
        <v>0</v>
      </c>
      <c r="S202" s="16" t="n">
        <v>5</v>
      </c>
      <c r="T202" s="17" t="n">
        <f aca="false">AVERAGE(O202:Q202)</f>
        <v>1.66666666666667</v>
      </c>
      <c r="U202" s="18" t="str">
        <f aca="false">IF(T202&gt;=$H$3,"Eligible","Not Eligible")</f>
        <v>Not Eligible</v>
      </c>
      <c r="V202" s="19" t="n">
        <f aca="false">IF(T202&lt;$H$3,0,IFERROR(T202/SUMIF($T$5:$T$999,"&gt;="&amp;$H$3),0))</f>
        <v>0</v>
      </c>
      <c r="W202" s="15" t="str">
        <f aca="false">IF(T202=0,"Win-Back","Active")</f>
        <v>Active</v>
      </c>
      <c r="X202" s="20" t="n">
        <f aca="false">IF(T202=0,0,IF(T202&gt;=$H$3,ROUND(T202*$D$3/SUMIF($T$5:$T$999,"&gt;="&amp;$H$3),0),ROUNDUP(T202*$D$3/SUMIF($T$5:$T$999,"&gt;="&amp;$H$3),0)))</f>
        <v>2</v>
      </c>
      <c r="Y202" s="21" t="n">
        <v>1</v>
      </c>
      <c r="Z202" s="16" t="n">
        <f aca="false">IF(X202=0,"",X202-Y202)</f>
        <v>1</v>
      </c>
      <c r="AA202" s="22" t="n">
        <f aca="false">IFERROR(Y202/X202,"")</f>
        <v>0.5</v>
      </c>
      <c r="AB202" s="16" t="n">
        <v>5</v>
      </c>
      <c r="AC202" s="21"/>
    </row>
    <row r="203" customFormat="false" ht="15" hidden="false" customHeight="true" outlineLevel="0" collapsed="false">
      <c r="A203" s="15" t="s">
        <v>2146</v>
      </c>
      <c r="B203" s="15" t="s">
        <v>2147</v>
      </c>
      <c r="C203" s="15" t="s">
        <v>2148</v>
      </c>
      <c r="D203" s="15" t="s">
        <v>2149</v>
      </c>
      <c r="E203" s="15" t="s">
        <v>2150</v>
      </c>
      <c r="F203" s="15" t="s">
        <v>2151</v>
      </c>
      <c r="G203" s="15" t="s">
        <v>2152</v>
      </c>
      <c r="H203" s="15" t="s">
        <v>2153</v>
      </c>
      <c r="I203" s="15"/>
      <c r="J203" s="15" t="s">
        <v>2154</v>
      </c>
      <c r="K203" s="15" t="s">
        <v>735</v>
      </c>
      <c r="L203" s="15" t="s">
        <v>2155</v>
      </c>
      <c r="M203" s="15" t="s">
        <v>2156</v>
      </c>
      <c r="N203" s="15" t="s">
        <v>73</v>
      </c>
      <c r="O203" s="16" t="n">
        <v>2</v>
      </c>
      <c r="P203" s="16" t="n">
        <v>1</v>
      </c>
      <c r="Q203" s="16" t="n">
        <v>2</v>
      </c>
      <c r="R203" s="16" t="n">
        <v>0</v>
      </c>
      <c r="S203" s="16" t="n">
        <v>5</v>
      </c>
      <c r="T203" s="17" t="n">
        <f aca="false">AVERAGE(O203:Q203)</f>
        <v>1.66666666666667</v>
      </c>
      <c r="U203" s="18" t="str">
        <f aca="false">IF(T203&gt;=$H$3,"Eligible","Not Eligible")</f>
        <v>Not Eligible</v>
      </c>
      <c r="V203" s="19" t="n">
        <f aca="false">IF(T203&lt;$H$3,0,IFERROR(T203/SUMIF($T$5:$T$999,"&gt;="&amp;$H$3),0))</f>
        <v>0</v>
      </c>
      <c r="W203" s="15" t="str">
        <f aca="false">IF(T203=0,"Win-Back","Active")</f>
        <v>Active</v>
      </c>
      <c r="X203" s="20" t="n">
        <f aca="false">IF(T203=0,0,IF(T203&gt;=$H$3,ROUND(T203*$D$3/SUMIF($T$5:$T$999,"&gt;="&amp;$H$3),0),ROUNDUP(T203*$D$3/SUMIF($T$5:$T$999,"&gt;="&amp;$H$3),0)))</f>
        <v>2</v>
      </c>
      <c r="Y203" s="21" t="n">
        <v>2</v>
      </c>
      <c r="Z203" s="16" t="n">
        <f aca="false">IF(X203=0,"",X203-Y203)</f>
        <v>0</v>
      </c>
      <c r="AA203" s="22" t="n">
        <f aca="false">IFERROR(Y203/X203,"")</f>
        <v>1</v>
      </c>
      <c r="AB203" s="16" t="n">
        <v>0</v>
      </c>
      <c r="AC203" s="21"/>
    </row>
    <row r="204" customFormat="false" ht="15" hidden="false" customHeight="true" outlineLevel="0" collapsed="false">
      <c r="A204" s="15" t="s">
        <v>2157</v>
      </c>
      <c r="B204" s="15" t="s">
        <v>2158</v>
      </c>
      <c r="C204" s="15" t="s">
        <v>2159</v>
      </c>
      <c r="D204" s="15" t="s">
        <v>2160</v>
      </c>
      <c r="E204" s="15" t="s">
        <v>2161</v>
      </c>
      <c r="F204" s="15" t="s">
        <v>2162</v>
      </c>
      <c r="G204" s="15" t="s">
        <v>2163</v>
      </c>
      <c r="H204" s="15" t="s">
        <v>2164</v>
      </c>
      <c r="I204" s="15"/>
      <c r="J204" s="15" t="s">
        <v>677</v>
      </c>
      <c r="K204" s="15" t="s">
        <v>678</v>
      </c>
      <c r="L204" s="15" t="s">
        <v>1838</v>
      </c>
      <c r="M204" s="15" t="s">
        <v>2165</v>
      </c>
      <c r="N204" s="15" t="s">
        <v>73</v>
      </c>
      <c r="O204" s="16" t="n">
        <v>2</v>
      </c>
      <c r="P204" s="16" t="n">
        <v>0</v>
      </c>
      <c r="Q204" s="16" t="n">
        <v>3</v>
      </c>
      <c r="R204" s="16" t="n">
        <v>0</v>
      </c>
      <c r="S204" s="16" t="n">
        <v>5</v>
      </c>
      <c r="T204" s="17" t="n">
        <f aca="false">AVERAGE(O204:Q204)</f>
        <v>1.66666666666667</v>
      </c>
      <c r="U204" s="18" t="str">
        <f aca="false">IF(T204&gt;=$H$3,"Eligible","Not Eligible")</f>
        <v>Not Eligible</v>
      </c>
      <c r="V204" s="19" t="n">
        <f aca="false">IF(T204&lt;$H$3,0,IFERROR(T204/SUMIF($T$5:$T$999,"&gt;="&amp;$H$3),0))</f>
        <v>0</v>
      </c>
      <c r="W204" s="15" t="str">
        <f aca="false">IF(T204=0,"Win-Back","Active")</f>
        <v>Active</v>
      </c>
      <c r="X204" s="20" t="n">
        <f aca="false">IF(T204=0,0,IF(T204&gt;=$H$3,ROUND(T204*$D$3/SUMIF($T$5:$T$999,"&gt;="&amp;$H$3),0),ROUNDUP(T204*$D$3/SUMIF($T$5:$T$999,"&gt;="&amp;$H$3),0)))</f>
        <v>2</v>
      </c>
      <c r="Y204" s="21" t="n">
        <v>4</v>
      </c>
      <c r="Z204" s="16" t="n">
        <f aca="false">IF(X204=0,"",X204-Y204)</f>
        <v>-2</v>
      </c>
      <c r="AA204" s="22" t="n">
        <f aca="false">IFERROR(Y204/X204,"")</f>
        <v>2</v>
      </c>
      <c r="AB204" s="16" t="n">
        <v>0</v>
      </c>
      <c r="AC204" s="21"/>
    </row>
    <row r="205" customFormat="false" ht="15" hidden="false" customHeight="true" outlineLevel="0" collapsed="false">
      <c r="A205" s="15" t="s">
        <v>2166</v>
      </c>
      <c r="B205" s="15" t="s">
        <v>2167</v>
      </c>
      <c r="C205" s="15" t="s">
        <v>2168</v>
      </c>
      <c r="D205" s="15" t="s">
        <v>2169</v>
      </c>
      <c r="E205" s="15" t="s">
        <v>2170</v>
      </c>
      <c r="F205" s="15" t="s">
        <v>2171</v>
      </c>
      <c r="G205" s="15" t="s">
        <v>2172</v>
      </c>
      <c r="H205" s="15" t="s">
        <v>2173</v>
      </c>
      <c r="I205" s="15" t="s">
        <v>2174</v>
      </c>
      <c r="J205" s="15" t="s">
        <v>777</v>
      </c>
      <c r="K205" s="15" t="s">
        <v>70</v>
      </c>
      <c r="L205" s="15" t="s">
        <v>2175</v>
      </c>
      <c r="M205" s="15" t="s">
        <v>2176</v>
      </c>
      <c r="N205" s="15" t="s">
        <v>73</v>
      </c>
      <c r="O205" s="16" t="n">
        <v>0</v>
      </c>
      <c r="P205" s="16" t="n">
        <v>1</v>
      </c>
      <c r="Q205" s="16" t="n">
        <v>4</v>
      </c>
      <c r="R205" s="16" t="n">
        <v>0</v>
      </c>
      <c r="S205" s="16" t="n">
        <v>5</v>
      </c>
      <c r="T205" s="17" t="n">
        <f aca="false">AVERAGE(O205:Q205)</f>
        <v>1.66666666666667</v>
      </c>
      <c r="U205" s="18" t="str">
        <f aca="false">IF(T205&gt;=$H$3,"Eligible","Not Eligible")</f>
        <v>Not Eligible</v>
      </c>
      <c r="V205" s="19" t="n">
        <f aca="false">IF(T205&lt;$H$3,0,IFERROR(T205/SUMIF($T$5:$T$999,"&gt;="&amp;$H$3),0))</f>
        <v>0</v>
      </c>
      <c r="W205" s="15" t="str">
        <f aca="false">IF(T205=0,"Win-Back","Active")</f>
        <v>Active</v>
      </c>
      <c r="X205" s="20" t="n">
        <f aca="false">IF(T205=0,0,IF(T205&gt;=$H$3,ROUND(T205*$D$3/SUMIF($T$5:$T$999,"&gt;="&amp;$H$3),0),ROUNDUP(T205*$D$3/SUMIF($T$5:$T$999,"&gt;="&amp;$H$3),0)))</f>
        <v>2</v>
      </c>
      <c r="Y205" s="21" t="n">
        <v>3</v>
      </c>
      <c r="Z205" s="16" t="n">
        <f aca="false">IF(X205=0,"",X205-Y205)</f>
        <v>-1</v>
      </c>
      <c r="AA205" s="22" t="n">
        <f aca="false">IFERROR(Y205/X205,"")</f>
        <v>1.5</v>
      </c>
      <c r="AB205" s="16" t="n">
        <v>0</v>
      </c>
      <c r="AC205" s="21"/>
    </row>
    <row r="206" customFormat="false" ht="15" hidden="false" customHeight="true" outlineLevel="0" collapsed="false">
      <c r="A206" s="15" t="s">
        <v>2177</v>
      </c>
      <c r="B206" s="15" t="s">
        <v>2178</v>
      </c>
      <c r="C206" s="15" t="s">
        <v>2179</v>
      </c>
      <c r="D206" s="15" t="s">
        <v>2180</v>
      </c>
      <c r="E206" s="15" t="s">
        <v>2181</v>
      </c>
      <c r="F206" s="15" t="s">
        <v>2182</v>
      </c>
      <c r="G206" s="15" t="s">
        <v>2183</v>
      </c>
      <c r="H206" s="15" t="s">
        <v>2184</v>
      </c>
      <c r="I206" s="15"/>
      <c r="J206" s="15" t="s">
        <v>379</v>
      </c>
      <c r="K206" s="15" t="s">
        <v>368</v>
      </c>
      <c r="L206" s="15" t="s">
        <v>2185</v>
      </c>
      <c r="M206" s="15" t="s">
        <v>2186</v>
      </c>
      <c r="N206" s="15" t="s">
        <v>73</v>
      </c>
      <c r="O206" s="16" t="n">
        <v>1</v>
      </c>
      <c r="P206" s="16" t="n">
        <v>2</v>
      </c>
      <c r="Q206" s="16" t="n">
        <v>2</v>
      </c>
      <c r="R206" s="16" t="n">
        <v>0</v>
      </c>
      <c r="S206" s="16" t="n">
        <v>5</v>
      </c>
      <c r="T206" s="17" t="n">
        <f aca="false">AVERAGE(O206:Q206)</f>
        <v>1.66666666666667</v>
      </c>
      <c r="U206" s="18" t="str">
        <f aca="false">IF(T206&gt;=$H$3,"Eligible","Not Eligible")</f>
        <v>Not Eligible</v>
      </c>
      <c r="V206" s="19" t="n">
        <f aca="false">IF(T206&lt;$H$3,0,IFERROR(T206/SUMIF($T$5:$T$999,"&gt;="&amp;$H$3),0))</f>
        <v>0</v>
      </c>
      <c r="W206" s="15" t="str">
        <f aca="false">IF(T206=0,"Win-Back","Active")</f>
        <v>Active</v>
      </c>
      <c r="X206" s="20" t="n">
        <f aca="false">IF(T206=0,0,IF(T206&gt;=$H$3,ROUND(T206*$D$3/SUMIF($T$5:$T$999,"&gt;="&amp;$H$3),0),ROUNDUP(T206*$D$3/SUMIF($T$5:$T$999,"&gt;="&amp;$H$3),0)))</f>
        <v>2</v>
      </c>
      <c r="Y206" s="21" t="n">
        <v>1</v>
      </c>
      <c r="Z206" s="16" t="n">
        <f aca="false">IF(X206=0,"",X206-Y206)</f>
        <v>1</v>
      </c>
      <c r="AA206" s="22" t="n">
        <f aca="false">IFERROR(Y206/X206,"")</f>
        <v>0.5</v>
      </c>
      <c r="AB206" s="16" t="n">
        <v>0</v>
      </c>
      <c r="AC206" s="21"/>
    </row>
    <row r="207" customFormat="false" ht="15" hidden="false" customHeight="true" outlineLevel="0" collapsed="false">
      <c r="A207" s="15" t="s">
        <v>2187</v>
      </c>
      <c r="B207" s="15" t="s">
        <v>2188</v>
      </c>
      <c r="C207" s="15" t="s">
        <v>2189</v>
      </c>
      <c r="D207" s="15" t="s">
        <v>2190</v>
      </c>
      <c r="E207" s="15" t="s">
        <v>2191</v>
      </c>
      <c r="F207" s="15" t="s">
        <v>2192</v>
      </c>
      <c r="G207" s="15" t="s">
        <v>2193</v>
      </c>
      <c r="H207" s="15" t="s">
        <v>2194</v>
      </c>
      <c r="I207" s="15"/>
      <c r="J207" s="15" t="s">
        <v>2195</v>
      </c>
      <c r="K207" s="15" t="s">
        <v>47</v>
      </c>
      <c r="L207" s="15" t="s">
        <v>2196</v>
      </c>
      <c r="M207" s="15" t="s">
        <v>2197</v>
      </c>
      <c r="N207" s="15" t="s">
        <v>73</v>
      </c>
      <c r="O207" s="16" t="n">
        <v>4</v>
      </c>
      <c r="P207" s="16" t="n">
        <v>1</v>
      </c>
      <c r="Q207" s="16" t="n">
        <v>0</v>
      </c>
      <c r="R207" s="16" t="n">
        <v>0</v>
      </c>
      <c r="S207" s="16" t="n">
        <v>5</v>
      </c>
      <c r="T207" s="17" t="n">
        <f aca="false">AVERAGE(O207:Q207)</f>
        <v>1.66666666666667</v>
      </c>
      <c r="U207" s="18" t="str">
        <f aca="false">IF(T207&gt;=$H$3,"Eligible","Not Eligible")</f>
        <v>Not Eligible</v>
      </c>
      <c r="V207" s="19" t="n">
        <f aca="false">IF(T207&lt;$H$3,0,IFERROR(T207/SUMIF($T$5:$T$999,"&gt;="&amp;$H$3),0))</f>
        <v>0</v>
      </c>
      <c r="W207" s="15" t="str">
        <f aca="false">IF(T207=0,"Win-Back","Active")</f>
        <v>Active</v>
      </c>
      <c r="X207" s="20" t="n">
        <f aca="false">IF(T207=0,0,IF(T207&gt;=$H$3,ROUND(T207*$D$3/SUMIF($T$5:$T$999,"&gt;="&amp;$H$3),0),ROUNDUP(T207*$D$3/SUMIF($T$5:$T$999,"&gt;="&amp;$H$3),0)))</f>
        <v>2</v>
      </c>
      <c r="Y207" s="21" t="n">
        <v>1</v>
      </c>
      <c r="Z207" s="16" t="n">
        <f aca="false">IF(X207=0,"",X207-Y207)</f>
        <v>1</v>
      </c>
      <c r="AA207" s="22" t="n">
        <f aca="false">IFERROR(Y207/X207,"")</f>
        <v>0.5</v>
      </c>
      <c r="AB207" s="16" t="n">
        <v>0</v>
      </c>
      <c r="AC207" s="21"/>
    </row>
    <row r="208" customFormat="false" ht="15" hidden="false" customHeight="true" outlineLevel="0" collapsed="false">
      <c r="A208" s="15" t="s">
        <v>2198</v>
      </c>
      <c r="B208" s="15" t="s">
        <v>2199</v>
      </c>
      <c r="C208" s="15" t="s">
        <v>2200</v>
      </c>
      <c r="D208" s="15" t="s">
        <v>2201</v>
      </c>
      <c r="E208" s="15" t="s">
        <v>2202</v>
      </c>
      <c r="F208" s="15" t="s">
        <v>2203</v>
      </c>
      <c r="G208" s="15" t="s">
        <v>2204</v>
      </c>
      <c r="H208" s="15" t="s">
        <v>2205</v>
      </c>
      <c r="I208" s="15" t="s">
        <v>2206</v>
      </c>
      <c r="J208" s="15" t="s">
        <v>2207</v>
      </c>
      <c r="K208" s="15" t="s">
        <v>2208</v>
      </c>
      <c r="L208" s="15" t="s">
        <v>2209</v>
      </c>
      <c r="M208" s="15" t="s">
        <v>2210</v>
      </c>
      <c r="N208" s="15" t="s">
        <v>73</v>
      </c>
      <c r="O208" s="16" t="n">
        <v>4</v>
      </c>
      <c r="P208" s="16" t="n">
        <v>1</v>
      </c>
      <c r="Q208" s="16" t="n">
        <v>0</v>
      </c>
      <c r="R208" s="16" t="n">
        <v>0</v>
      </c>
      <c r="S208" s="16" t="n">
        <v>5</v>
      </c>
      <c r="T208" s="17" t="n">
        <f aca="false">AVERAGE(O208:Q208)</f>
        <v>1.66666666666667</v>
      </c>
      <c r="U208" s="18" t="str">
        <f aca="false">IF(T208&gt;=$H$3,"Eligible","Not Eligible")</f>
        <v>Not Eligible</v>
      </c>
      <c r="V208" s="19" t="n">
        <f aca="false">IF(T208&lt;$H$3,0,IFERROR(T208/SUMIF($T$5:$T$999,"&gt;="&amp;$H$3),0))</f>
        <v>0</v>
      </c>
      <c r="W208" s="15" t="str">
        <f aca="false">IF(T208=0,"Win-Back","Active")</f>
        <v>Active</v>
      </c>
      <c r="X208" s="20" t="n">
        <f aca="false">IF(T208=0,0,IF(T208&gt;=$H$3,ROUND(T208*$D$3/SUMIF($T$5:$T$999,"&gt;="&amp;$H$3),0),ROUNDUP(T208*$D$3/SUMIF($T$5:$T$999,"&gt;="&amp;$H$3),0)))</f>
        <v>2</v>
      </c>
      <c r="Y208" s="21"/>
      <c r="Z208" s="16" t="n">
        <f aca="false">IF(X208=0,"",X208-Y208)</f>
        <v>2</v>
      </c>
      <c r="AA208" s="22" t="n">
        <f aca="false">IFERROR(Y208/X208,"")</f>
        <v>0</v>
      </c>
      <c r="AB208" s="16" t="n">
        <v>0</v>
      </c>
      <c r="AC208" s="21"/>
    </row>
    <row r="209" customFormat="false" ht="15" hidden="false" customHeight="true" outlineLevel="0" collapsed="false">
      <c r="A209" s="15" t="s">
        <v>2211</v>
      </c>
      <c r="B209" s="15" t="s">
        <v>2212</v>
      </c>
      <c r="C209" s="15" t="s">
        <v>2213</v>
      </c>
      <c r="D209" s="15" t="s">
        <v>2214</v>
      </c>
      <c r="E209" s="15" t="s">
        <v>2214</v>
      </c>
      <c r="F209" s="15" t="s">
        <v>2215</v>
      </c>
      <c r="G209" s="15" t="s">
        <v>2216</v>
      </c>
      <c r="H209" s="15" t="s">
        <v>2217</v>
      </c>
      <c r="I209" s="15" t="s">
        <v>904</v>
      </c>
      <c r="J209" s="15" t="s">
        <v>777</v>
      </c>
      <c r="K209" s="15" t="s">
        <v>70</v>
      </c>
      <c r="L209" s="15" t="s">
        <v>915</v>
      </c>
      <c r="M209" s="15" t="s">
        <v>2218</v>
      </c>
      <c r="N209" s="15" t="s">
        <v>73</v>
      </c>
      <c r="O209" s="16" t="n">
        <v>3</v>
      </c>
      <c r="P209" s="16" t="n">
        <v>1</v>
      </c>
      <c r="Q209" s="16" t="n">
        <v>1</v>
      </c>
      <c r="R209" s="16" t="n">
        <v>0</v>
      </c>
      <c r="S209" s="16" t="n">
        <v>5</v>
      </c>
      <c r="T209" s="17" t="n">
        <f aca="false">AVERAGE(O209:Q209)</f>
        <v>1.66666666666667</v>
      </c>
      <c r="U209" s="18" t="str">
        <f aca="false">IF(T209&gt;=$H$3,"Eligible","Not Eligible")</f>
        <v>Not Eligible</v>
      </c>
      <c r="V209" s="19" t="n">
        <f aca="false">IF(T209&lt;$H$3,0,IFERROR(T209/SUMIF($T$5:$T$999,"&gt;="&amp;$H$3),0))</f>
        <v>0</v>
      </c>
      <c r="W209" s="15" t="str">
        <f aca="false">IF(T209=0,"Win-Back","Active")</f>
        <v>Active</v>
      </c>
      <c r="X209" s="20" t="n">
        <f aca="false">IF(T209=0,0,IF(T209&gt;=$H$3,ROUND(T209*$D$3/SUMIF($T$5:$T$999,"&gt;="&amp;$H$3),0),ROUNDUP(T209*$D$3/SUMIF($T$5:$T$999,"&gt;="&amp;$H$3),0)))</f>
        <v>2</v>
      </c>
      <c r="Y209" s="21" t="n">
        <v>1</v>
      </c>
      <c r="Z209" s="16" t="n">
        <f aca="false">IF(X209=0,"",X209-Y209)</f>
        <v>1</v>
      </c>
      <c r="AA209" s="22" t="n">
        <f aca="false">IFERROR(Y209/X209,"")</f>
        <v>0.5</v>
      </c>
      <c r="AB209" s="16" t="n">
        <v>0</v>
      </c>
      <c r="AC209" s="21"/>
    </row>
    <row r="210" customFormat="false" ht="15" hidden="false" customHeight="true" outlineLevel="0" collapsed="false">
      <c r="A210" s="15" t="s">
        <v>2219</v>
      </c>
      <c r="B210" s="15" t="s">
        <v>2220</v>
      </c>
      <c r="C210" s="15" t="s">
        <v>2221</v>
      </c>
      <c r="D210" s="15" t="s">
        <v>2222</v>
      </c>
      <c r="E210" s="15" t="s">
        <v>2223</v>
      </c>
      <c r="F210" s="15" t="s">
        <v>2224</v>
      </c>
      <c r="G210" s="15" t="s">
        <v>2225</v>
      </c>
      <c r="H210" s="15" t="s">
        <v>2226</v>
      </c>
      <c r="I210" s="15" t="s">
        <v>2227</v>
      </c>
      <c r="J210" s="15" t="s">
        <v>1623</v>
      </c>
      <c r="K210" s="15" t="s">
        <v>615</v>
      </c>
      <c r="L210" s="15" t="s">
        <v>2228</v>
      </c>
      <c r="M210" s="15" t="s">
        <v>2229</v>
      </c>
      <c r="N210" s="15" t="s">
        <v>73</v>
      </c>
      <c r="O210" s="16" t="n">
        <v>2</v>
      </c>
      <c r="P210" s="16" t="n">
        <v>1</v>
      </c>
      <c r="Q210" s="16" t="n">
        <v>2</v>
      </c>
      <c r="R210" s="16" t="n">
        <v>0</v>
      </c>
      <c r="S210" s="16" t="n">
        <v>5</v>
      </c>
      <c r="T210" s="17" t="n">
        <f aca="false">AVERAGE(O210:Q210)</f>
        <v>1.66666666666667</v>
      </c>
      <c r="U210" s="18" t="str">
        <f aca="false">IF(T210&gt;=$H$3,"Eligible","Not Eligible")</f>
        <v>Not Eligible</v>
      </c>
      <c r="V210" s="19" t="n">
        <f aca="false">IF(T210&lt;$H$3,0,IFERROR(T210/SUMIF($T$5:$T$999,"&gt;="&amp;$H$3),0))</f>
        <v>0</v>
      </c>
      <c r="W210" s="15" t="str">
        <f aca="false">IF(T210=0,"Win-Back","Active")</f>
        <v>Active</v>
      </c>
      <c r="X210" s="20" t="n">
        <f aca="false">IF(T210=0,0,IF(T210&gt;=$H$3,ROUND(T210*$D$3/SUMIF($T$5:$T$999,"&gt;="&amp;$H$3),0),ROUNDUP(T210*$D$3/SUMIF($T$5:$T$999,"&gt;="&amp;$H$3),0)))</f>
        <v>2</v>
      </c>
      <c r="Y210" s="21" t="n">
        <v>2</v>
      </c>
      <c r="Z210" s="16" t="n">
        <f aca="false">IF(X210=0,"",X210-Y210)</f>
        <v>0</v>
      </c>
      <c r="AA210" s="22" t="n">
        <f aca="false">IFERROR(Y210/X210,"")</f>
        <v>1</v>
      </c>
      <c r="AB210" s="16" t="n">
        <v>0</v>
      </c>
      <c r="AC210" s="21"/>
    </row>
    <row r="211" customFormat="false" ht="15" hidden="false" customHeight="true" outlineLevel="0" collapsed="false">
      <c r="A211" s="15" t="s">
        <v>2230</v>
      </c>
      <c r="B211" s="15" t="s">
        <v>2231</v>
      </c>
      <c r="C211" s="15" t="s">
        <v>2232</v>
      </c>
      <c r="D211" s="15" t="s">
        <v>2233</v>
      </c>
      <c r="E211" s="15" t="s">
        <v>2234</v>
      </c>
      <c r="F211" s="15" t="s">
        <v>2235</v>
      </c>
      <c r="G211" s="15" t="s">
        <v>2236</v>
      </c>
      <c r="H211" s="15" t="s">
        <v>2237</v>
      </c>
      <c r="I211" s="15" t="s">
        <v>2238</v>
      </c>
      <c r="J211" s="15" t="s">
        <v>2239</v>
      </c>
      <c r="K211" s="15" t="s">
        <v>70</v>
      </c>
      <c r="L211" s="15" t="s">
        <v>2240</v>
      </c>
      <c r="M211" s="15" t="s">
        <v>2241</v>
      </c>
      <c r="N211" s="15" t="s">
        <v>73</v>
      </c>
      <c r="O211" s="16" t="n">
        <v>0</v>
      </c>
      <c r="P211" s="16" t="n">
        <v>1</v>
      </c>
      <c r="Q211" s="16" t="n">
        <v>4</v>
      </c>
      <c r="R211" s="16" t="n">
        <v>0</v>
      </c>
      <c r="S211" s="16" t="n">
        <v>5</v>
      </c>
      <c r="T211" s="17" t="n">
        <f aca="false">AVERAGE(O211:Q211)</f>
        <v>1.66666666666667</v>
      </c>
      <c r="U211" s="18" t="str">
        <f aca="false">IF(T211&gt;=$H$3,"Eligible","Not Eligible")</f>
        <v>Not Eligible</v>
      </c>
      <c r="V211" s="19" t="n">
        <f aca="false">IF(T211&lt;$H$3,0,IFERROR(T211/SUMIF($T$5:$T$999,"&gt;="&amp;$H$3),0))</f>
        <v>0</v>
      </c>
      <c r="W211" s="15" t="str">
        <f aca="false">IF(T211=0,"Win-Back","Active")</f>
        <v>Active</v>
      </c>
      <c r="X211" s="20" t="n">
        <f aca="false">IF(T211=0,0,IF(T211&gt;=$H$3,ROUND(T211*$D$3/SUMIF($T$5:$T$999,"&gt;="&amp;$H$3),0),ROUNDUP(T211*$D$3/SUMIF($T$5:$T$999,"&gt;="&amp;$H$3),0)))</f>
        <v>2</v>
      </c>
      <c r="Y211" s="21"/>
      <c r="Z211" s="16" t="n">
        <f aca="false">IF(X211=0,"",X211-Y211)</f>
        <v>2</v>
      </c>
      <c r="AA211" s="22" t="n">
        <f aca="false">IFERROR(Y211/X211,"")</f>
        <v>0</v>
      </c>
      <c r="AB211" s="16" t="n">
        <v>0</v>
      </c>
      <c r="AC211" s="21"/>
    </row>
    <row r="212" customFormat="false" ht="15" hidden="false" customHeight="true" outlineLevel="0" collapsed="false">
      <c r="A212" s="15" t="s">
        <v>2242</v>
      </c>
      <c r="B212" s="15" t="s">
        <v>2243</v>
      </c>
      <c r="C212" s="15" t="s">
        <v>2244</v>
      </c>
      <c r="D212" s="15" t="s">
        <v>2245</v>
      </c>
      <c r="E212" s="15" t="s">
        <v>2246</v>
      </c>
      <c r="F212" s="15" t="s">
        <v>2247</v>
      </c>
      <c r="G212" s="15" t="s">
        <v>2248</v>
      </c>
      <c r="H212" s="15" t="s">
        <v>2249</v>
      </c>
      <c r="I212" s="15" t="s">
        <v>2250</v>
      </c>
      <c r="J212" s="15" t="s">
        <v>367</v>
      </c>
      <c r="K212" s="15" t="s">
        <v>368</v>
      </c>
      <c r="L212" s="15" t="s">
        <v>2251</v>
      </c>
      <c r="M212" s="15" t="s">
        <v>2252</v>
      </c>
      <c r="N212" s="15" t="s">
        <v>73</v>
      </c>
      <c r="O212" s="16" t="n">
        <v>0</v>
      </c>
      <c r="P212" s="16" t="n">
        <v>0</v>
      </c>
      <c r="Q212" s="16" t="n">
        <v>5</v>
      </c>
      <c r="R212" s="16" t="n">
        <v>0</v>
      </c>
      <c r="S212" s="16" t="n">
        <v>5</v>
      </c>
      <c r="T212" s="17" t="n">
        <f aca="false">AVERAGE(O212:Q212)</f>
        <v>1.66666666666667</v>
      </c>
      <c r="U212" s="18" t="str">
        <f aca="false">IF(T212&gt;=$H$3,"Eligible","Not Eligible")</f>
        <v>Not Eligible</v>
      </c>
      <c r="V212" s="19" t="n">
        <f aca="false">IF(T212&lt;$H$3,0,IFERROR(T212/SUMIF($T$5:$T$999,"&gt;="&amp;$H$3),0))</f>
        <v>0</v>
      </c>
      <c r="W212" s="15" t="str">
        <f aca="false">IF(T212=0,"Win-Back","Active")</f>
        <v>Active</v>
      </c>
      <c r="X212" s="20" t="n">
        <f aca="false">IF(T212=0,0,IF(T212&gt;=$H$3,ROUND(T212*$D$3/SUMIF($T$5:$T$999,"&gt;="&amp;$H$3),0),ROUNDUP(T212*$D$3/SUMIF($T$5:$T$999,"&gt;="&amp;$H$3),0)))</f>
        <v>2</v>
      </c>
      <c r="Y212" s="21" t="n">
        <v>3</v>
      </c>
      <c r="Z212" s="16" t="n">
        <f aca="false">IF(X212=0,"",X212-Y212)</f>
        <v>-1</v>
      </c>
      <c r="AA212" s="22" t="n">
        <f aca="false">IFERROR(Y212/X212,"")</f>
        <v>1.5</v>
      </c>
      <c r="AB212" s="16" t="n">
        <v>0</v>
      </c>
      <c r="AC212" s="21"/>
    </row>
    <row r="213" customFormat="false" ht="15" hidden="false" customHeight="true" outlineLevel="0" collapsed="false">
      <c r="A213" s="15" t="s">
        <v>2253</v>
      </c>
      <c r="B213" s="15" t="s">
        <v>2254</v>
      </c>
      <c r="C213" s="15" t="s">
        <v>2255</v>
      </c>
      <c r="D213" s="15" t="s">
        <v>2256</v>
      </c>
      <c r="E213" s="15" t="s">
        <v>2257</v>
      </c>
      <c r="F213" s="15" t="s">
        <v>2258</v>
      </c>
      <c r="G213" s="15" t="s">
        <v>2259</v>
      </c>
      <c r="H213" s="15" t="s">
        <v>2260</v>
      </c>
      <c r="I213" s="15" t="s">
        <v>968</v>
      </c>
      <c r="J213" s="15" t="s">
        <v>2261</v>
      </c>
      <c r="K213" s="15" t="s">
        <v>1418</v>
      </c>
      <c r="L213" s="15" t="s">
        <v>2262</v>
      </c>
      <c r="M213" s="15" t="s">
        <v>2263</v>
      </c>
      <c r="N213" s="15" t="s">
        <v>73</v>
      </c>
      <c r="O213" s="16" t="n">
        <v>3</v>
      </c>
      <c r="P213" s="16" t="n">
        <v>1</v>
      </c>
      <c r="Q213" s="16" t="n">
        <v>1</v>
      </c>
      <c r="R213" s="16" t="n">
        <v>0</v>
      </c>
      <c r="S213" s="16" t="n">
        <v>5</v>
      </c>
      <c r="T213" s="17" t="n">
        <f aca="false">AVERAGE(O213:Q213)</f>
        <v>1.66666666666667</v>
      </c>
      <c r="U213" s="18" t="str">
        <f aca="false">IF(T213&gt;=$H$3,"Eligible","Not Eligible")</f>
        <v>Not Eligible</v>
      </c>
      <c r="V213" s="19" t="n">
        <f aca="false">IF(T213&lt;$H$3,0,IFERROR(T213/SUMIF($T$5:$T$999,"&gt;="&amp;$H$3),0))</f>
        <v>0</v>
      </c>
      <c r="W213" s="15" t="str">
        <f aca="false">IF(T213=0,"Win-Back","Active")</f>
        <v>Active</v>
      </c>
      <c r="X213" s="20" t="n">
        <f aca="false">IF(T213=0,0,IF(T213&gt;=$H$3,ROUND(T213*$D$3/SUMIF($T$5:$T$999,"&gt;="&amp;$H$3),0),ROUNDUP(T213*$D$3/SUMIF($T$5:$T$999,"&gt;="&amp;$H$3),0)))</f>
        <v>2</v>
      </c>
      <c r="Y213" s="21"/>
      <c r="Z213" s="16" t="n">
        <f aca="false">IF(X213=0,"",X213-Y213)</f>
        <v>2</v>
      </c>
      <c r="AA213" s="22" t="n">
        <f aca="false">IFERROR(Y213/X213,"")</f>
        <v>0</v>
      </c>
      <c r="AB213" s="16" t="n">
        <v>0</v>
      </c>
      <c r="AC213" s="21"/>
    </row>
    <row r="214" customFormat="false" ht="15" hidden="false" customHeight="true" outlineLevel="0" collapsed="false">
      <c r="A214" s="15" t="s">
        <v>2264</v>
      </c>
      <c r="B214" s="15" t="s">
        <v>2265</v>
      </c>
      <c r="C214" s="15" t="s">
        <v>2266</v>
      </c>
      <c r="D214" s="15" t="s">
        <v>2267</v>
      </c>
      <c r="E214" s="15" t="s">
        <v>2268</v>
      </c>
      <c r="F214" s="15" t="s">
        <v>2269</v>
      </c>
      <c r="G214" s="15" t="s">
        <v>2270</v>
      </c>
      <c r="H214" s="15" t="s">
        <v>2271</v>
      </c>
      <c r="I214" s="15"/>
      <c r="J214" s="15" t="s">
        <v>2272</v>
      </c>
      <c r="K214" s="15" t="s">
        <v>1418</v>
      </c>
      <c r="L214" s="15" t="s">
        <v>2273</v>
      </c>
      <c r="M214" s="15" t="s">
        <v>2274</v>
      </c>
      <c r="N214" s="15" t="s">
        <v>73</v>
      </c>
      <c r="O214" s="16" t="n">
        <v>1</v>
      </c>
      <c r="P214" s="16" t="n">
        <v>3</v>
      </c>
      <c r="Q214" s="16" t="n">
        <v>1</v>
      </c>
      <c r="R214" s="16" t="n">
        <v>0</v>
      </c>
      <c r="S214" s="16" t="n">
        <v>5</v>
      </c>
      <c r="T214" s="17" t="n">
        <f aca="false">AVERAGE(O214:Q214)</f>
        <v>1.66666666666667</v>
      </c>
      <c r="U214" s="18" t="str">
        <f aca="false">IF(T214&gt;=$H$3,"Eligible","Not Eligible")</f>
        <v>Not Eligible</v>
      </c>
      <c r="V214" s="19" t="n">
        <f aca="false">IF(T214&lt;$H$3,0,IFERROR(T214/SUMIF($T$5:$T$999,"&gt;="&amp;$H$3),0))</f>
        <v>0</v>
      </c>
      <c r="W214" s="15" t="str">
        <f aca="false">IF(T214=0,"Win-Back","Active")</f>
        <v>Active</v>
      </c>
      <c r="X214" s="20" t="n">
        <f aca="false">IF(T214=0,0,IF(T214&gt;=$H$3,ROUND(T214*$D$3/SUMIF($T$5:$T$999,"&gt;="&amp;$H$3),0),ROUNDUP(T214*$D$3/SUMIF($T$5:$T$999,"&gt;="&amp;$H$3),0)))</f>
        <v>2</v>
      </c>
      <c r="Y214" s="21"/>
      <c r="Z214" s="16" t="n">
        <f aca="false">IF(X214=0,"",X214-Y214)</f>
        <v>2</v>
      </c>
      <c r="AA214" s="22" t="n">
        <f aca="false">IFERROR(Y214/X214,"")</f>
        <v>0</v>
      </c>
      <c r="AB214" s="16" t="n">
        <v>0</v>
      </c>
      <c r="AC214" s="21"/>
    </row>
    <row r="215" customFormat="false" ht="15" hidden="false" customHeight="true" outlineLevel="0" collapsed="false">
      <c r="A215" s="15" t="s">
        <v>2275</v>
      </c>
      <c r="B215" s="15" t="s">
        <v>2276</v>
      </c>
      <c r="C215" s="15" t="s">
        <v>2277</v>
      </c>
      <c r="D215" s="15" t="s">
        <v>2278</v>
      </c>
      <c r="E215" s="15" t="s">
        <v>2279</v>
      </c>
      <c r="F215" s="15" t="s">
        <v>2280</v>
      </c>
      <c r="G215" s="15" t="s">
        <v>2281</v>
      </c>
      <c r="H215" s="15" t="s">
        <v>2282</v>
      </c>
      <c r="I215" s="15"/>
      <c r="J215" s="15" t="s">
        <v>777</v>
      </c>
      <c r="K215" s="15" t="s">
        <v>70</v>
      </c>
      <c r="L215" s="15" t="s">
        <v>915</v>
      </c>
      <c r="M215" s="15" t="s">
        <v>2283</v>
      </c>
      <c r="N215" s="15" t="s">
        <v>73</v>
      </c>
      <c r="O215" s="16" t="n">
        <v>0</v>
      </c>
      <c r="P215" s="16" t="n">
        <v>5</v>
      </c>
      <c r="Q215" s="16" t="n">
        <v>0</v>
      </c>
      <c r="R215" s="16" t="n">
        <v>0</v>
      </c>
      <c r="S215" s="16" t="n">
        <v>5</v>
      </c>
      <c r="T215" s="17" t="n">
        <f aca="false">AVERAGE(O215:Q215)</f>
        <v>1.66666666666667</v>
      </c>
      <c r="U215" s="18" t="str">
        <f aca="false">IF(T215&gt;=$H$3,"Eligible","Not Eligible")</f>
        <v>Not Eligible</v>
      </c>
      <c r="V215" s="19" t="n">
        <f aca="false">IF(T215&lt;$H$3,0,IFERROR(T215/SUMIF($T$5:$T$999,"&gt;="&amp;$H$3),0))</f>
        <v>0</v>
      </c>
      <c r="W215" s="15" t="str">
        <f aca="false">IF(T215=0,"Win-Back","Active")</f>
        <v>Active</v>
      </c>
      <c r="X215" s="20" t="n">
        <f aca="false">IF(T215=0,0,IF(T215&gt;=$H$3,ROUND(T215*$D$3/SUMIF($T$5:$T$999,"&gt;="&amp;$H$3),0),ROUNDUP(T215*$D$3/SUMIF($T$5:$T$999,"&gt;="&amp;$H$3),0)))</f>
        <v>2</v>
      </c>
      <c r="Y215" s="21" t="n">
        <v>1</v>
      </c>
      <c r="Z215" s="16" t="n">
        <f aca="false">IF(X215=0,"",X215-Y215)</f>
        <v>1</v>
      </c>
      <c r="AA215" s="22" t="n">
        <f aca="false">IFERROR(Y215/X215,"")</f>
        <v>0.5</v>
      </c>
      <c r="AB215" s="16" t="n">
        <v>0</v>
      </c>
      <c r="AC215" s="21"/>
    </row>
    <row r="216" customFormat="false" ht="15" hidden="false" customHeight="true" outlineLevel="0" collapsed="false">
      <c r="A216" s="15" t="s">
        <v>2284</v>
      </c>
      <c r="B216" s="15" t="s">
        <v>2285</v>
      </c>
      <c r="C216" s="15" t="s">
        <v>2286</v>
      </c>
      <c r="D216" s="15" t="s">
        <v>2287</v>
      </c>
      <c r="E216" s="15" t="s">
        <v>2288</v>
      </c>
      <c r="F216" s="15" t="s">
        <v>2289</v>
      </c>
      <c r="G216" s="15" t="s">
        <v>2290</v>
      </c>
      <c r="H216" s="15" t="s">
        <v>2291</v>
      </c>
      <c r="I216" s="15"/>
      <c r="J216" s="15" t="s">
        <v>947</v>
      </c>
      <c r="K216" s="15" t="s">
        <v>864</v>
      </c>
      <c r="L216" s="15" t="s">
        <v>2292</v>
      </c>
      <c r="M216" s="15" t="s">
        <v>2293</v>
      </c>
      <c r="N216" s="15" t="s">
        <v>73</v>
      </c>
      <c r="O216" s="16" t="n">
        <v>1</v>
      </c>
      <c r="P216" s="16" t="n">
        <v>0</v>
      </c>
      <c r="Q216" s="16" t="n">
        <v>4</v>
      </c>
      <c r="R216" s="16" t="n">
        <v>0</v>
      </c>
      <c r="S216" s="16" t="n">
        <v>5</v>
      </c>
      <c r="T216" s="17" t="n">
        <f aca="false">AVERAGE(O216:Q216)</f>
        <v>1.66666666666667</v>
      </c>
      <c r="U216" s="18" t="str">
        <f aca="false">IF(T216&gt;=$H$3,"Eligible","Not Eligible")</f>
        <v>Not Eligible</v>
      </c>
      <c r="V216" s="19" t="n">
        <f aca="false">IF(T216&lt;$H$3,0,IFERROR(T216/SUMIF($T$5:$T$999,"&gt;="&amp;$H$3),0))</f>
        <v>0</v>
      </c>
      <c r="W216" s="15" t="str">
        <f aca="false">IF(T216=0,"Win-Back","Active")</f>
        <v>Active</v>
      </c>
      <c r="X216" s="20" t="n">
        <f aca="false">IF(T216=0,0,IF(T216&gt;=$H$3,ROUND(T216*$D$3/SUMIF($T$5:$T$999,"&gt;="&amp;$H$3),0),ROUNDUP(T216*$D$3/SUMIF($T$5:$T$999,"&gt;="&amp;$H$3),0)))</f>
        <v>2</v>
      </c>
      <c r="Y216" s="21" t="n">
        <v>4</v>
      </c>
      <c r="Z216" s="16" t="n">
        <f aca="false">IF(X216=0,"",X216-Y216)</f>
        <v>-2</v>
      </c>
      <c r="AA216" s="22" t="n">
        <f aca="false">IFERROR(Y216/X216,"")</f>
        <v>2</v>
      </c>
      <c r="AB216" s="16" t="n">
        <v>0</v>
      </c>
      <c r="AC216" s="21"/>
    </row>
    <row r="217" customFormat="false" ht="15" hidden="false" customHeight="true" outlineLevel="0" collapsed="false">
      <c r="A217" s="15" t="s">
        <v>2294</v>
      </c>
      <c r="B217" s="15" t="s">
        <v>2295</v>
      </c>
      <c r="C217" s="15" t="s">
        <v>2296</v>
      </c>
      <c r="D217" s="15" t="s">
        <v>2297</v>
      </c>
      <c r="E217" s="15" t="s">
        <v>2298</v>
      </c>
      <c r="F217" s="15" t="s">
        <v>2299</v>
      </c>
      <c r="G217" s="15" t="s">
        <v>2300</v>
      </c>
      <c r="H217" s="15" t="s">
        <v>2301</v>
      </c>
      <c r="I217" s="15"/>
      <c r="J217" s="15" t="s">
        <v>2302</v>
      </c>
      <c r="K217" s="15" t="s">
        <v>1451</v>
      </c>
      <c r="L217" s="15" t="s">
        <v>2303</v>
      </c>
      <c r="M217" s="15" t="s">
        <v>2304</v>
      </c>
      <c r="N217" s="15" t="s">
        <v>73</v>
      </c>
      <c r="O217" s="16" t="n">
        <v>2</v>
      </c>
      <c r="P217" s="16" t="n">
        <v>2</v>
      </c>
      <c r="Q217" s="16" t="n">
        <v>1</v>
      </c>
      <c r="R217" s="16" t="n">
        <v>0</v>
      </c>
      <c r="S217" s="16" t="n">
        <v>5</v>
      </c>
      <c r="T217" s="17" t="n">
        <f aca="false">AVERAGE(O217:Q217)</f>
        <v>1.66666666666667</v>
      </c>
      <c r="U217" s="18" t="str">
        <f aca="false">IF(T217&gt;=$H$3,"Eligible","Not Eligible")</f>
        <v>Not Eligible</v>
      </c>
      <c r="V217" s="19" t="n">
        <f aca="false">IF(T217&lt;$H$3,0,IFERROR(T217/SUMIF($T$5:$T$999,"&gt;="&amp;$H$3),0))</f>
        <v>0</v>
      </c>
      <c r="W217" s="15" t="str">
        <f aca="false">IF(T217=0,"Win-Back","Active")</f>
        <v>Active</v>
      </c>
      <c r="X217" s="20" t="n">
        <f aca="false">IF(T217=0,0,IF(T217&gt;=$H$3,ROUND(T217*$D$3/SUMIF($T$5:$T$999,"&gt;="&amp;$H$3),0),ROUNDUP(T217*$D$3/SUMIF($T$5:$T$999,"&gt;="&amp;$H$3),0)))</f>
        <v>2</v>
      </c>
      <c r="Y217" s="21"/>
      <c r="Z217" s="16" t="n">
        <f aca="false">IF(X217=0,"",X217-Y217)</f>
        <v>2</v>
      </c>
      <c r="AA217" s="22" t="n">
        <f aca="false">IFERROR(Y217/X217,"")</f>
        <v>0</v>
      </c>
      <c r="AB217" s="16" t="n">
        <v>0</v>
      </c>
      <c r="AC217" s="21"/>
    </row>
    <row r="218" customFormat="false" ht="15" hidden="false" customHeight="true" outlineLevel="0" collapsed="false">
      <c r="A218" s="15" t="s">
        <v>2305</v>
      </c>
      <c r="B218" s="15" t="s">
        <v>2306</v>
      </c>
      <c r="C218" s="15" t="s">
        <v>2307</v>
      </c>
      <c r="D218" s="15" t="s">
        <v>2308</v>
      </c>
      <c r="E218" s="15" t="s">
        <v>2309</v>
      </c>
      <c r="F218" s="15" t="s">
        <v>2310</v>
      </c>
      <c r="G218" s="15" t="s">
        <v>2311</v>
      </c>
      <c r="H218" s="15" t="s">
        <v>2312</v>
      </c>
      <c r="I218" s="15"/>
      <c r="J218" s="15" t="s">
        <v>2313</v>
      </c>
      <c r="K218" s="15" t="s">
        <v>70</v>
      </c>
      <c r="L218" s="15" t="s">
        <v>2314</v>
      </c>
      <c r="M218" s="15" t="s">
        <v>2315</v>
      </c>
      <c r="N218" s="15" t="s">
        <v>73</v>
      </c>
      <c r="O218" s="16" t="n">
        <v>2</v>
      </c>
      <c r="P218" s="16" t="n">
        <v>1</v>
      </c>
      <c r="Q218" s="16" t="n">
        <v>2</v>
      </c>
      <c r="R218" s="16" t="n">
        <v>0</v>
      </c>
      <c r="S218" s="16" t="n">
        <v>5</v>
      </c>
      <c r="T218" s="17" t="n">
        <f aca="false">AVERAGE(O218:Q218)</f>
        <v>1.66666666666667</v>
      </c>
      <c r="U218" s="18" t="str">
        <f aca="false">IF(T218&gt;=$H$3,"Eligible","Not Eligible")</f>
        <v>Not Eligible</v>
      </c>
      <c r="V218" s="19" t="n">
        <f aca="false">IF(T218&lt;$H$3,0,IFERROR(T218/SUMIF($T$5:$T$999,"&gt;="&amp;$H$3),0))</f>
        <v>0</v>
      </c>
      <c r="W218" s="15" t="str">
        <f aca="false">IF(T218=0,"Win-Back","Active")</f>
        <v>Active</v>
      </c>
      <c r="X218" s="20" t="n">
        <f aca="false">IF(T218=0,0,IF(T218&gt;=$H$3,ROUND(T218*$D$3/SUMIF($T$5:$T$999,"&gt;="&amp;$H$3),0),ROUNDUP(T218*$D$3/SUMIF($T$5:$T$999,"&gt;="&amp;$H$3),0)))</f>
        <v>2</v>
      </c>
      <c r="Y218" s="21" t="n">
        <v>2</v>
      </c>
      <c r="Z218" s="16" t="n">
        <f aca="false">IF(X218=0,"",X218-Y218)</f>
        <v>0</v>
      </c>
      <c r="AA218" s="22" t="n">
        <f aca="false">IFERROR(Y218/X218,"")</f>
        <v>1</v>
      </c>
      <c r="AB218" s="16" t="n">
        <v>0</v>
      </c>
      <c r="AC218" s="21"/>
    </row>
    <row r="219" customFormat="false" ht="15" hidden="false" customHeight="true" outlineLevel="0" collapsed="false">
      <c r="A219" s="15" t="s">
        <v>2316</v>
      </c>
      <c r="B219" s="15" t="s">
        <v>2317</v>
      </c>
      <c r="C219" s="15" t="s">
        <v>2318</v>
      </c>
      <c r="D219" s="15" t="s">
        <v>2319</v>
      </c>
      <c r="E219" s="15" t="s">
        <v>2320</v>
      </c>
      <c r="F219" s="15" t="s">
        <v>2321</v>
      </c>
      <c r="G219" s="15" t="s">
        <v>2322</v>
      </c>
      <c r="H219" s="15" t="s">
        <v>2323</v>
      </c>
      <c r="I219" s="15"/>
      <c r="J219" s="15" t="s">
        <v>2324</v>
      </c>
      <c r="K219" s="15" t="s">
        <v>2325</v>
      </c>
      <c r="L219" s="15" t="s">
        <v>2326</v>
      </c>
      <c r="M219" s="15" t="s">
        <v>2327</v>
      </c>
      <c r="N219" s="15" t="s">
        <v>73</v>
      </c>
      <c r="O219" s="16" t="n">
        <v>1</v>
      </c>
      <c r="P219" s="16" t="n">
        <v>1</v>
      </c>
      <c r="Q219" s="16" t="n">
        <v>2</v>
      </c>
      <c r="R219" s="16" t="n">
        <v>2</v>
      </c>
      <c r="S219" s="16" t="n">
        <v>6</v>
      </c>
      <c r="T219" s="17" t="n">
        <f aca="false">AVERAGE(O219:Q219)</f>
        <v>1.33333333333333</v>
      </c>
      <c r="U219" s="18" t="str">
        <f aca="false">IF(T219&gt;=$H$3,"Eligible","Not Eligible")</f>
        <v>Not Eligible</v>
      </c>
      <c r="V219" s="19" t="n">
        <f aca="false">IF(T219&lt;$H$3,0,IFERROR(T219/SUMIF($T$5:$T$999,"&gt;="&amp;$H$3),0))</f>
        <v>0</v>
      </c>
      <c r="W219" s="15" t="str">
        <f aca="false">IF(T219=0,"Win-Back","Active")</f>
        <v>Active</v>
      </c>
      <c r="X219" s="20" t="n">
        <f aca="false">IF(T219=0,0,IF(T219&gt;=$H$3,ROUND(T219*$D$3/SUMIF($T$5:$T$999,"&gt;="&amp;$H$3),0),ROUNDUP(T219*$D$3/SUMIF($T$5:$T$999,"&gt;="&amp;$H$3),0)))</f>
        <v>2</v>
      </c>
      <c r="Y219" s="21" t="n">
        <v>1</v>
      </c>
      <c r="Z219" s="16" t="n">
        <f aca="false">IF(X219=0,"",X219-Y219)</f>
        <v>1</v>
      </c>
      <c r="AA219" s="22" t="n">
        <f aca="false">IFERROR(Y219/X219,"")</f>
        <v>0.5</v>
      </c>
      <c r="AB219" s="16" t="n">
        <v>0</v>
      </c>
      <c r="AC219" s="21"/>
    </row>
    <row r="220" customFormat="false" ht="15" hidden="false" customHeight="true" outlineLevel="0" collapsed="false">
      <c r="A220" s="15" t="s">
        <v>2328</v>
      </c>
      <c r="B220" s="15" t="s">
        <v>2329</v>
      </c>
      <c r="C220" s="15" t="s">
        <v>2330</v>
      </c>
      <c r="D220" s="15" t="s">
        <v>2331</v>
      </c>
      <c r="E220" s="15" t="s">
        <v>2332</v>
      </c>
      <c r="F220" s="15" t="s">
        <v>2333</v>
      </c>
      <c r="G220" s="15" t="s">
        <v>2334</v>
      </c>
      <c r="H220" s="15" t="s">
        <v>2335</v>
      </c>
      <c r="I220" s="15" t="s">
        <v>2336</v>
      </c>
      <c r="J220" s="15" t="s">
        <v>2337</v>
      </c>
      <c r="K220" s="15" t="s">
        <v>1418</v>
      </c>
      <c r="L220" s="15" t="s">
        <v>2338</v>
      </c>
      <c r="M220" s="15" t="s">
        <v>2339</v>
      </c>
      <c r="N220" s="15" t="s">
        <v>73</v>
      </c>
      <c r="O220" s="16" t="n">
        <v>2</v>
      </c>
      <c r="P220" s="16" t="n">
        <v>1</v>
      </c>
      <c r="Q220" s="16" t="n">
        <v>1</v>
      </c>
      <c r="R220" s="16" t="n">
        <v>1</v>
      </c>
      <c r="S220" s="16" t="n">
        <v>5</v>
      </c>
      <c r="T220" s="17" t="n">
        <f aca="false">AVERAGE(O220:Q220)</f>
        <v>1.33333333333333</v>
      </c>
      <c r="U220" s="18" t="str">
        <f aca="false">IF(T220&gt;=$H$3,"Eligible","Not Eligible")</f>
        <v>Not Eligible</v>
      </c>
      <c r="V220" s="19" t="n">
        <f aca="false">IF(T220&lt;$H$3,0,IFERROR(T220/SUMIF($T$5:$T$999,"&gt;="&amp;$H$3),0))</f>
        <v>0</v>
      </c>
      <c r="W220" s="15" t="str">
        <f aca="false">IF(T220=0,"Win-Back","Active")</f>
        <v>Active</v>
      </c>
      <c r="X220" s="20" t="n">
        <f aca="false">IF(T220=0,0,IF(T220&gt;=$H$3,ROUND(T220*$D$3/SUMIF($T$5:$T$999,"&gt;="&amp;$H$3),0),ROUNDUP(T220*$D$3/SUMIF($T$5:$T$999,"&gt;="&amp;$H$3),0)))</f>
        <v>2</v>
      </c>
      <c r="Y220" s="21"/>
      <c r="Z220" s="16" t="n">
        <f aca="false">IF(X220=0,"",X220-Y220)</f>
        <v>2</v>
      </c>
      <c r="AA220" s="22" t="n">
        <f aca="false">IFERROR(Y220/X220,"")</f>
        <v>0</v>
      </c>
      <c r="AB220" s="16" t="n">
        <v>0</v>
      </c>
      <c r="AC220" s="21"/>
    </row>
    <row r="221" customFormat="false" ht="15" hidden="false" customHeight="true" outlineLevel="0" collapsed="false">
      <c r="A221" s="15" t="s">
        <v>2340</v>
      </c>
      <c r="B221" s="15" t="s">
        <v>2341</v>
      </c>
      <c r="C221" s="15" t="s">
        <v>2342</v>
      </c>
      <c r="D221" s="15" t="s">
        <v>2343</v>
      </c>
      <c r="E221" s="15" t="s">
        <v>2344</v>
      </c>
      <c r="F221" s="15" t="s">
        <v>2345</v>
      </c>
      <c r="G221" s="15" t="s">
        <v>2346</v>
      </c>
      <c r="H221" s="15" t="s">
        <v>2347</v>
      </c>
      <c r="I221" s="15"/>
      <c r="J221" s="15" t="s">
        <v>46</v>
      </c>
      <c r="K221" s="15" t="s">
        <v>47</v>
      </c>
      <c r="L221" s="15" t="s">
        <v>2348</v>
      </c>
      <c r="M221" s="15" t="s">
        <v>2349</v>
      </c>
      <c r="N221" s="15" t="s">
        <v>73</v>
      </c>
      <c r="O221" s="16" t="n">
        <v>0</v>
      </c>
      <c r="P221" s="16" t="n">
        <v>2</v>
      </c>
      <c r="Q221" s="16" t="n">
        <v>2</v>
      </c>
      <c r="R221" s="16" t="n">
        <v>1</v>
      </c>
      <c r="S221" s="16" t="n">
        <v>5</v>
      </c>
      <c r="T221" s="17" t="n">
        <f aca="false">AVERAGE(O221:Q221)</f>
        <v>1.33333333333333</v>
      </c>
      <c r="U221" s="18" t="str">
        <f aca="false">IF(T221&gt;=$H$3,"Eligible","Not Eligible")</f>
        <v>Not Eligible</v>
      </c>
      <c r="V221" s="19" t="n">
        <f aca="false">IF(T221&lt;$H$3,0,IFERROR(T221/SUMIF($T$5:$T$999,"&gt;="&amp;$H$3),0))</f>
        <v>0</v>
      </c>
      <c r="W221" s="15" t="str">
        <f aca="false">IF(T221=0,"Win-Back","Active")</f>
        <v>Active</v>
      </c>
      <c r="X221" s="20" t="n">
        <f aca="false">IF(T221=0,0,IF(T221&gt;=$H$3,ROUND(T221*$D$3/SUMIF($T$5:$T$999,"&gt;="&amp;$H$3),0),ROUNDUP(T221*$D$3/SUMIF($T$5:$T$999,"&gt;="&amp;$H$3),0)))</f>
        <v>2</v>
      </c>
      <c r="Y221" s="21"/>
      <c r="Z221" s="16" t="n">
        <f aca="false">IF(X221=0,"",X221-Y221)</f>
        <v>2</v>
      </c>
      <c r="AA221" s="22" t="n">
        <f aca="false">IFERROR(Y221/X221,"")</f>
        <v>0</v>
      </c>
      <c r="AB221" s="16" t="n">
        <v>0</v>
      </c>
      <c r="AC221" s="21"/>
    </row>
    <row r="222" customFormat="false" ht="15" hidden="false" customHeight="true" outlineLevel="0" collapsed="false">
      <c r="A222" s="15" t="s">
        <v>2350</v>
      </c>
      <c r="B222" s="15" t="s">
        <v>2351</v>
      </c>
      <c r="C222" s="15" t="s">
        <v>2352</v>
      </c>
      <c r="D222" s="15" t="s">
        <v>2353</v>
      </c>
      <c r="E222" s="15" t="s">
        <v>2354</v>
      </c>
      <c r="F222" s="15" t="s">
        <v>2355</v>
      </c>
      <c r="G222" s="15" t="s">
        <v>2356</v>
      </c>
      <c r="H222" s="15" t="s">
        <v>2357</v>
      </c>
      <c r="I222" s="15"/>
      <c r="J222" s="15" t="s">
        <v>46</v>
      </c>
      <c r="K222" s="15" t="s">
        <v>47</v>
      </c>
      <c r="L222" s="15" t="s">
        <v>474</v>
      </c>
      <c r="M222" s="15" t="s">
        <v>2358</v>
      </c>
      <c r="N222" s="15" t="s">
        <v>73</v>
      </c>
      <c r="O222" s="16" t="n">
        <v>2</v>
      </c>
      <c r="P222" s="16" t="n">
        <v>1</v>
      </c>
      <c r="Q222" s="16" t="n">
        <v>1</v>
      </c>
      <c r="R222" s="16" t="n">
        <v>1</v>
      </c>
      <c r="S222" s="16" t="n">
        <v>5</v>
      </c>
      <c r="T222" s="17" t="n">
        <f aca="false">AVERAGE(O222:Q222)</f>
        <v>1.33333333333333</v>
      </c>
      <c r="U222" s="18" t="str">
        <f aca="false">IF(T222&gt;=$H$3,"Eligible","Not Eligible")</f>
        <v>Not Eligible</v>
      </c>
      <c r="V222" s="19" t="n">
        <f aca="false">IF(T222&lt;$H$3,0,IFERROR(T222/SUMIF($T$5:$T$999,"&gt;="&amp;$H$3),0))</f>
        <v>0</v>
      </c>
      <c r="W222" s="15" t="str">
        <f aca="false">IF(T222=0,"Win-Back","Active")</f>
        <v>Active</v>
      </c>
      <c r="X222" s="20" t="n">
        <f aca="false">IF(T222=0,0,IF(T222&gt;=$H$3,ROUND(T222*$D$3/SUMIF($T$5:$T$999,"&gt;="&amp;$H$3),0),ROUNDUP(T222*$D$3/SUMIF($T$5:$T$999,"&gt;="&amp;$H$3),0)))</f>
        <v>2</v>
      </c>
      <c r="Y222" s="21"/>
      <c r="Z222" s="16" t="n">
        <f aca="false">IF(X222=0,"",X222-Y222)</f>
        <v>2</v>
      </c>
      <c r="AA222" s="22" t="n">
        <f aca="false">IFERROR(Y222/X222,"")</f>
        <v>0</v>
      </c>
      <c r="AB222" s="16" t="n">
        <v>0</v>
      </c>
      <c r="AC222" s="21"/>
    </row>
    <row r="223" customFormat="false" ht="15" hidden="false" customHeight="true" outlineLevel="0" collapsed="false">
      <c r="A223" s="15" t="s">
        <v>2359</v>
      </c>
      <c r="B223" s="15" t="s">
        <v>2360</v>
      </c>
      <c r="C223" s="15" t="s">
        <v>2361</v>
      </c>
      <c r="D223" s="15" t="s">
        <v>2362</v>
      </c>
      <c r="E223" s="15" t="s">
        <v>2363</v>
      </c>
      <c r="F223" s="15" t="s">
        <v>2364</v>
      </c>
      <c r="G223" s="15" t="s">
        <v>2365</v>
      </c>
      <c r="H223" s="15" t="s">
        <v>2366</v>
      </c>
      <c r="I223" s="15"/>
      <c r="J223" s="15" t="s">
        <v>2367</v>
      </c>
      <c r="K223" s="15" t="s">
        <v>368</v>
      </c>
      <c r="L223" s="15" t="s">
        <v>2368</v>
      </c>
      <c r="M223" s="15" t="s">
        <v>2369</v>
      </c>
      <c r="N223" s="15" t="s">
        <v>73</v>
      </c>
      <c r="O223" s="16" t="n">
        <v>1</v>
      </c>
      <c r="P223" s="16" t="n">
        <v>0</v>
      </c>
      <c r="Q223" s="16" t="n">
        <v>3</v>
      </c>
      <c r="R223" s="16" t="n">
        <v>1</v>
      </c>
      <c r="S223" s="16" t="n">
        <v>5</v>
      </c>
      <c r="T223" s="17" t="n">
        <f aca="false">AVERAGE(O223:Q223)</f>
        <v>1.33333333333333</v>
      </c>
      <c r="U223" s="18" t="str">
        <f aca="false">IF(T223&gt;=$H$3,"Eligible","Not Eligible")</f>
        <v>Not Eligible</v>
      </c>
      <c r="V223" s="19" t="n">
        <f aca="false">IF(T223&lt;$H$3,0,IFERROR(T223/SUMIF($T$5:$T$999,"&gt;="&amp;$H$3),0))</f>
        <v>0</v>
      </c>
      <c r="W223" s="15" t="str">
        <f aca="false">IF(T223=0,"Win-Back","Active")</f>
        <v>Active</v>
      </c>
      <c r="X223" s="20" t="n">
        <f aca="false">IF(T223=0,0,IF(T223&gt;=$H$3,ROUND(T223*$D$3/SUMIF($T$5:$T$999,"&gt;="&amp;$H$3),0),ROUNDUP(T223*$D$3/SUMIF($T$5:$T$999,"&gt;="&amp;$H$3),0)))</f>
        <v>2</v>
      </c>
      <c r="Y223" s="21" t="n">
        <v>1</v>
      </c>
      <c r="Z223" s="16" t="n">
        <f aca="false">IF(X223=0,"",X223-Y223)</f>
        <v>1</v>
      </c>
      <c r="AA223" s="22" t="n">
        <f aca="false">IFERROR(Y223/X223,"")</f>
        <v>0.5</v>
      </c>
      <c r="AB223" s="16" t="n">
        <v>0</v>
      </c>
      <c r="AC223" s="21"/>
    </row>
    <row r="224" customFormat="false" ht="15" hidden="false" customHeight="true" outlineLevel="0" collapsed="false">
      <c r="A224" s="15" t="s">
        <v>2370</v>
      </c>
      <c r="B224" s="15" t="s">
        <v>2371</v>
      </c>
      <c r="C224" s="15" t="s">
        <v>2372</v>
      </c>
      <c r="D224" s="15" t="s">
        <v>2373</v>
      </c>
      <c r="E224" s="15" t="s">
        <v>2374</v>
      </c>
      <c r="F224" s="15" t="s">
        <v>2375</v>
      </c>
      <c r="G224" s="15" t="s">
        <v>2376</v>
      </c>
      <c r="H224" s="15" t="s">
        <v>2377</v>
      </c>
      <c r="I224" s="15" t="s">
        <v>2378</v>
      </c>
      <c r="J224" s="15" t="s">
        <v>2379</v>
      </c>
      <c r="K224" s="15" t="s">
        <v>368</v>
      </c>
      <c r="L224" s="15" t="s">
        <v>2380</v>
      </c>
      <c r="M224" s="15" t="s">
        <v>2381</v>
      </c>
      <c r="N224" s="15" t="s">
        <v>73</v>
      </c>
      <c r="O224" s="16" t="n">
        <v>1</v>
      </c>
      <c r="P224" s="16" t="n">
        <v>2</v>
      </c>
      <c r="Q224" s="16" t="n">
        <v>1</v>
      </c>
      <c r="R224" s="16" t="n">
        <v>1</v>
      </c>
      <c r="S224" s="16" t="n">
        <v>5</v>
      </c>
      <c r="T224" s="17" t="n">
        <f aca="false">AVERAGE(O224:Q224)</f>
        <v>1.33333333333333</v>
      </c>
      <c r="U224" s="18" t="str">
        <f aca="false">IF(T224&gt;=$H$3,"Eligible","Not Eligible")</f>
        <v>Not Eligible</v>
      </c>
      <c r="V224" s="19" t="n">
        <f aca="false">IF(T224&lt;$H$3,0,IFERROR(T224/SUMIF($T$5:$T$999,"&gt;="&amp;$H$3),0))</f>
        <v>0</v>
      </c>
      <c r="W224" s="15" t="str">
        <f aca="false">IF(T224=0,"Win-Back","Active")</f>
        <v>Active</v>
      </c>
      <c r="X224" s="20" t="n">
        <f aca="false">IF(T224=0,0,IF(T224&gt;=$H$3,ROUND(T224*$D$3/SUMIF($T$5:$T$999,"&gt;="&amp;$H$3),0),ROUNDUP(T224*$D$3/SUMIF($T$5:$T$999,"&gt;="&amp;$H$3),0)))</f>
        <v>2</v>
      </c>
      <c r="Y224" s="21" t="n">
        <v>5</v>
      </c>
      <c r="Z224" s="16" t="n">
        <f aca="false">IF(X224=0,"",X224-Y224)</f>
        <v>-3</v>
      </c>
      <c r="AA224" s="22" t="n">
        <f aca="false">IFERROR(Y224/X224,"")</f>
        <v>2.5</v>
      </c>
      <c r="AB224" s="16" t="n">
        <v>0</v>
      </c>
      <c r="AC224" s="21"/>
    </row>
    <row r="225" customFormat="false" ht="15" hidden="false" customHeight="true" outlineLevel="0" collapsed="false">
      <c r="A225" s="15" t="s">
        <v>2382</v>
      </c>
      <c r="B225" s="15" t="s">
        <v>2383</v>
      </c>
      <c r="C225" s="15" t="s">
        <v>2384</v>
      </c>
      <c r="D225" s="15" t="s">
        <v>2385</v>
      </c>
      <c r="E225" s="15" t="s">
        <v>2386</v>
      </c>
      <c r="F225" s="15" t="s">
        <v>2387</v>
      </c>
      <c r="G225" s="15" t="s">
        <v>2388</v>
      </c>
      <c r="H225" s="15" t="s">
        <v>2389</v>
      </c>
      <c r="I225" s="15"/>
      <c r="J225" s="15" t="s">
        <v>777</v>
      </c>
      <c r="K225" s="15" t="s">
        <v>70</v>
      </c>
      <c r="L225" s="15" t="s">
        <v>2390</v>
      </c>
      <c r="M225" s="15" t="s">
        <v>2391</v>
      </c>
      <c r="N225" s="15" t="s">
        <v>73</v>
      </c>
      <c r="O225" s="16" t="n">
        <v>1</v>
      </c>
      <c r="P225" s="16" t="n">
        <v>1</v>
      </c>
      <c r="Q225" s="16" t="n">
        <v>2</v>
      </c>
      <c r="R225" s="16" t="n">
        <v>1</v>
      </c>
      <c r="S225" s="16" t="n">
        <v>5</v>
      </c>
      <c r="T225" s="17" t="n">
        <f aca="false">AVERAGE(O225:Q225)</f>
        <v>1.33333333333333</v>
      </c>
      <c r="U225" s="18" t="str">
        <f aca="false">IF(T225&gt;=$H$3,"Eligible","Not Eligible")</f>
        <v>Not Eligible</v>
      </c>
      <c r="V225" s="19" t="n">
        <f aca="false">IF(T225&lt;$H$3,0,IFERROR(T225/SUMIF($T$5:$T$999,"&gt;="&amp;$H$3),0))</f>
        <v>0</v>
      </c>
      <c r="W225" s="15" t="str">
        <f aca="false">IF(T225=0,"Win-Back","Active")</f>
        <v>Active</v>
      </c>
      <c r="X225" s="20" t="n">
        <f aca="false">IF(T225=0,0,IF(T225&gt;=$H$3,ROUND(T225*$D$3/SUMIF($T$5:$T$999,"&gt;="&amp;$H$3),0),ROUNDUP(T225*$D$3/SUMIF($T$5:$T$999,"&gt;="&amp;$H$3),0)))</f>
        <v>2</v>
      </c>
      <c r="Y225" s="21" t="n">
        <v>3</v>
      </c>
      <c r="Z225" s="16" t="n">
        <f aca="false">IF(X225=0,"",X225-Y225)</f>
        <v>-1</v>
      </c>
      <c r="AA225" s="22" t="n">
        <f aca="false">IFERROR(Y225/X225,"")</f>
        <v>1.5</v>
      </c>
      <c r="AB225" s="16" t="n">
        <v>0</v>
      </c>
      <c r="AC225" s="21"/>
    </row>
    <row r="226" customFormat="false" ht="15" hidden="false" customHeight="true" outlineLevel="0" collapsed="false">
      <c r="A226" s="15" t="s">
        <v>2392</v>
      </c>
      <c r="B226" s="15" t="s">
        <v>2393</v>
      </c>
      <c r="C226" s="15" t="s">
        <v>2394</v>
      </c>
      <c r="D226" s="15" t="s">
        <v>2395</v>
      </c>
      <c r="E226" s="15" t="s">
        <v>2396</v>
      </c>
      <c r="F226" s="15"/>
      <c r="G226" s="15" t="s">
        <v>2397</v>
      </c>
      <c r="H226" s="15" t="s">
        <v>2398</v>
      </c>
      <c r="I226" s="15"/>
      <c r="J226" s="15" t="s">
        <v>677</v>
      </c>
      <c r="K226" s="15" t="s">
        <v>678</v>
      </c>
      <c r="L226" s="15" t="s">
        <v>2399</v>
      </c>
      <c r="M226" s="15" t="s">
        <v>2400</v>
      </c>
      <c r="N226" s="15" t="s">
        <v>73</v>
      </c>
      <c r="O226" s="16" t="n">
        <v>2</v>
      </c>
      <c r="P226" s="16" t="n">
        <v>2</v>
      </c>
      <c r="Q226" s="16" t="n">
        <v>0</v>
      </c>
      <c r="R226" s="16" t="n">
        <v>0</v>
      </c>
      <c r="S226" s="16" t="n">
        <v>4</v>
      </c>
      <c r="T226" s="17" t="n">
        <f aca="false">AVERAGE(O226:Q226)</f>
        <v>1.33333333333333</v>
      </c>
      <c r="U226" s="18" t="str">
        <f aca="false">IF(T226&gt;=$H$3,"Eligible","Not Eligible")</f>
        <v>Not Eligible</v>
      </c>
      <c r="V226" s="19" t="n">
        <f aca="false">IF(T226&lt;$H$3,0,IFERROR(T226/SUMIF($T$5:$T$999,"&gt;="&amp;$H$3),0))</f>
        <v>0</v>
      </c>
      <c r="W226" s="15" t="str">
        <f aca="false">IF(T226=0,"Win-Back","Active")</f>
        <v>Active</v>
      </c>
      <c r="X226" s="20" t="n">
        <f aca="false">IF(T226=0,0,IF(T226&gt;=$H$3,ROUND(T226*$D$3/SUMIF($T$5:$T$999,"&gt;="&amp;$H$3),0),ROUNDUP(T226*$D$3/SUMIF($T$5:$T$999,"&gt;="&amp;$H$3),0)))</f>
        <v>2</v>
      </c>
      <c r="Y226" s="21" t="n">
        <v>3</v>
      </c>
      <c r="Z226" s="16" t="n">
        <f aca="false">IF(X226=0,"",X226-Y226)</f>
        <v>-1</v>
      </c>
      <c r="AA226" s="22" t="n">
        <f aca="false">IFERROR(Y226/X226,"")</f>
        <v>1.5</v>
      </c>
      <c r="AB226" s="16" t="n">
        <v>0</v>
      </c>
      <c r="AC226" s="21"/>
    </row>
    <row r="227" customFormat="false" ht="15" hidden="false" customHeight="true" outlineLevel="0" collapsed="false">
      <c r="A227" s="15" t="s">
        <v>2401</v>
      </c>
      <c r="B227" s="15" t="s">
        <v>2402</v>
      </c>
      <c r="C227" s="15" t="s">
        <v>2403</v>
      </c>
      <c r="D227" s="15" t="s">
        <v>2404</v>
      </c>
      <c r="E227" s="15" t="s">
        <v>2405</v>
      </c>
      <c r="F227" s="15" t="s">
        <v>2406</v>
      </c>
      <c r="G227" s="15" t="s">
        <v>2407</v>
      </c>
      <c r="H227" s="15" t="s">
        <v>2408</v>
      </c>
      <c r="I227" s="15"/>
      <c r="J227" s="15" t="s">
        <v>677</v>
      </c>
      <c r="K227" s="15" t="s">
        <v>678</v>
      </c>
      <c r="L227" s="15" t="s">
        <v>2399</v>
      </c>
      <c r="M227" s="15" t="s">
        <v>2409</v>
      </c>
      <c r="N227" s="15" t="s">
        <v>73</v>
      </c>
      <c r="O227" s="16" t="n">
        <v>1</v>
      </c>
      <c r="P227" s="16" t="n">
        <v>2</v>
      </c>
      <c r="Q227" s="16" t="n">
        <v>1</v>
      </c>
      <c r="R227" s="16" t="n">
        <v>0</v>
      </c>
      <c r="S227" s="16" t="n">
        <v>4</v>
      </c>
      <c r="T227" s="17" t="n">
        <f aca="false">AVERAGE(O227:Q227)</f>
        <v>1.33333333333333</v>
      </c>
      <c r="U227" s="18" t="str">
        <f aca="false">IF(T227&gt;=$H$3,"Eligible","Not Eligible")</f>
        <v>Not Eligible</v>
      </c>
      <c r="V227" s="19" t="n">
        <f aca="false">IF(T227&lt;$H$3,0,IFERROR(T227/SUMIF($T$5:$T$999,"&gt;="&amp;$H$3),0))</f>
        <v>0</v>
      </c>
      <c r="W227" s="15" t="str">
        <f aca="false">IF(T227=0,"Win-Back","Active")</f>
        <v>Active</v>
      </c>
      <c r="X227" s="20" t="n">
        <f aca="false">IF(T227=0,0,IF(T227&gt;=$H$3,ROUND(T227*$D$3/SUMIF($T$5:$T$999,"&gt;="&amp;$H$3),0),ROUNDUP(T227*$D$3/SUMIF($T$5:$T$999,"&gt;="&amp;$H$3),0)))</f>
        <v>2</v>
      </c>
      <c r="Y227" s="21"/>
      <c r="Z227" s="16" t="n">
        <f aca="false">IF(X227=0,"",X227-Y227)</f>
        <v>2</v>
      </c>
      <c r="AA227" s="22" t="n">
        <f aca="false">IFERROR(Y227/X227,"")</f>
        <v>0</v>
      </c>
      <c r="AB227" s="16" t="n">
        <v>0</v>
      </c>
      <c r="AC227" s="21"/>
    </row>
    <row r="228" customFormat="false" ht="15" hidden="false" customHeight="true" outlineLevel="0" collapsed="false">
      <c r="A228" s="15" t="s">
        <v>2410</v>
      </c>
      <c r="B228" s="15" t="s">
        <v>2411</v>
      </c>
      <c r="C228" s="15" t="s">
        <v>2412</v>
      </c>
      <c r="D228" s="15" t="s">
        <v>2413</v>
      </c>
      <c r="E228" s="15" t="s">
        <v>2414</v>
      </c>
      <c r="F228" s="15" t="s">
        <v>2415</v>
      </c>
      <c r="G228" s="15" t="s">
        <v>2416</v>
      </c>
      <c r="H228" s="15" t="s">
        <v>2417</v>
      </c>
      <c r="I228" s="15" t="s">
        <v>2418</v>
      </c>
      <c r="J228" s="15" t="s">
        <v>2419</v>
      </c>
      <c r="K228" s="15" t="s">
        <v>70</v>
      </c>
      <c r="L228" s="15" t="s">
        <v>2420</v>
      </c>
      <c r="M228" s="15" t="s">
        <v>2421</v>
      </c>
      <c r="N228" s="15" t="s">
        <v>73</v>
      </c>
      <c r="O228" s="16" t="n">
        <v>1</v>
      </c>
      <c r="P228" s="16" t="n">
        <v>3</v>
      </c>
      <c r="Q228" s="16" t="n">
        <v>0</v>
      </c>
      <c r="R228" s="16" t="n">
        <v>0</v>
      </c>
      <c r="S228" s="16" t="n">
        <v>4</v>
      </c>
      <c r="T228" s="17" t="n">
        <f aca="false">AVERAGE(O228:Q228)</f>
        <v>1.33333333333333</v>
      </c>
      <c r="U228" s="18" t="str">
        <f aca="false">IF(T228&gt;=$H$3,"Eligible","Not Eligible")</f>
        <v>Not Eligible</v>
      </c>
      <c r="V228" s="19" t="n">
        <f aca="false">IF(T228&lt;$H$3,0,IFERROR(T228/SUMIF($T$5:$T$999,"&gt;="&amp;$H$3),0))</f>
        <v>0</v>
      </c>
      <c r="W228" s="15" t="str">
        <f aca="false">IF(T228=0,"Win-Back","Active")</f>
        <v>Active</v>
      </c>
      <c r="X228" s="20" t="n">
        <f aca="false">IF(T228=0,0,IF(T228&gt;=$H$3,ROUND(T228*$D$3/SUMIF($T$5:$T$999,"&gt;="&amp;$H$3),0),ROUNDUP(T228*$D$3/SUMIF($T$5:$T$999,"&gt;="&amp;$H$3),0)))</f>
        <v>2</v>
      </c>
      <c r="Y228" s="21"/>
      <c r="Z228" s="16" t="n">
        <f aca="false">IF(X228=0,"",X228-Y228)</f>
        <v>2</v>
      </c>
      <c r="AA228" s="22" t="n">
        <f aca="false">IFERROR(Y228/X228,"")</f>
        <v>0</v>
      </c>
      <c r="AB228" s="16" t="n">
        <v>0</v>
      </c>
      <c r="AC228" s="21"/>
    </row>
    <row r="229" customFormat="false" ht="15" hidden="false" customHeight="true" outlineLevel="0" collapsed="false">
      <c r="A229" s="15" t="s">
        <v>2422</v>
      </c>
      <c r="B229" s="15" t="s">
        <v>2423</v>
      </c>
      <c r="C229" s="15" t="s">
        <v>2424</v>
      </c>
      <c r="D229" s="15" t="s">
        <v>2425</v>
      </c>
      <c r="E229" s="15" t="s">
        <v>2426</v>
      </c>
      <c r="F229" s="15" t="s">
        <v>2427</v>
      </c>
      <c r="G229" s="15" t="s">
        <v>2428</v>
      </c>
      <c r="H229" s="15" t="s">
        <v>2429</v>
      </c>
      <c r="I229" s="15"/>
      <c r="J229" s="15" t="s">
        <v>2430</v>
      </c>
      <c r="K229" s="15" t="s">
        <v>678</v>
      </c>
      <c r="L229" s="15" t="s">
        <v>2431</v>
      </c>
      <c r="M229" s="15" t="s">
        <v>2432</v>
      </c>
      <c r="N229" s="15" t="s">
        <v>73</v>
      </c>
      <c r="O229" s="16" t="n">
        <v>0</v>
      </c>
      <c r="P229" s="16" t="n">
        <v>1</v>
      </c>
      <c r="Q229" s="16" t="n">
        <v>3</v>
      </c>
      <c r="R229" s="16" t="n">
        <v>0</v>
      </c>
      <c r="S229" s="16" t="n">
        <v>4</v>
      </c>
      <c r="T229" s="17" t="n">
        <f aca="false">AVERAGE(O229:Q229)</f>
        <v>1.33333333333333</v>
      </c>
      <c r="U229" s="18" t="str">
        <f aca="false">IF(T229&gt;=$H$3,"Eligible","Not Eligible")</f>
        <v>Not Eligible</v>
      </c>
      <c r="V229" s="19" t="n">
        <f aca="false">IF(T229&lt;$H$3,0,IFERROR(T229/SUMIF($T$5:$T$999,"&gt;="&amp;$H$3),0))</f>
        <v>0</v>
      </c>
      <c r="W229" s="15" t="str">
        <f aca="false">IF(T229=0,"Win-Back","Active")</f>
        <v>Active</v>
      </c>
      <c r="X229" s="20" t="n">
        <f aca="false">IF(T229=0,0,IF(T229&gt;=$H$3,ROUND(T229*$D$3/SUMIF($T$5:$T$999,"&gt;="&amp;$H$3),0),ROUNDUP(T229*$D$3/SUMIF($T$5:$T$999,"&gt;="&amp;$H$3),0)))</f>
        <v>2</v>
      </c>
      <c r="Y229" s="21" t="n">
        <v>1</v>
      </c>
      <c r="Z229" s="16" t="n">
        <f aca="false">IF(X229=0,"",X229-Y229)</f>
        <v>1</v>
      </c>
      <c r="AA229" s="22" t="n">
        <f aca="false">IFERROR(Y229/X229,"")</f>
        <v>0.5</v>
      </c>
      <c r="AB229" s="16" t="n">
        <v>0</v>
      </c>
      <c r="AC229" s="21"/>
    </row>
    <row r="230" customFormat="false" ht="15" hidden="false" customHeight="true" outlineLevel="0" collapsed="false">
      <c r="A230" s="15" t="s">
        <v>2433</v>
      </c>
      <c r="B230" s="15" t="s">
        <v>2434</v>
      </c>
      <c r="C230" s="15" t="s">
        <v>2435</v>
      </c>
      <c r="D230" s="15" t="s">
        <v>2436</v>
      </c>
      <c r="E230" s="15" t="s">
        <v>2437</v>
      </c>
      <c r="F230" s="15" t="s">
        <v>2438</v>
      </c>
      <c r="G230" s="15" t="s">
        <v>2439</v>
      </c>
      <c r="H230" s="15" t="s">
        <v>2440</v>
      </c>
      <c r="I230" s="15"/>
      <c r="J230" s="15" t="s">
        <v>2441</v>
      </c>
      <c r="K230" s="15" t="s">
        <v>1255</v>
      </c>
      <c r="L230" s="15" t="s">
        <v>2442</v>
      </c>
      <c r="M230" s="15" t="s">
        <v>2443</v>
      </c>
      <c r="N230" s="15" t="s">
        <v>73</v>
      </c>
      <c r="O230" s="16" t="n">
        <v>1</v>
      </c>
      <c r="P230" s="16" t="n">
        <v>1</v>
      </c>
      <c r="Q230" s="16" t="n">
        <v>2</v>
      </c>
      <c r="R230" s="16" t="n">
        <v>0</v>
      </c>
      <c r="S230" s="16" t="n">
        <v>4</v>
      </c>
      <c r="T230" s="17" t="n">
        <f aca="false">AVERAGE(O230:Q230)</f>
        <v>1.33333333333333</v>
      </c>
      <c r="U230" s="18" t="str">
        <f aca="false">IF(T230&gt;=$H$3,"Eligible","Not Eligible")</f>
        <v>Not Eligible</v>
      </c>
      <c r="V230" s="19" t="n">
        <f aca="false">IF(T230&lt;$H$3,0,IFERROR(T230/SUMIF($T$5:$T$999,"&gt;="&amp;$H$3),0))</f>
        <v>0</v>
      </c>
      <c r="W230" s="15" t="str">
        <f aca="false">IF(T230=0,"Win-Back","Active")</f>
        <v>Active</v>
      </c>
      <c r="X230" s="20" t="n">
        <f aca="false">IF(T230=0,0,IF(T230&gt;=$H$3,ROUND(T230*$D$3/SUMIF($T$5:$T$999,"&gt;="&amp;$H$3),0),ROUNDUP(T230*$D$3/SUMIF($T$5:$T$999,"&gt;="&amp;$H$3),0)))</f>
        <v>2</v>
      </c>
      <c r="Y230" s="21"/>
      <c r="Z230" s="16" t="n">
        <f aca="false">IF(X230=0,"",X230-Y230)</f>
        <v>2</v>
      </c>
      <c r="AA230" s="22" t="n">
        <f aca="false">IFERROR(Y230/X230,"")</f>
        <v>0</v>
      </c>
      <c r="AB230" s="16" t="n">
        <v>0</v>
      </c>
      <c r="AC230" s="21"/>
    </row>
    <row r="231" customFormat="false" ht="15" hidden="false" customHeight="true" outlineLevel="0" collapsed="false">
      <c r="A231" s="15" t="s">
        <v>2444</v>
      </c>
      <c r="B231" s="15" t="s">
        <v>2445</v>
      </c>
      <c r="C231" s="15" t="s">
        <v>2446</v>
      </c>
      <c r="D231" s="15" t="s">
        <v>2447</v>
      </c>
      <c r="E231" s="15" t="s">
        <v>2448</v>
      </c>
      <c r="F231" s="15" t="s">
        <v>2449</v>
      </c>
      <c r="G231" s="15" t="s">
        <v>2450</v>
      </c>
      <c r="H231" s="15" t="s">
        <v>2451</v>
      </c>
      <c r="I231" s="15"/>
      <c r="J231" s="15" t="s">
        <v>677</v>
      </c>
      <c r="K231" s="15" t="s">
        <v>678</v>
      </c>
      <c r="L231" s="15" t="s">
        <v>2452</v>
      </c>
      <c r="M231" s="15" t="s">
        <v>2453</v>
      </c>
      <c r="N231" s="15" t="s">
        <v>73</v>
      </c>
      <c r="O231" s="16" t="n">
        <v>0</v>
      </c>
      <c r="P231" s="16" t="n">
        <v>4</v>
      </c>
      <c r="Q231" s="16" t="n">
        <v>0</v>
      </c>
      <c r="R231" s="16" t="n">
        <v>0</v>
      </c>
      <c r="S231" s="16" t="n">
        <v>4</v>
      </c>
      <c r="T231" s="17" t="n">
        <f aca="false">AVERAGE(O231:Q231)</f>
        <v>1.33333333333333</v>
      </c>
      <c r="U231" s="18" t="str">
        <f aca="false">IF(T231&gt;=$H$3,"Eligible","Not Eligible")</f>
        <v>Not Eligible</v>
      </c>
      <c r="V231" s="19" t="n">
        <f aca="false">IF(T231&lt;$H$3,0,IFERROR(T231/SUMIF($T$5:$T$999,"&gt;="&amp;$H$3),0))</f>
        <v>0</v>
      </c>
      <c r="W231" s="15" t="str">
        <f aca="false">IF(T231=0,"Win-Back","Active")</f>
        <v>Active</v>
      </c>
      <c r="X231" s="20" t="n">
        <f aca="false">IF(T231=0,0,IF(T231&gt;=$H$3,ROUND(T231*$D$3/SUMIF($T$5:$T$999,"&gt;="&amp;$H$3),0),ROUNDUP(T231*$D$3/SUMIF($T$5:$T$999,"&gt;="&amp;$H$3),0)))</f>
        <v>2</v>
      </c>
      <c r="Y231" s="21" t="n">
        <v>1</v>
      </c>
      <c r="Z231" s="16" t="n">
        <f aca="false">IF(X231=0,"",X231-Y231)</f>
        <v>1</v>
      </c>
      <c r="AA231" s="22" t="n">
        <f aca="false">IFERROR(Y231/X231,"")</f>
        <v>0.5</v>
      </c>
      <c r="AB231" s="16" t="n">
        <v>0</v>
      </c>
      <c r="AC231" s="21"/>
    </row>
    <row r="232" customFormat="false" ht="15" hidden="false" customHeight="true" outlineLevel="0" collapsed="false">
      <c r="A232" s="15" t="s">
        <v>2454</v>
      </c>
      <c r="B232" s="15" t="s">
        <v>2455</v>
      </c>
      <c r="C232" s="15" t="s">
        <v>2456</v>
      </c>
      <c r="D232" s="15" t="s">
        <v>2457</v>
      </c>
      <c r="E232" s="15" t="s">
        <v>2458</v>
      </c>
      <c r="F232" s="15" t="s">
        <v>2459</v>
      </c>
      <c r="G232" s="15" t="s">
        <v>2460</v>
      </c>
      <c r="H232" s="15" t="s">
        <v>2461</v>
      </c>
      <c r="I232" s="15"/>
      <c r="J232" s="15" t="s">
        <v>677</v>
      </c>
      <c r="K232" s="15" t="s">
        <v>678</v>
      </c>
      <c r="L232" s="15" t="s">
        <v>2462</v>
      </c>
      <c r="M232" s="15" t="s">
        <v>2463</v>
      </c>
      <c r="N232" s="15" t="s">
        <v>73</v>
      </c>
      <c r="O232" s="16" t="n">
        <v>0</v>
      </c>
      <c r="P232" s="16" t="n">
        <v>2</v>
      </c>
      <c r="Q232" s="16" t="n">
        <v>2</v>
      </c>
      <c r="R232" s="16" t="n">
        <v>0</v>
      </c>
      <c r="S232" s="16" t="n">
        <v>4</v>
      </c>
      <c r="T232" s="17" t="n">
        <f aca="false">AVERAGE(O232:Q232)</f>
        <v>1.33333333333333</v>
      </c>
      <c r="U232" s="18" t="str">
        <f aca="false">IF(T232&gt;=$H$3,"Eligible","Not Eligible")</f>
        <v>Not Eligible</v>
      </c>
      <c r="V232" s="19" t="n">
        <f aca="false">IF(T232&lt;$H$3,0,IFERROR(T232/SUMIF($T$5:$T$999,"&gt;="&amp;$H$3),0))</f>
        <v>0</v>
      </c>
      <c r="W232" s="15" t="str">
        <f aca="false">IF(T232=0,"Win-Back","Active")</f>
        <v>Active</v>
      </c>
      <c r="X232" s="20" t="n">
        <f aca="false">IF(T232=0,0,IF(T232&gt;=$H$3,ROUND(T232*$D$3/SUMIF($T$5:$T$999,"&gt;="&amp;$H$3),0),ROUNDUP(T232*$D$3/SUMIF($T$5:$T$999,"&gt;="&amp;$H$3),0)))</f>
        <v>2</v>
      </c>
      <c r="Y232" s="21"/>
      <c r="Z232" s="16" t="n">
        <f aca="false">IF(X232=0,"",X232-Y232)</f>
        <v>2</v>
      </c>
      <c r="AA232" s="22" t="n">
        <f aca="false">IFERROR(Y232/X232,"")</f>
        <v>0</v>
      </c>
      <c r="AB232" s="16" t="n">
        <v>0</v>
      </c>
      <c r="AC232" s="21"/>
    </row>
    <row r="233" customFormat="false" ht="15" hidden="false" customHeight="true" outlineLevel="0" collapsed="false">
      <c r="A233" s="15" t="s">
        <v>2464</v>
      </c>
      <c r="B233" s="15" t="s">
        <v>2465</v>
      </c>
      <c r="C233" s="15" t="s">
        <v>2466</v>
      </c>
      <c r="D233" s="15" t="s">
        <v>2467</v>
      </c>
      <c r="E233" s="15" t="s">
        <v>2468</v>
      </c>
      <c r="F233" s="15" t="s">
        <v>2469</v>
      </c>
      <c r="G233" s="15" t="s">
        <v>2470</v>
      </c>
      <c r="H233" s="15" t="s">
        <v>2471</v>
      </c>
      <c r="I233" s="15"/>
      <c r="J233" s="15" t="s">
        <v>297</v>
      </c>
      <c r="K233" s="15" t="s">
        <v>298</v>
      </c>
      <c r="L233" s="15" t="s">
        <v>299</v>
      </c>
      <c r="M233" s="15" t="s">
        <v>2472</v>
      </c>
      <c r="N233" s="15" t="s">
        <v>73</v>
      </c>
      <c r="O233" s="16" t="n">
        <v>0</v>
      </c>
      <c r="P233" s="16" t="n">
        <v>4</v>
      </c>
      <c r="Q233" s="16" t="n">
        <v>0</v>
      </c>
      <c r="R233" s="16" t="n">
        <v>0</v>
      </c>
      <c r="S233" s="16" t="n">
        <v>4</v>
      </c>
      <c r="T233" s="17" t="n">
        <f aca="false">AVERAGE(O233:Q233)</f>
        <v>1.33333333333333</v>
      </c>
      <c r="U233" s="18" t="str">
        <f aca="false">IF(T233&gt;=$H$3,"Eligible","Not Eligible")</f>
        <v>Not Eligible</v>
      </c>
      <c r="V233" s="19" t="n">
        <f aca="false">IF(T233&lt;$H$3,0,IFERROR(T233/SUMIF($T$5:$T$999,"&gt;="&amp;$H$3),0))</f>
        <v>0</v>
      </c>
      <c r="W233" s="15" t="str">
        <f aca="false">IF(T233=0,"Win-Back","Active")</f>
        <v>Active</v>
      </c>
      <c r="X233" s="20" t="n">
        <f aca="false">IF(T233=0,0,IF(T233&gt;=$H$3,ROUND(T233*$D$3/SUMIF($T$5:$T$999,"&gt;="&amp;$H$3),0),ROUNDUP(T233*$D$3/SUMIF($T$5:$T$999,"&gt;="&amp;$H$3),0)))</f>
        <v>2</v>
      </c>
      <c r="Y233" s="21" t="n">
        <v>1</v>
      </c>
      <c r="Z233" s="16" t="n">
        <f aca="false">IF(X233=0,"",X233-Y233)</f>
        <v>1</v>
      </c>
      <c r="AA233" s="22" t="n">
        <f aca="false">IFERROR(Y233/X233,"")</f>
        <v>0.5</v>
      </c>
      <c r="AB233" s="16" t="n">
        <v>0</v>
      </c>
      <c r="AC233" s="21"/>
    </row>
    <row r="234" customFormat="false" ht="15" hidden="false" customHeight="true" outlineLevel="0" collapsed="false">
      <c r="A234" s="15" t="s">
        <v>2473</v>
      </c>
      <c r="B234" s="15" t="s">
        <v>2474</v>
      </c>
      <c r="C234" s="15" t="s">
        <v>2475</v>
      </c>
      <c r="D234" s="15" t="s">
        <v>2476</v>
      </c>
      <c r="E234" s="15" t="s">
        <v>2477</v>
      </c>
      <c r="F234" s="15" t="s">
        <v>2478</v>
      </c>
      <c r="G234" s="15" t="s">
        <v>2479</v>
      </c>
      <c r="H234" s="15" t="s">
        <v>2480</v>
      </c>
      <c r="I234" s="15"/>
      <c r="J234" s="15" t="s">
        <v>2481</v>
      </c>
      <c r="K234" s="15" t="s">
        <v>234</v>
      </c>
      <c r="L234" s="15" t="s">
        <v>2482</v>
      </c>
      <c r="M234" s="15" t="s">
        <v>2483</v>
      </c>
      <c r="N234" s="15" t="s">
        <v>73</v>
      </c>
      <c r="O234" s="16" t="n">
        <v>2</v>
      </c>
      <c r="P234" s="16" t="n">
        <v>2</v>
      </c>
      <c r="Q234" s="16" t="n">
        <v>0</v>
      </c>
      <c r="R234" s="16" t="n">
        <v>0</v>
      </c>
      <c r="S234" s="16" t="n">
        <v>4</v>
      </c>
      <c r="T234" s="17" t="n">
        <f aca="false">AVERAGE(O234:Q234)</f>
        <v>1.33333333333333</v>
      </c>
      <c r="U234" s="18" t="str">
        <f aca="false">IF(T234&gt;=$H$3,"Eligible","Not Eligible")</f>
        <v>Not Eligible</v>
      </c>
      <c r="V234" s="19" t="n">
        <f aca="false">IF(T234&lt;$H$3,0,IFERROR(T234/SUMIF($T$5:$T$999,"&gt;="&amp;$H$3),0))</f>
        <v>0</v>
      </c>
      <c r="W234" s="15" t="str">
        <f aca="false">IF(T234=0,"Win-Back","Active")</f>
        <v>Active</v>
      </c>
      <c r="X234" s="20" t="n">
        <f aca="false">IF(T234=0,0,IF(T234&gt;=$H$3,ROUND(T234*$D$3/SUMIF($T$5:$T$999,"&gt;="&amp;$H$3),0),ROUNDUP(T234*$D$3/SUMIF($T$5:$T$999,"&gt;="&amp;$H$3),0)))</f>
        <v>2</v>
      </c>
      <c r="Y234" s="21" t="n">
        <v>5</v>
      </c>
      <c r="Z234" s="16" t="n">
        <f aca="false">IF(X234=0,"",X234-Y234)</f>
        <v>-3</v>
      </c>
      <c r="AA234" s="22" t="n">
        <f aca="false">IFERROR(Y234/X234,"")</f>
        <v>2.5</v>
      </c>
      <c r="AB234" s="16" t="n">
        <v>0</v>
      </c>
      <c r="AC234" s="21"/>
    </row>
    <row r="235" customFormat="false" ht="15" hidden="false" customHeight="true" outlineLevel="0" collapsed="false">
      <c r="A235" s="15" t="s">
        <v>2484</v>
      </c>
      <c r="B235" s="15" t="s">
        <v>2485</v>
      </c>
      <c r="C235" s="15" t="s">
        <v>2486</v>
      </c>
      <c r="D235" s="15" t="s">
        <v>2487</v>
      </c>
      <c r="E235" s="15" t="s">
        <v>2488</v>
      </c>
      <c r="F235" s="15" t="s">
        <v>2489</v>
      </c>
      <c r="G235" s="15" t="s">
        <v>2490</v>
      </c>
      <c r="H235" s="15" t="s">
        <v>2491</v>
      </c>
      <c r="I235" s="15"/>
      <c r="J235" s="15" t="s">
        <v>2492</v>
      </c>
      <c r="K235" s="15" t="s">
        <v>1418</v>
      </c>
      <c r="L235" s="15" t="s">
        <v>2493</v>
      </c>
      <c r="M235" s="15" t="s">
        <v>2494</v>
      </c>
      <c r="N235" s="15" t="s">
        <v>73</v>
      </c>
      <c r="O235" s="16" t="n">
        <v>0</v>
      </c>
      <c r="P235" s="16" t="n">
        <v>2</v>
      </c>
      <c r="Q235" s="16" t="n">
        <v>2</v>
      </c>
      <c r="R235" s="16" t="n">
        <v>0</v>
      </c>
      <c r="S235" s="16" t="n">
        <v>4</v>
      </c>
      <c r="T235" s="17" t="n">
        <f aca="false">AVERAGE(O235:Q235)</f>
        <v>1.33333333333333</v>
      </c>
      <c r="U235" s="18" t="str">
        <f aca="false">IF(T235&gt;=$H$3,"Eligible","Not Eligible")</f>
        <v>Not Eligible</v>
      </c>
      <c r="V235" s="19" t="n">
        <f aca="false">IF(T235&lt;$H$3,0,IFERROR(T235/SUMIF($T$5:$T$999,"&gt;="&amp;$H$3),0))</f>
        <v>0</v>
      </c>
      <c r="W235" s="15" t="str">
        <f aca="false">IF(T235=0,"Win-Back","Active")</f>
        <v>Active</v>
      </c>
      <c r="X235" s="20" t="n">
        <f aca="false">IF(T235=0,0,IF(T235&gt;=$H$3,ROUND(T235*$D$3/SUMIF($T$5:$T$999,"&gt;="&amp;$H$3),0),ROUNDUP(T235*$D$3/SUMIF($T$5:$T$999,"&gt;="&amp;$H$3),0)))</f>
        <v>2</v>
      </c>
      <c r="Y235" s="21"/>
      <c r="Z235" s="16" t="n">
        <f aca="false">IF(X235=0,"",X235-Y235)</f>
        <v>2</v>
      </c>
      <c r="AA235" s="22" t="n">
        <f aca="false">IFERROR(Y235/X235,"")</f>
        <v>0</v>
      </c>
      <c r="AB235" s="16" t="n">
        <v>0</v>
      </c>
      <c r="AC235" s="21"/>
    </row>
    <row r="236" customFormat="false" ht="15" hidden="false" customHeight="true" outlineLevel="0" collapsed="false">
      <c r="A236" s="15" t="s">
        <v>2495</v>
      </c>
      <c r="B236" s="15" t="s">
        <v>2496</v>
      </c>
      <c r="C236" s="15" t="s">
        <v>2497</v>
      </c>
      <c r="D236" s="15" t="s">
        <v>2498</v>
      </c>
      <c r="E236" s="15" t="s">
        <v>2499</v>
      </c>
      <c r="F236" s="15" t="s">
        <v>2500</v>
      </c>
      <c r="G236" s="15" t="s">
        <v>2501</v>
      </c>
      <c r="H236" s="15" t="s">
        <v>2502</v>
      </c>
      <c r="I236" s="15"/>
      <c r="J236" s="15" t="s">
        <v>777</v>
      </c>
      <c r="K236" s="15" t="s">
        <v>70</v>
      </c>
      <c r="L236" s="15" t="s">
        <v>2503</v>
      </c>
      <c r="M236" s="15" t="s">
        <v>2504</v>
      </c>
      <c r="N236" s="15" t="s">
        <v>73</v>
      </c>
      <c r="O236" s="16" t="n">
        <v>1</v>
      </c>
      <c r="P236" s="16" t="n">
        <v>2</v>
      </c>
      <c r="Q236" s="16" t="n">
        <v>1</v>
      </c>
      <c r="R236" s="16" t="n">
        <v>0</v>
      </c>
      <c r="S236" s="16" t="n">
        <v>4</v>
      </c>
      <c r="T236" s="17" t="n">
        <f aca="false">AVERAGE(O236:Q236)</f>
        <v>1.33333333333333</v>
      </c>
      <c r="U236" s="18" t="str">
        <f aca="false">IF(T236&gt;=$H$3,"Eligible","Not Eligible")</f>
        <v>Not Eligible</v>
      </c>
      <c r="V236" s="19" t="n">
        <f aca="false">IF(T236&lt;$H$3,0,IFERROR(T236/SUMIF($T$5:$T$999,"&gt;="&amp;$H$3),0))</f>
        <v>0</v>
      </c>
      <c r="W236" s="15" t="str">
        <f aca="false">IF(T236=0,"Win-Back","Active")</f>
        <v>Active</v>
      </c>
      <c r="X236" s="20" t="n">
        <f aca="false">IF(T236=0,0,IF(T236&gt;=$H$3,ROUND(T236*$D$3/SUMIF($T$5:$T$999,"&gt;="&amp;$H$3),0),ROUNDUP(T236*$D$3/SUMIF($T$5:$T$999,"&gt;="&amp;$H$3),0)))</f>
        <v>2</v>
      </c>
      <c r="Y236" s="21" t="n">
        <v>2</v>
      </c>
      <c r="Z236" s="16" t="n">
        <f aca="false">IF(X236=0,"",X236-Y236)</f>
        <v>0</v>
      </c>
      <c r="AA236" s="22" t="n">
        <f aca="false">IFERROR(Y236/X236,"")</f>
        <v>1</v>
      </c>
      <c r="AB236" s="16" t="n">
        <v>0</v>
      </c>
      <c r="AC236" s="21"/>
    </row>
    <row r="237" customFormat="false" ht="15" hidden="false" customHeight="true" outlineLevel="0" collapsed="false">
      <c r="A237" s="15" t="s">
        <v>2505</v>
      </c>
      <c r="B237" s="15" t="s">
        <v>2506</v>
      </c>
      <c r="C237" s="15" t="s">
        <v>2507</v>
      </c>
      <c r="D237" s="15" t="s">
        <v>2508</v>
      </c>
      <c r="E237" s="15" t="s">
        <v>2509</v>
      </c>
      <c r="F237" s="15" t="s">
        <v>2510</v>
      </c>
      <c r="G237" s="15" t="s">
        <v>2511</v>
      </c>
      <c r="H237" s="15" t="s">
        <v>2512</v>
      </c>
      <c r="I237" s="15" t="s">
        <v>1739</v>
      </c>
      <c r="J237" s="15" t="s">
        <v>2513</v>
      </c>
      <c r="K237" s="15" t="s">
        <v>2143</v>
      </c>
      <c r="L237" s="15" t="s">
        <v>2514</v>
      </c>
      <c r="M237" s="15" t="s">
        <v>2515</v>
      </c>
      <c r="N237" s="15" t="s">
        <v>73</v>
      </c>
      <c r="O237" s="16" t="n">
        <v>0</v>
      </c>
      <c r="P237" s="16" t="n">
        <v>3</v>
      </c>
      <c r="Q237" s="16" t="n">
        <v>1</v>
      </c>
      <c r="R237" s="16" t="n">
        <v>0</v>
      </c>
      <c r="S237" s="16" t="n">
        <v>4</v>
      </c>
      <c r="T237" s="17" t="n">
        <f aca="false">AVERAGE(O237:Q237)</f>
        <v>1.33333333333333</v>
      </c>
      <c r="U237" s="18" t="str">
        <f aca="false">IF(T237&gt;=$H$3,"Eligible","Not Eligible")</f>
        <v>Not Eligible</v>
      </c>
      <c r="V237" s="19" t="n">
        <f aca="false">IF(T237&lt;$H$3,0,IFERROR(T237/SUMIF($T$5:$T$999,"&gt;="&amp;$H$3),0))</f>
        <v>0</v>
      </c>
      <c r="W237" s="15" t="str">
        <f aca="false">IF(T237=0,"Win-Back","Active")</f>
        <v>Active</v>
      </c>
      <c r="X237" s="20" t="n">
        <f aca="false">IF(T237=0,0,IF(T237&gt;=$H$3,ROUND(T237*$D$3/SUMIF($T$5:$T$999,"&gt;="&amp;$H$3),0),ROUNDUP(T237*$D$3/SUMIF($T$5:$T$999,"&gt;="&amp;$H$3),0)))</f>
        <v>2</v>
      </c>
      <c r="Y237" s="21" t="n">
        <v>1</v>
      </c>
      <c r="Z237" s="16" t="n">
        <f aca="false">IF(X237=0,"",X237-Y237)</f>
        <v>1</v>
      </c>
      <c r="AA237" s="22" t="n">
        <f aca="false">IFERROR(Y237/X237,"")</f>
        <v>0.5</v>
      </c>
      <c r="AB237" s="16" t="n">
        <v>0</v>
      </c>
      <c r="AC237" s="21"/>
    </row>
    <row r="238" customFormat="false" ht="15" hidden="false" customHeight="true" outlineLevel="0" collapsed="false">
      <c r="A238" s="15" t="s">
        <v>2516</v>
      </c>
      <c r="B238" s="15" t="s">
        <v>2517</v>
      </c>
      <c r="C238" s="15" t="s">
        <v>2518</v>
      </c>
      <c r="D238" s="15" t="s">
        <v>2519</v>
      </c>
      <c r="E238" s="15" t="s">
        <v>2520</v>
      </c>
      <c r="F238" s="15" t="s">
        <v>2521</v>
      </c>
      <c r="G238" s="15" t="s">
        <v>2522</v>
      </c>
      <c r="H238" s="15" t="s">
        <v>2523</v>
      </c>
      <c r="I238" s="15" t="s">
        <v>2524</v>
      </c>
      <c r="J238" s="15" t="s">
        <v>2525</v>
      </c>
      <c r="K238" s="15" t="s">
        <v>47</v>
      </c>
      <c r="L238" s="15" t="s">
        <v>2526</v>
      </c>
      <c r="M238" s="15" t="s">
        <v>2527</v>
      </c>
      <c r="N238" s="15" t="s">
        <v>73</v>
      </c>
      <c r="O238" s="16" t="n">
        <v>1</v>
      </c>
      <c r="P238" s="16" t="n">
        <v>1</v>
      </c>
      <c r="Q238" s="16" t="n">
        <v>2</v>
      </c>
      <c r="R238" s="16" t="n">
        <v>0</v>
      </c>
      <c r="S238" s="16" t="n">
        <v>4</v>
      </c>
      <c r="T238" s="17" t="n">
        <f aca="false">AVERAGE(O238:Q238)</f>
        <v>1.33333333333333</v>
      </c>
      <c r="U238" s="18" t="str">
        <f aca="false">IF(T238&gt;=$H$3,"Eligible","Not Eligible")</f>
        <v>Not Eligible</v>
      </c>
      <c r="V238" s="19" t="n">
        <f aca="false">IF(T238&lt;$H$3,0,IFERROR(T238/SUMIF($T$5:$T$999,"&gt;="&amp;$H$3),0))</f>
        <v>0</v>
      </c>
      <c r="W238" s="15" t="str">
        <f aca="false">IF(T238=0,"Win-Back","Active")</f>
        <v>Active</v>
      </c>
      <c r="X238" s="20" t="n">
        <f aca="false">IF(T238=0,0,IF(T238&gt;=$H$3,ROUND(T238*$D$3/SUMIF($T$5:$T$999,"&gt;="&amp;$H$3),0),ROUNDUP(T238*$D$3/SUMIF($T$5:$T$999,"&gt;="&amp;$H$3),0)))</f>
        <v>2</v>
      </c>
      <c r="Y238" s="21"/>
      <c r="Z238" s="16" t="n">
        <f aca="false">IF(X238=0,"",X238-Y238)</f>
        <v>2</v>
      </c>
      <c r="AA238" s="22" t="n">
        <f aca="false">IFERROR(Y238/X238,"")</f>
        <v>0</v>
      </c>
      <c r="AB238" s="16" t="n">
        <v>0</v>
      </c>
      <c r="AC238" s="21"/>
    </row>
    <row r="239" customFormat="false" ht="15" hidden="false" customHeight="true" outlineLevel="0" collapsed="false">
      <c r="A239" s="15" t="s">
        <v>2528</v>
      </c>
      <c r="B239" s="15" t="s">
        <v>2529</v>
      </c>
      <c r="C239" s="15" t="s">
        <v>2530</v>
      </c>
      <c r="D239" s="15" t="s">
        <v>2531</v>
      </c>
      <c r="E239" s="15" t="s">
        <v>2531</v>
      </c>
      <c r="F239" s="15" t="s">
        <v>2532</v>
      </c>
      <c r="G239" s="15" t="s">
        <v>2533</v>
      </c>
      <c r="H239" s="15" t="s">
        <v>2534</v>
      </c>
      <c r="I239" s="15"/>
      <c r="J239" s="15" t="s">
        <v>2535</v>
      </c>
      <c r="K239" s="15" t="s">
        <v>402</v>
      </c>
      <c r="L239" s="15" t="s">
        <v>2536</v>
      </c>
      <c r="M239" s="15" t="s">
        <v>2537</v>
      </c>
      <c r="N239" s="15" t="s">
        <v>73</v>
      </c>
      <c r="O239" s="16" t="n">
        <v>2</v>
      </c>
      <c r="P239" s="16" t="n">
        <v>1</v>
      </c>
      <c r="Q239" s="16" t="n">
        <v>1</v>
      </c>
      <c r="R239" s="16" t="n">
        <v>0</v>
      </c>
      <c r="S239" s="16" t="n">
        <v>4</v>
      </c>
      <c r="T239" s="17" t="n">
        <f aca="false">AVERAGE(O239:Q239)</f>
        <v>1.33333333333333</v>
      </c>
      <c r="U239" s="18" t="str">
        <f aca="false">IF(T239&gt;=$H$3,"Eligible","Not Eligible")</f>
        <v>Not Eligible</v>
      </c>
      <c r="V239" s="19" t="n">
        <f aca="false">IF(T239&lt;$H$3,0,IFERROR(T239/SUMIF($T$5:$T$999,"&gt;="&amp;$H$3),0))</f>
        <v>0</v>
      </c>
      <c r="W239" s="15" t="str">
        <f aca="false">IF(T239=0,"Win-Back","Active")</f>
        <v>Active</v>
      </c>
      <c r="X239" s="20" t="n">
        <f aca="false">IF(T239=0,0,IF(T239&gt;=$H$3,ROUND(T239*$D$3/SUMIF($T$5:$T$999,"&gt;="&amp;$H$3),0),ROUNDUP(T239*$D$3/SUMIF($T$5:$T$999,"&gt;="&amp;$H$3),0)))</f>
        <v>2</v>
      </c>
      <c r="Y239" s="21" t="n">
        <v>3</v>
      </c>
      <c r="Z239" s="16" t="n">
        <f aca="false">IF(X239=0,"",X239-Y239)</f>
        <v>-1</v>
      </c>
      <c r="AA239" s="22" t="n">
        <f aca="false">IFERROR(Y239/X239,"")</f>
        <v>1.5</v>
      </c>
      <c r="AB239" s="16" t="n">
        <v>0</v>
      </c>
      <c r="AC239" s="21"/>
    </row>
    <row r="240" customFormat="false" ht="15" hidden="false" customHeight="true" outlineLevel="0" collapsed="false">
      <c r="A240" s="15" t="s">
        <v>2538</v>
      </c>
      <c r="B240" s="15" t="s">
        <v>2539</v>
      </c>
      <c r="C240" s="15" t="s">
        <v>2540</v>
      </c>
      <c r="D240" s="15" t="s">
        <v>2541</v>
      </c>
      <c r="E240" s="15" t="s">
        <v>2542</v>
      </c>
      <c r="F240" s="15" t="s">
        <v>2543</v>
      </c>
      <c r="G240" s="15" t="s">
        <v>2544</v>
      </c>
      <c r="H240" s="15" t="s">
        <v>2545</v>
      </c>
      <c r="I240" s="15"/>
      <c r="J240" s="15" t="s">
        <v>2085</v>
      </c>
      <c r="K240" s="15" t="s">
        <v>47</v>
      </c>
      <c r="L240" s="15" t="s">
        <v>2546</v>
      </c>
      <c r="M240" s="15" t="s">
        <v>2547</v>
      </c>
      <c r="N240" s="15" t="s">
        <v>73</v>
      </c>
      <c r="O240" s="16" t="n">
        <v>1</v>
      </c>
      <c r="P240" s="16" t="n">
        <v>1</v>
      </c>
      <c r="Q240" s="16" t="n">
        <v>2</v>
      </c>
      <c r="R240" s="16" t="n">
        <v>0</v>
      </c>
      <c r="S240" s="16" t="n">
        <v>4</v>
      </c>
      <c r="T240" s="17" t="n">
        <f aca="false">AVERAGE(O240:Q240)</f>
        <v>1.33333333333333</v>
      </c>
      <c r="U240" s="18" t="str">
        <f aca="false">IF(T240&gt;=$H$3,"Eligible","Not Eligible")</f>
        <v>Not Eligible</v>
      </c>
      <c r="V240" s="19" t="n">
        <f aca="false">IF(T240&lt;$H$3,0,IFERROR(T240/SUMIF($T$5:$T$999,"&gt;="&amp;$H$3),0))</f>
        <v>0</v>
      </c>
      <c r="W240" s="15" t="str">
        <f aca="false">IF(T240=0,"Win-Back","Active")</f>
        <v>Active</v>
      </c>
      <c r="X240" s="20" t="n">
        <f aca="false">IF(T240=0,0,IF(T240&gt;=$H$3,ROUND(T240*$D$3/SUMIF($T$5:$T$999,"&gt;="&amp;$H$3),0),ROUNDUP(T240*$D$3/SUMIF($T$5:$T$999,"&gt;="&amp;$H$3),0)))</f>
        <v>2</v>
      </c>
      <c r="Y240" s="21" t="n">
        <v>3</v>
      </c>
      <c r="Z240" s="16" t="n">
        <f aca="false">IF(X240=0,"",X240-Y240)</f>
        <v>-1</v>
      </c>
      <c r="AA240" s="22" t="n">
        <f aca="false">IFERROR(Y240/X240,"")</f>
        <v>1.5</v>
      </c>
      <c r="AB240" s="16" t="n">
        <v>0</v>
      </c>
      <c r="AC240" s="21"/>
    </row>
    <row r="241" customFormat="false" ht="15" hidden="false" customHeight="true" outlineLevel="0" collapsed="false">
      <c r="A241" s="15" t="s">
        <v>2548</v>
      </c>
      <c r="B241" s="15" t="s">
        <v>2549</v>
      </c>
      <c r="C241" s="15" t="s">
        <v>2550</v>
      </c>
      <c r="D241" s="15" t="s">
        <v>2551</v>
      </c>
      <c r="E241" s="15" t="s">
        <v>2552</v>
      </c>
      <c r="F241" s="15" t="s">
        <v>2553</v>
      </c>
      <c r="G241" s="15" t="s">
        <v>2554</v>
      </c>
      <c r="H241" s="15" t="s">
        <v>2555</v>
      </c>
      <c r="I241" s="15"/>
      <c r="J241" s="15" t="s">
        <v>2556</v>
      </c>
      <c r="K241" s="15" t="s">
        <v>2557</v>
      </c>
      <c r="L241" s="15" t="s">
        <v>2558</v>
      </c>
      <c r="M241" s="15" t="s">
        <v>2559</v>
      </c>
      <c r="N241" s="15" t="s">
        <v>73</v>
      </c>
      <c r="O241" s="16" t="n">
        <v>0</v>
      </c>
      <c r="P241" s="16" t="n">
        <v>0</v>
      </c>
      <c r="Q241" s="16" t="n">
        <v>4</v>
      </c>
      <c r="R241" s="16" t="n">
        <v>0</v>
      </c>
      <c r="S241" s="16" t="n">
        <v>4</v>
      </c>
      <c r="T241" s="17" t="n">
        <f aca="false">AVERAGE(O241:Q241)</f>
        <v>1.33333333333333</v>
      </c>
      <c r="U241" s="18" t="str">
        <f aca="false">IF(T241&gt;=$H$3,"Eligible","Not Eligible")</f>
        <v>Not Eligible</v>
      </c>
      <c r="V241" s="19" t="n">
        <f aca="false">IF(T241&lt;$H$3,0,IFERROR(T241/SUMIF($T$5:$T$999,"&gt;="&amp;$H$3),0))</f>
        <v>0</v>
      </c>
      <c r="W241" s="15" t="str">
        <f aca="false">IF(T241=0,"Win-Back","Active")</f>
        <v>Active</v>
      </c>
      <c r="X241" s="20" t="n">
        <f aca="false">IF(T241=0,0,IF(T241&gt;=$H$3,ROUND(T241*$D$3/SUMIF($T$5:$T$999,"&gt;="&amp;$H$3),0),ROUNDUP(T241*$D$3/SUMIF($T$5:$T$999,"&gt;="&amp;$H$3),0)))</f>
        <v>2</v>
      </c>
      <c r="Y241" s="21"/>
      <c r="Z241" s="16" t="n">
        <f aca="false">IF(X241=0,"",X241-Y241)</f>
        <v>2</v>
      </c>
      <c r="AA241" s="22" t="n">
        <f aca="false">IFERROR(Y241/X241,"")</f>
        <v>0</v>
      </c>
      <c r="AB241" s="16" t="n">
        <v>0</v>
      </c>
      <c r="AC241" s="21"/>
    </row>
    <row r="242" customFormat="false" ht="15" hidden="false" customHeight="true" outlineLevel="0" collapsed="false">
      <c r="A242" s="15" t="s">
        <v>2560</v>
      </c>
      <c r="B242" s="15" t="s">
        <v>2561</v>
      </c>
      <c r="C242" s="15" t="s">
        <v>2562</v>
      </c>
      <c r="D242" s="15" t="s">
        <v>2563</v>
      </c>
      <c r="E242" s="15" t="s">
        <v>2564</v>
      </c>
      <c r="F242" s="15" t="s">
        <v>2565</v>
      </c>
      <c r="G242" s="15" t="s">
        <v>2566</v>
      </c>
      <c r="H242" s="15" t="s">
        <v>2567</v>
      </c>
      <c r="I242" s="15"/>
      <c r="J242" s="15" t="s">
        <v>1783</v>
      </c>
      <c r="K242" s="15" t="s">
        <v>1255</v>
      </c>
      <c r="L242" s="15" t="s">
        <v>2568</v>
      </c>
      <c r="M242" s="15" t="s">
        <v>2569</v>
      </c>
      <c r="N242" s="15" t="s">
        <v>73</v>
      </c>
      <c r="O242" s="16" t="n">
        <v>0</v>
      </c>
      <c r="P242" s="16" t="n">
        <v>2</v>
      </c>
      <c r="Q242" s="16" t="n">
        <v>2</v>
      </c>
      <c r="R242" s="16" t="n">
        <v>0</v>
      </c>
      <c r="S242" s="16" t="n">
        <v>4</v>
      </c>
      <c r="T242" s="17" t="n">
        <f aca="false">AVERAGE(O242:Q242)</f>
        <v>1.33333333333333</v>
      </c>
      <c r="U242" s="18" t="str">
        <f aca="false">IF(T242&gt;=$H$3,"Eligible","Not Eligible")</f>
        <v>Not Eligible</v>
      </c>
      <c r="V242" s="19" t="n">
        <f aca="false">IF(T242&lt;$H$3,0,IFERROR(T242/SUMIF($T$5:$T$999,"&gt;="&amp;$H$3),0))</f>
        <v>0</v>
      </c>
      <c r="W242" s="15" t="str">
        <f aca="false">IF(T242=0,"Win-Back","Active")</f>
        <v>Active</v>
      </c>
      <c r="X242" s="20" t="n">
        <f aca="false">IF(T242=0,0,IF(T242&gt;=$H$3,ROUND(T242*$D$3/SUMIF($T$5:$T$999,"&gt;="&amp;$H$3),0),ROUNDUP(T242*$D$3/SUMIF($T$5:$T$999,"&gt;="&amp;$H$3),0)))</f>
        <v>2</v>
      </c>
      <c r="Y242" s="21"/>
      <c r="Z242" s="16" t="n">
        <f aca="false">IF(X242=0,"",X242-Y242)</f>
        <v>2</v>
      </c>
      <c r="AA242" s="22" t="n">
        <f aca="false">IFERROR(Y242/X242,"")</f>
        <v>0</v>
      </c>
      <c r="AB242" s="16" t="n">
        <v>0</v>
      </c>
      <c r="AC242" s="21"/>
    </row>
    <row r="243" customFormat="false" ht="15" hidden="false" customHeight="true" outlineLevel="0" collapsed="false">
      <c r="A243" s="15" t="s">
        <v>2570</v>
      </c>
      <c r="B243" s="15" t="s">
        <v>2571</v>
      </c>
      <c r="C243" s="15" t="s">
        <v>2572</v>
      </c>
      <c r="D243" s="15" t="s">
        <v>2573</v>
      </c>
      <c r="E243" s="15" t="s">
        <v>2574</v>
      </c>
      <c r="F243" s="15" t="s">
        <v>2575</v>
      </c>
      <c r="G243" s="15" t="s">
        <v>2576</v>
      </c>
      <c r="H243" s="15" t="s">
        <v>2577</v>
      </c>
      <c r="I243" s="15" t="s">
        <v>148</v>
      </c>
      <c r="J243" s="15" t="s">
        <v>863</v>
      </c>
      <c r="K243" s="15" t="s">
        <v>864</v>
      </c>
      <c r="L243" s="15" t="s">
        <v>2578</v>
      </c>
      <c r="M243" s="15" t="s">
        <v>2579</v>
      </c>
      <c r="N243" s="15" t="s">
        <v>73</v>
      </c>
      <c r="O243" s="16" t="n">
        <v>0</v>
      </c>
      <c r="P243" s="16" t="n">
        <v>2</v>
      </c>
      <c r="Q243" s="16" t="n">
        <v>2</v>
      </c>
      <c r="R243" s="16" t="n">
        <v>0</v>
      </c>
      <c r="S243" s="16" t="n">
        <v>4</v>
      </c>
      <c r="T243" s="17" t="n">
        <f aca="false">AVERAGE(O243:Q243)</f>
        <v>1.33333333333333</v>
      </c>
      <c r="U243" s="18" t="str">
        <f aca="false">IF(T243&gt;=$H$3,"Eligible","Not Eligible")</f>
        <v>Not Eligible</v>
      </c>
      <c r="V243" s="19" t="n">
        <f aca="false">IF(T243&lt;$H$3,0,IFERROR(T243/SUMIF($T$5:$T$999,"&gt;="&amp;$H$3),0))</f>
        <v>0</v>
      </c>
      <c r="W243" s="15" t="str">
        <f aca="false">IF(T243=0,"Win-Back","Active")</f>
        <v>Active</v>
      </c>
      <c r="X243" s="20" t="n">
        <f aca="false">IF(T243=0,0,IF(T243&gt;=$H$3,ROUND(T243*$D$3/SUMIF($T$5:$T$999,"&gt;="&amp;$H$3),0),ROUNDUP(T243*$D$3/SUMIF($T$5:$T$999,"&gt;="&amp;$H$3),0)))</f>
        <v>2</v>
      </c>
      <c r="Y243" s="21"/>
      <c r="Z243" s="16" t="n">
        <f aca="false">IF(X243=0,"",X243-Y243)</f>
        <v>2</v>
      </c>
      <c r="AA243" s="22" t="n">
        <f aca="false">IFERROR(Y243/X243,"")</f>
        <v>0</v>
      </c>
      <c r="AB243" s="16" t="n">
        <v>0</v>
      </c>
      <c r="AC243" s="21"/>
    </row>
    <row r="244" customFormat="false" ht="15" hidden="false" customHeight="true" outlineLevel="0" collapsed="false">
      <c r="A244" s="15" t="s">
        <v>2580</v>
      </c>
      <c r="B244" s="15" t="s">
        <v>2581</v>
      </c>
      <c r="C244" s="15" t="s">
        <v>2582</v>
      </c>
      <c r="D244" s="15" t="s">
        <v>2583</v>
      </c>
      <c r="E244" s="15" t="s">
        <v>2584</v>
      </c>
      <c r="F244" s="15" t="s">
        <v>2585</v>
      </c>
      <c r="G244" s="15" t="s">
        <v>2586</v>
      </c>
      <c r="H244" s="15" t="s">
        <v>2587</v>
      </c>
      <c r="I244" s="15"/>
      <c r="J244" s="15" t="s">
        <v>2588</v>
      </c>
      <c r="K244" s="15" t="s">
        <v>1255</v>
      </c>
      <c r="L244" s="15" t="s">
        <v>2589</v>
      </c>
      <c r="M244" s="15" t="s">
        <v>2590</v>
      </c>
      <c r="N244" s="15" t="s">
        <v>73</v>
      </c>
      <c r="O244" s="16" t="n">
        <v>1</v>
      </c>
      <c r="P244" s="16" t="n">
        <v>3</v>
      </c>
      <c r="Q244" s="16" t="n">
        <v>0</v>
      </c>
      <c r="R244" s="16" t="n">
        <v>0</v>
      </c>
      <c r="S244" s="16" t="n">
        <v>4</v>
      </c>
      <c r="T244" s="17" t="n">
        <f aca="false">AVERAGE(O244:Q244)</f>
        <v>1.33333333333333</v>
      </c>
      <c r="U244" s="18" t="str">
        <f aca="false">IF(T244&gt;=$H$3,"Eligible","Not Eligible")</f>
        <v>Not Eligible</v>
      </c>
      <c r="V244" s="19" t="n">
        <f aca="false">IF(T244&lt;$H$3,0,IFERROR(T244/SUMIF($T$5:$T$999,"&gt;="&amp;$H$3),0))</f>
        <v>0</v>
      </c>
      <c r="W244" s="15" t="str">
        <f aca="false">IF(T244=0,"Win-Back","Active")</f>
        <v>Active</v>
      </c>
      <c r="X244" s="20" t="n">
        <f aca="false">IF(T244=0,0,IF(T244&gt;=$H$3,ROUND(T244*$D$3/SUMIF($T$5:$T$999,"&gt;="&amp;$H$3),0),ROUNDUP(T244*$D$3/SUMIF($T$5:$T$999,"&gt;="&amp;$H$3),0)))</f>
        <v>2</v>
      </c>
      <c r="Y244" s="21" t="n">
        <v>5</v>
      </c>
      <c r="Z244" s="16" t="n">
        <f aca="false">IF(X244=0,"",X244-Y244)</f>
        <v>-3</v>
      </c>
      <c r="AA244" s="22" t="n">
        <f aca="false">IFERROR(Y244/X244,"")</f>
        <v>2.5</v>
      </c>
      <c r="AB244" s="16" t="n">
        <v>0</v>
      </c>
      <c r="AC244" s="21"/>
    </row>
    <row r="245" customFormat="false" ht="15" hidden="false" customHeight="true" outlineLevel="0" collapsed="false">
      <c r="A245" s="15" t="s">
        <v>2591</v>
      </c>
      <c r="B245" s="15" t="s">
        <v>2592</v>
      </c>
      <c r="C245" s="15" t="s">
        <v>2593</v>
      </c>
      <c r="D245" s="15" t="s">
        <v>2594</v>
      </c>
      <c r="E245" s="15" t="s">
        <v>2595</v>
      </c>
      <c r="F245" s="15" t="s">
        <v>2596</v>
      </c>
      <c r="G245" s="15" t="s">
        <v>2597</v>
      </c>
      <c r="H245" s="15" t="s">
        <v>2598</v>
      </c>
      <c r="I245" s="15"/>
      <c r="J245" s="15" t="s">
        <v>925</v>
      </c>
      <c r="K245" s="15" t="s">
        <v>70</v>
      </c>
      <c r="L245" s="15" t="s">
        <v>926</v>
      </c>
      <c r="M245" s="15" t="s">
        <v>2599</v>
      </c>
      <c r="N245" s="15" t="s">
        <v>73</v>
      </c>
      <c r="O245" s="16" t="n">
        <v>3</v>
      </c>
      <c r="P245" s="16" t="n">
        <v>0</v>
      </c>
      <c r="Q245" s="16" t="n">
        <v>1</v>
      </c>
      <c r="R245" s="16" t="n">
        <v>0</v>
      </c>
      <c r="S245" s="16" t="n">
        <v>4</v>
      </c>
      <c r="T245" s="17" t="n">
        <f aca="false">AVERAGE(O245:Q245)</f>
        <v>1.33333333333333</v>
      </c>
      <c r="U245" s="18" t="str">
        <f aca="false">IF(T245&gt;=$H$3,"Eligible","Not Eligible")</f>
        <v>Not Eligible</v>
      </c>
      <c r="V245" s="19" t="n">
        <f aca="false">IF(T245&lt;$H$3,0,IFERROR(T245/SUMIF($T$5:$T$999,"&gt;="&amp;$H$3),0))</f>
        <v>0</v>
      </c>
      <c r="W245" s="15" t="str">
        <f aca="false">IF(T245=0,"Win-Back","Active")</f>
        <v>Active</v>
      </c>
      <c r="X245" s="20" t="n">
        <f aca="false">IF(T245=0,0,IF(T245&gt;=$H$3,ROUND(T245*$D$3/SUMIF($T$5:$T$999,"&gt;="&amp;$H$3),0),ROUNDUP(T245*$D$3/SUMIF($T$5:$T$999,"&gt;="&amp;$H$3),0)))</f>
        <v>2</v>
      </c>
      <c r="Y245" s="21"/>
      <c r="Z245" s="16" t="n">
        <f aca="false">IF(X245=0,"",X245-Y245)</f>
        <v>2</v>
      </c>
      <c r="AA245" s="22" t="n">
        <f aca="false">IFERROR(Y245/X245,"")</f>
        <v>0</v>
      </c>
      <c r="AB245" s="16" t="n">
        <v>0</v>
      </c>
      <c r="AC245" s="21"/>
    </row>
    <row r="246" customFormat="false" ht="15" hidden="false" customHeight="true" outlineLevel="0" collapsed="false">
      <c r="A246" s="15" t="s">
        <v>2600</v>
      </c>
      <c r="B246" s="15" t="s">
        <v>2601</v>
      </c>
      <c r="C246" s="15" t="s">
        <v>2602</v>
      </c>
      <c r="D246" s="15" t="s">
        <v>2603</v>
      </c>
      <c r="E246" s="15" t="s">
        <v>2604</v>
      </c>
      <c r="F246" s="15" t="s">
        <v>2605</v>
      </c>
      <c r="G246" s="15" t="s">
        <v>2606</v>
      </c>
      <c r="H246" s="15" t="s">
        <v>2607</v>
      </c>
      <c r="I246" s="15"/>
      <c r="J246" s="15" t="s">
        <v>2608</v>
      </c>
      <c r="K246" s="15" t="s">
        <v>70</v>
      </c>
      <c r="L246" s="15" t="s">
        <v>2609</v>
      </c>
      <c r="M246" s="15" t="s">
        <v>2610</v>
      </c>
      <c r="N246" s="15" t="s">
        <v>73</v>
      </c>
      <c r="O246" s="16" t="n">
        <v>1</v>
      </c>
      <c r="P246" s="16" t="n">
        <v>0</v>
      </c>
      <c r="Q246" s="16" t="n">
        <v>3</v>
      </c>
      <c r="R246" s="16" t="n">
        <v>0</v>
      </c>
      <c r="S246" s="16" t="n">
        <v>4</v>
      </c>
      <c r="T246" s="17" t="n">
        <f aca="false">AVERAGE(O246:Q246)</f>
        <v>1.33333333333333</v>
      </c>
      <c r="U246" s="18" t="str">
        <f aca="false">IF(T246&gt;=$H$3,"Eligible","Not Eligible")</f>
        <v>Not Eligible</v>
      </c>
      <c r="V246" s="19" t="n">
        <f aca="false">IF(T246&lt;$H$3,0,IFERROR(T246/SUMIF($T$5:$T$999,"&gt;="&amp;$H$3),0))</f>
        <v>0</v>
      </c>
      <c r="W246" s="15" t="str">
        <f aca="false">IF(T246=0,"Win-Back","Active")</f>
        <v>Active</v>
      </c>
      <c r="X246" s="20" t="n">
        <f aca="false">IF(T246=0,0,IF(T246&gt;=$H$3,ROUND(T246*$D$3/SUMIF($T$5:$T$999,"&gt;="&amp;$H$3),0),ROUNDUP(T246*$D$3/SUMIF($T$5:$T$999,"&gt;="&amp;$H$3),0)))</f>
        <v>2</v>
      </c>
      <c r="Y246" s="21" t="n">
        <v>5</v>
      </c>
      <c r="Z246" s="16" t="n">
        <f aca="false">IF(X246=0,"",X246-Y246)</f>
        <v>-3</v>
      </c>
      <c r="AA246" s="22" t="n">
        <f aca="false">IFERROR(Y246/X246,"")</f>
        <v>2.5</v>
      </c>
      <c r="AB246" s="16" t="n">
        <v>0</v>
      </c>
      <c r="AC246" s="21"/>
    </row>
    <row r="247" customFormat="false" ht="15" hidden="false" customHeight="true" outlineLevel="0" collapsed="false">
      <c r="A247" s="15" t="s">
        <v>2611</v>
      </c>
      <c r="B247" s="15" t="s">
        <v>2612</v>
      </c>
      <c r="C247" s="15" t="s">
        <v>2613</v>
      </c>
      <c r="D247" s="15" t="s">
        <v>2614</v>
      </c>
      <c r="E247" s="15" t="s">
        <v>2615</v>
      </c>
      <c r="F247" s="15" t="s">
        <v>2616</v>
      </c>
      <c r="G247" s="15" t="s">
        <v>2617</v>
      </c>
      <c r="H247" s="15" t="s">
        <v>2618</v>
      </c>
      <c r="I247" s="15"/>
      <c r="J247" s="15" t="s">
        <v>2619</v>
      </c>
      <c r="K247" s="15" t="s">
        <v>735</v>
      </c>
      <c r="L247" s="15" t="s">
        <v>2620</v>
      </c>
      <c r="M247" s="15" t="s">
        <v>2621</v>
      </c>
      <c r="N247" s="15" t="s">
        <v>73</v>
      </c>
      <c r="O247" s="16" t="n">
        <v>1</v>
      </c>
      <c r="P247" s="16" t="n">
        <v>1</v>
      </c>
      <c r="Q247" s="16" t="n">
        <v>2</v>
      </c>
      <c r="R247" s="16" t="n">
        <v>0</v>
      </c>
      <c r="S247" s="16" t="n">
        <v>4</v>
      </c>
      <c r="T247" s="17" t="n">
        <f aca="false">AVERAGE(O247:Q247)</f>
        <v>1.33333333333333</v>
      </c>
      <c r="U247" s="18" t="str">
        <f aca="false">IF(T247&gt;=$H$3,"Eligible","Not Eligible")</f>
        <v>Not Eligible</v>
      </c>
      <c r="V247" s="19" t="n">
        <f aca="false">IF(T247&lt;$H$3,0,IFERROR(T247/SUMIF($T$5:$T$999,"&gt;="&amp;$H$3),0))</f>
        <v>0</v>
      </c>
      <c r="W247" s="15" t="str">
        <f aca="false">IF(T247=0,"Win-Back","Active")</f>
        <v>Active</v>
      </c>
      <c r="X247" s="20" t="n">
        <f aca="false">IF(T247=0,0,IF(T247&gt;=$H$3,ROUND(T247*$D$3/SUMIF($T$5:$T$999,"&gt;="&amp;$H$3),0),ROUNDUP(T247*$D$3/SUMIF($T$5:$T$999,"&gt;="&amp;$H$3),0)))</f>
        <v>2</v>
      </c>
      <c r="Y247" s="21" t="n">
        <v>2</v>
      </c>
      <c r="Z247" s="16" t="n">
        <f aca="false">IF(X247=0,"",X247-Y247)</f>
        <v>0</v>
      </c>
      <c r="AA247" s="22" t="n">
        <f aca="false">IFERROR(Y247/X247,"")</f>
        <v>1</v>
      </c>
      <c r="AB247" s="16" t="n">
        <v>0</v>
      </c>
      <c r="AC247" s="21"/>
    </row>
    <row r="248" customFormat="false" ht="15" hidden="false" customHeight="true" outlineLevel="0" collapsed="false">
      <c r="A248" s="15" t="s">
        <v>2622</v>
      </c>
      <c r="B248" s="15" t="s">
        <v>2623</v>
      </c>
      <c r="C248" s="15" t="s">
        <v>2624</v>
      </c>
      <c r="D248" s="15" t="s">
        <v>2625</v>
      </c>
      <c r="E248" s="15" t="s">
        <v>2626</v>
      </c>
      <c r="F248" s="15" t="s">
        <v>2627</v>
      </c>
      <c r="G248" s="15" t="s">
        <v>2628</v>
      </c>
      <c r="H248" s="15" t="s">
        <v>2629</v>
      </c>
      <c r="I248" s="15"/>
      <c r="J248" s="15" t="s">
        <v>2630</v>
      </c>
      <c r="K248" s="15" t="s">
        <v>1890</v>
      </c>
      <c r="L248" s="15" t="s">
        <v>2631</v>
      </c>
      <c r="M248" s="15" t="s">
        <v>2632</v>
      </c>
      <c r="N248" s="15" t="s">
        <v>73</v>
      </c>
      <c r="O248" s="16" t="n">
        <v>0</v>
      </c>
      <c r="P248" s="16" t="n">
        <v>3</v>
      </c>
      <c r="Q248" s="16" t="n">
        <v>1</v>
      </c>
      <c r="R248" s="16" t="n">
        <v>0</v>
      </c>
      <c r="S248" s="16" t="n">
        <v>4</v>
      </c>
      <c r="T248" s="17" t="n">
        <f aca="false">AVERAGE(O248:Q248)</f>
        <v>1.33333333333333</v>
      </c>
      <c r="U248" s="18" t="str">
        <f aca="false">IF(T248&gt;=$H$3,"Eligible","Not Eligible")</f>
        <v>Not Eligible</v>
      </c>
      <c r="V248" s="19" t="n">
        <f aca="false">IF(T248&lt;$H$3,0,IFERROR(T248/SUMIF($T$5:$T$999,"&gt;="&amp;$H$3),0))</f>
        <v>0</v>
      </c>
      <c r="W248" s="15" t="str">
        <f aca="false">IF(T248=0,"Win-Back","Active")</f>
        <v>Active</v>
      </c>
      <c r="X248" s="20" t="n">
        <f aca="false">IF(T248=0,0,IF(T248&gt;=$H$3,ROUND(T248*$D$3/SUMIF($T$5:$T$999,"&gt;="&amp;$H$3),0),ROUNDUP(T248*$D$3/SUMIF($T$5:$T$999,"&gt;="&amp;$H$3),0)))</f>
        <v>2</v>
      </c>
      <c r="Y248" s="21"/>
      <c r="Z248" s="16" t="n">
        <f aca="false">IF(X248=0,"",X248-Y248)</f>
        <v>2</v>
      </c>
      <c r="AA248" s="22" t="n">
        <f aca="false">IFERROR(Y248/X248,"")</f>
        <v>0</v>
      </c>
      <c r="AB248" s="16" t="n">
        <v>0</v>
      </c>
      <c r="AC248" s="21"/>
    </row>
    <row r="249" customFormat="false" ht="15" hidden="false" customHeight="true" outlineLevel="0" collapsed="false">
      <c r="A249" s="15" t="s">
        <v>2633</v>
      </c>
      <c r="B249" s="15" t="s">
        <v>2634</v>
      </c>
      <c r="C249" s="15" t="s">
        <v>2635</v>
      </c>
      <c r="D249" s="15" t="s">
        <v>2636</v>
      </c>
      <c r="E249" s="15" t="s">
        <v>2637</v>
      </c>
      <c r="F249" s="15" t="s">
        <v>2638</v>
      </c>
      <c r="G249" s="15" t="s">
        <v>2639</v>
      </c>
      <c r="H249" s="15" t="s">
        <v>2640</v>
      </c>
      <c r="I249" s="15"/>
      <c r="J249" s="15" t="s">
        <v>1998</v>
      </c>
      <c r="K249" s="15" t="s">
        <v>70</v>
      </c>
      <c r="L249" s="15" t="s">
        <v>2641</v>
      </c>
      <c r="M249" s="15" t="s">
        <v>2642</v>
      </c>
      <c r="N249" s="15" t="s">
        <v>73</v>
      </c>
      <c r="O249" s="16" t="n">
        <v>2</v>
      </c>
      <c r="P249" s="16" t="n">
        <v>0</v>
      </c>
      <c r="Q249" s="16" t="n">
        <v>2</v>
      </c>
      <c r="R249" s="16" t="n">
        <v>0</v>
      </c>
      <c r="S249" s="16" t="n">
        <v>4</v>
      </c>
      <c r="T249" s="17" t="n">
        <f aca="false">AVERAGE(O249:Q249)</f>
        <v>1.33333333333333</v>
      </c>
      <c r="U249" s="18" t="str">
        <f aca="false">IF(T249&gt;=$H$3,"Eligible","Not Eligible")</f>
        <v>Not Eligible</v>
      </c>
      <c r="V249" s="19" t="n">
        <f aca="false">IF(T249&lt;$H$3,0,IFERROR(T249/SUMIF($T$5:$T$999,"&gt;="&amp;$H$3),0))</f>
        <v>0</v>
      </c>
      <c r="W249" s="15" t="str">
        <f aca="false">IF(T249=0,"Win-Back","Active")</f>
        <v>Active</v>
      </c>
      <c r="X249" s="20" t="n">
        <f aca="false">IF(T249=0,0,IF(T249&gt;=$H$3,ROUND(T249*$D$3/SUMIF($T$5:$T$999,"&gt;="&amp;$H$3),0),ROUNDUP(T249*$D$3/SUMIF($T$5:$T$999,"&gt;="&amp;$H$3),0)))</f>
        <v>2</v>
      </c>
      <c r="Y249" s="21" t="n">
        <v>5</v>
      </c>
      <c r="Z249" s="16" t="n">
        <f aca="false">IF(X249=0,"",X249-Y249)</f>
        <v>-3</v>
      </c>
      <c r="AA249" s="22" t="n">
        <f aca="false">IFERROR(Y249/X249,"")</f>
        <v>2.5</v>
      </c>
      <c r="AB249" s="16" t="n">
        <v>0</v>
      </c>
      <c r="AC249" s="21"/>
    </row>
    <row r="250" customFormat="false" ht="15" hidden="false" customHeight="true" outlineLevel="0" collapsed="false">
      <c r="A250" s="15" t="s">
        <v>2643</v>
      </c>
      <c r="B250" s="15" t="s">
        <v>2644</v>
      </c>
      <c r="C250" s="15" t="s">
        <v>2645</v>
      </c>
      <c r="D250" s="15" t="s">
        <v>2646</v>
      </c>
      <c r="E250" s="15" t="s">
        <v>2647</v>
      </c>
      <c r="F250" s="15" t="s">
        <v>2648</v>
      </c>
      <c r="G250" s="15" t="s">
        <v>2649</v>
      </c>
      <c r="H250" s="15" t="s">
        <v>2650</v>
      </c>
      <c r="I250" s="15"/>
      <c r="J250" s="15" t="s">
        <v>1771</v>
      </c>
      <c r="K250" s="15" t="s">
        <v>864</v>
      </c>
      <c r="L250" s="15" t="s">
        <v>1772</v>
      </c>
      <c r="M250" s="15" t="s">
        <v>2651</v>
      </c>
      <c r="N250" s="15" t="s">
        <v>73</v>
      </c>
      <c r="O250" s="16" t="n">
        <v>0</v>
      </c>
      <c r="P250" s="16" t="n">
        <v>0</v>
      </c>
      <c r="Q250" s="16" t="n">
        <v>3</v>
      </c>
      <c r="R250" s="16" t="n">
        <v>1</v>
      </c>
      <c r="S250" s="16" t="n">
        <v>4</v>
      </c>
      <c r="T250" s="17" t="n">
        <f aca="false">AVERAGE(O250:Q250)</f>
        <v>1</v>
      </c>
      <c r="U250" s="18" t="str">
        <f aca="false">IF(T250&gt;=$H$3,"Eligible","Not Eligible")</f>
        <v>Not Eligible</v>
      </c>
      <c r="V250" s="19" t="n">
        <f aca="false">IF(T250&lt;$H$3,0,IFERROR(T250/SUMIF($T$5:$T$999,"&gt;="&amp;$H$3),0))</f>
        <v>0</v>
      </c>
      <c r="W250" s="15" t="str">
        <f aca="false">IF(T250=0,"Win-Back","Active")</f>
        <v>Active</v>
      </c>
      <c r="X250" s="20" t="n">
        <f aca="false">IF(T250=0,0,IF(T250&gt;=$H$3,ROUND(T250*$D$3/SUMIF($T$5:$T$999,"&gt;="&amp;$H$3),0),ROUNDUP(T250*$D$3/SUMIF($T$5:$T$999,"&gt;="&amp;$H$3),0)))</f>
        <v>2</v>
      </c>
      <c r="Y250" s="21"/>
      <c r="Z250" s="16" t="n">
        <f aca="false">IF(X250=0,"",X250-Y250)</f>
        <v>2</v>
      </c>
      <c r="AA250" s="22" t="n">
        <f aca="false">IFERROR(Y250/X250,"")</f>
        <v>0</v>
      </c>
      <c r="AB250" s="16" t="n">
        <v>0</v>
      </c>
      <c r="AC250" s="21"/>
    </row>
    <row r="251" customFormat="false" ht="15" hidden="false" customHeight="true" outlineLevel="0" collapsed="false">
      <c r="A251" s="15" t="s">
        <v>2652</v>
      </c>
      <c r="B251" s="15" t="s">
        <v>2653</v>
      </c>
      <c r="C251" s="15" t="s">
        <v>2654</v>
      </c>
      <c r="D251" s="15" t="s">
        <v>2655</v>
      </c>
      <c r="E251" s="15" t="s">
        <v>2656</v>
      </c>
      <c r="F251" s="15" t="s">
        <v>2657</v>
      </c>
      <c r="G251" s="15" t="s">
        <v>2658</v>
      </c>
      <c r="H251" s="15" t="s">
        <v>2659</v>
      </c>
      <c r="I251" s="15"/>
      <c r="J251" s="15" t="s">
        <v>1644</v>
      </c>
      <c r="K251" s="15" t="s">
        <v>70</v>
      </c>
      <c r="L251" s="15" t="s">
        <v>1645</v>
      </c>
      <c r="M251" s="15" t="s">
        <v>2660</v>
      </c>
      <c r="N251" s="15" t="s">
        <v>73</v>
      </c>
      <c r="O251" s="16" t="n">
        <v>0</v>
      </c>
      <c r="P251" s="16" t="n">
        <v>1</v>
      </c>
      <c r="Q251" s="16" t="n">
        <v>2</v>
      </c>
      <c r="R251" s="16" t="n">
        <v>1</v>
      </c>
      <c r="S251" s="16" t="n">
        <v>4</v>
      </c>
      <c r="T251" s="17" t="n">
        <f aca="false">AVERAGE(O251:Q251)</f>
        <v>1</v>
      </c>
      <c r="U251" s="18" t="str">
        <f aca="false">IF(T251&gt;=$H$3,"Eligible","Not Eligible")</f>
        <v>Not Eligible</v>
      </c>
      <c r="V251" s="19" t="n">
        <f aca="false">IF(T251&lt;$H$3,0,IFERROR(T251/SUMIF($T$5:$T$999,"&gt;="&amp;$H$3),0))</f>
        <v>0</v>
      </c>
      <c r="W251" s="15" t="str">
        <f aca="false">IF(T251=0,"Win-Back","Active")</f>
        <v>Active</v>
      </c>
      <c r="X251" s="20" t="n">
        <f aca="false">IF(T251=0,0,IF(T251&gt;=$H$3,ROUND(T251*$D$3/SUMIF($T$5:$T$999,"&gt;="&amp;$H$3),0),ROUNDUP(T251*$D$3/SUMIF($T$5:$T$999,"&gt;="&amp;$H$3),0)))</f>
        <v>2</v>
      </c>
      <c r="Y251" s="21"/>
      <c r="Z251" s="16" t="n">
        <f aca="false">IF(X251=0,"",X251-Y251)</f>
        <v>2</v>
      </c>
      <c r="AA251" s="22" t="n">
        <f aca="false">IFERROR(Y251/X251,"")</f>
        <v>0</v>
      </c>
      <c r="AB251" s="16" t="n">
        <v>0</v>
      </c>
      <c r="AC251" s="21"/>
    </row>
    <row r="252" customFormat="false" ht="15" hidden="false" customHeight="true" outlineLevel="0" collapsed="false">
      <c r="A252" s="15" t="s">
        <v>2661</v>
      </c>
      <c r="B252" s="15" t="s">
        <v>2662</v>
      </c>
      <c r="C252" s="15" t="s">
        <v>2663</v>
      </c>
      <c r="D252" s="15" t="s">
        <v>2664</v>
      </c>
      <c r="E252" s="15" t="s">
        <v>2665</v>
      </c>
      <c r="F252" s="15" t="s">
        <v>2666</v>
      </c>
      <c r="G252" s="15" t="s">
        <v>2667</v>
      </c>
      <c r="H252" s="15" t="s">
        <v>2668</v>
      </c>
      <c r="I252" s="15" t="s">
        <v>68</v>
      </c>
      <c r="J252" s="15" t="s">
        <v>367</v>
      </c>
      <c r="K252" s="15" t="s">
        <v>368</v>
      </c>
      <c r="L252" s="15" t="s">
        <v>2669</v>
      </c>
      <c r="M252" s="15" t="s">
        <v>2670</v>
      </c>
      <c r="N252" s="15" t="s">
        <v>73</v>
      </c>
      <c r="O252" s="16" t="n">
        <v>3</v>
      </c>
      <c r="P252" s="16" t="n">
        <v>0</v>
      </c>
      <c r="Q252" s="16" t="n">
        <v>0</v>
      </c>
      <c r="R252" s="16" t="n">
        <v>0</v>
      </c>
      <c r="S252" s="16" t="n">
        <v>3</v>
      </c>
      <c r="T252" s="17" t="n">
        <f aca="false">AVERAGE(O252:Q252)</f>
        <v>1</v>
      </c>
      <c r="U252" s="18" t="str">
        <f aca="false">IF(T252&gt;=$H$3,"Eligible","Not Eligible")</f>
        <v>Not Eligible</v>
      </c>
      <c r="V252" s="19" t="n">
        <f aca="false">IF(T252&lt;$H$3,0,IFERROR(T252/SUMIF($T$5:$T$999,"&gt;="&amp;$H$3),0))</f>
        <v>0</v>
      </c>
      <c r="W252" s="15" t="str">
        <f aca="false">IF(T252=0,"Win-Back","Active")</f>
        <v>Active</v>
      </c>
      <c r="X252" s="20" t="n">
        <f aca="false">IF(T252=0,0,IF(T252&gt;=$H$3,ROUND(T252*$D$3/SUMIF($T$5:$T$999,"&gt;="&amp;$H$3),0),ROUNDUP(T252*$D$3/SUMIF($T$5:$T$999,"&gt;="&amp;$H$3),0)))</f>
        <v>2</v>
      </c>
      <c r="Y252" s="21" t="n">
        <v>1</v>
      </c>
      <c r="Z252" s="16" t="n">
        <f aca="false">IF(X252=0,"",X252-Y252)</f>
        <v>1</v>
      </c>
      <c r="AA252" s="22" t="n">
        <f aca="false">IFERROR(Y252/X252,"")</f>
        <v>0.5</v>
      </c>
      <c r="AB252" s="16" t="n">
        <v>0</v>
      </c>
      <c r="AC252" s="21"/>
    </row>
    <row r="253" customFormat="false" ht="15" hidden="false" customHeight="true" outlineLevel="0" collapsed="false">
      <c r="A253" s="15" t="s">
        <v>2671</v>
      </c>
      <c r="B253" s="15" t="s">
        <v>2672</v>
      </c>
      <c r="C253" s="15" t="s">
        <v>2673</v>
      </c>
      <c r="D253" s="15" t="s">
        <v>2674</v>
      </c>
      <c r="E253" s="15" t="s">
        <v>2675</v>
      </c>
      <c r="F253" s="15"/>
      <c r="G253" s="15" t="s">
        <v>2676</v>
      </c>
      <c r="H253" s="15" t="s">
        <v>2677</v>
      </c>
      <c r="I253" s="15" t="s">
        <v>2678</v>
      </c>
      <c r="J253" s="15" t="s">
        <v>492</v>
      </c>
      <c r="K253" s="15" t="s">
        <v>493</v>
      </c>
      <c r="L253" s="15" t="s">
        <v>636</v>
      </c>
      <c r="M253" s="15" t="s">
        <v>2679</v>
      </c>
      <c r="N253" s="15" t="s">
        <v>73</v>
      </c>
      <c r="O253" s="16" t="n">
        <v>1</v>
      </c>
      <c r="P253" s="16" t="n">
        <v>1</v>
      </c>
      <c r="Q253" s="16" t="n">
        <v>1</v>
      </c>
      <c r="R253" s="16" t="n">
        <v>0</v>
      </c>
      <c r="S253" s="16" t="n">
        <v>3</v>
      </c>
      <c r="T253" s="17" t="n">
        <f aca="false">AVERAGE(O253:Q253)</f>
        <v>1</v>
      </c>
      <c r="U253" s="18" t="str">
        <f aca="false">IF(T253&gt;=$H$3,"Eligible","Not Eligible")</f>
        <v>Not Eligible</v>
      </c>
      <c r="V253" s="19" t="n">
        <f aca="false">IF(T253&lt;$H$3,0,IFERROR(T253/SUMIF($T$5:$T$999,"&gt;="&amp;$H$3),0))</f>
        <v>0</v>
      </c>
      <c r="W253" s="15" t="str">
        <f aca="false">IF(T253=0,"Win-Back","Active")</f>
        <v>Active</v>
      </c>
      <c r="X253" s="20" t="n">
        <f aca="false">IF(T253=0,0,IF(T253&gt;=$H$3,ROUND(T253*$D$3/SUMIF($T$5:$T$999,"&gt;="&amp;$H$3),0),ROUNDUP(T253*$D$3/SUMIF($T$5:$T$999,"&gt;="&amp;$H$3),0)))</f>
        <v>2</v>
      </c>
      <c r="Y253" s="21"/>
      <c r="Z253" s="16" t="n">
        <f aca="false">IF(X253=0,"",X253-Y253)</f>
        <v>2</v>
      </c>
      <c r="AA253" s="22" t="n">
        <f aca="false">IFERROR(Y253/X253,"")</f>
        <v>0</v>
      </c>
      <c r="AB253" s="16" t="n">
        <v>0</v>
      </c>
      <c r="AC253" s="21"/>
    </row>
    <row r="254" customFormat="false" ht="15" hidden="false" customHeight="true" outlineLevel="0" collapsed="false">
      <c r="A254" s="15" t="s">
        <v>2680</v>
      </c>
      <c r="B254" s="15" t="s">
        <v>2681</v>
      </c>
      <c r="C254" s="15" t="s">
        <v>2682</v>
      </c>
      <c r="D254" s="15" t="s">
        <v>2683</v>
      </c>
      <c r="E254" s="15" t="s">
        <v>2684</v>
      </c>
      <c r="F254" s="15" t="s">
        <v>2685</v>
      </c>
      <c r="G254" s="15" t="s">
        <v>2686</v>
      </c>
      <c r="H254" s="15" t="s">
        <v>2687</v>
      </c>
      <c r="I254" s="15"/>
      <c r="J254" s="15" t="s">
        <v>2688</v>
      </c>
      <c r="K254" s="15" t="s">
        <v>368</v>
      </c>
      <c r="L254" s="15" t="s">
        <v>2689</v>
      </c>
      <c r="M254" s="15" t="s">
        <v>2690</v>
      </c>
      <c r="N254" s="15" t="s">
        <v>73</v>
      </c>
      <c r="O254" s="16" t="n">
        <v>0</v>
      </c>
      <c r="P254" s="16" t="n">
        <v>0</v>
      </c>
      <c r="Q254" s="16" t="n">
        <v>3</v>
      </c>
      <c r="R254" s="16" t="n">
        <v>0</v>
      </c>
      <c r="S254" s="16" t="n">
        <v>3</v>
      </c>
      <c r="T254" s="17" t="n">
        <f aca="false">AVERAGE(O254:Q254)</f>
        <v>1</v>
      </c>
      <c r="U254" s="18" t="str">
        <f aca="false">IF(T254&gt;=$H$3,"Eligible","Not Eligible")</f>
        <v>Not Eligible</v>
      </c>
      <c r="V254" s="19" t="n">
        <f aca="false">IF(T254&lt;$H$3,0,IFERROR(T254/SUMIF($T$5:$T$999,"&gt;="&amp;$H$3),0))</f>
        <v>0</v>
      </c>
      <c r="W254" s="15" t="str">
        <f aca="false">IF(T254=0,"Win-Back","Active")</f>
        <v>Active</v>
      </c>
      <c r="X254" s="20" t="n">
        <f aca="false">IF(T254=0,0,IF(T254&gt;=$H$3,ROUND(T254*$D$3/SUMIF($T$5:$T$999,"&gt;="&amp;$H$3),0),ROUNDUP(T254*$D$3/SUMIF($T$5:$T$999,"&gt;="&amp;$H$3),0)))</f>
        <v>2</v>
      </c>
      <c r="Y254" s="21"/>
      <c r="Z254" s="16" t="n">
        <f aca="false">IF(X254=0,"",X254-Y254)</f>
        <v>2</v>
      </c>
      <c r="AA254" s="22" t="n">
        <f aca="false">IFERROR(Y254/X254,"")</f>
        <v>0</v>
      </c>
      <c r="AB254" s="16" t="n">
        <v>0</v>
      </c>
      <c r="AC254" s="21"/>
    </row>
    <row r="255" customFormat="false" ht="15" hidden="false" customHeight="true" outlineLevel="0" collapsed="false">
      <c r="A255" s="15" t="s">
        <v>2691</v>
      </c>
      <c r="B255" s="15" t="s">
        <v>2692</v>
      </c>
      <c r="C255" s="15" t="s">
        <v>2693</v>
      </c>
      <c r="D255" s="15" t="s">
        <v>2694</v>
      </c>
      <c r="E255" s="15" t="s">
        <v>2695</v>
      </c>
      <c r="F255" s="15" t="s">
        <v>2696</v>
      </c>
      <c r="G255" s="15" t="s">
        <v>2697</v>
      </c>
      <c r="H255" s="15" t="s">
        <v>2698</v>
      </c>
      <c r="I255" s="15"/>
      <c r="J255" s="15" t="s">
        <v>492</v>
      </c>
      <c r="K255" s="15" t="s">
        <v>493</v>
      </c>
      <c r="L255" s="15" t="s">
        <v>636</v>
      </c>
      <c r="M255" s="15" t="s">
        <v>2699</v>
      </c>
      <c r="N255" s="15" t="s">
        <v>73</v>
      </c>
      <c r="O255" s="16" t="n">
        <v>2</v>
      </c>
      <c r="P255" s="16" t="n">
        <v>1</v>
      </c>
      <c r="Q255" s="16" t="n">
        <v>0</v>
      </c>
      <c r="R255" s="16" t="n">
        <v>0</v>
      </c>
      <c r="S255" s="16" t="n">
        <v>3</v>
      </c>
      <c r="T255" s="17" t="n">
        <f aca="false">AVERAGE(O255:Q255)</f>
        <v>1</v>
      </c>
      <c r="U255" s="18" t="str">
        <f aca="false">IF(T255&gt;=$H$3,"Eligible","Not Eligible")</f>
        <v>Not Eligible</v>
      </c>
      <c r="V255" s="19" t="n">
        <f aca="false">IF(T255&lt;$H$3,0,IFERROR(T255/SUMIF($T$5:$T$999,"&gt;="&amp;$H$3),0))</f>
        <v>0</v>
      </c>
      <c r="W255" s="15" t="str">
        <f aca="false">IF(T255=0,"Win-Back","Active")</f>
        <v>Active</v>
      </c>
      <c r="X255" s="20" t="n">
        <f aca="false">IF(T255=0,0,IF(T255&gt;=$H$3,ROUND(T255*$D$3/SUMIF($T$5:$T$999,"&gt;="&amp;$H$3),0),ROUNDUP(T255*$D$3/SUMIF($T$5:$T$999,"&gt;="&amp;$H$3),0)))</f>
        <v>2</v>
      </c>
      <c r="Y255" s="21"/>
      <c r="Z255" s="16" t="n">
        <f aca="false">IF(X255=0,"",X255-Y255)</f>
        <v>2</v>
      </c>
      <c r="AA255" s="22" t="n">
        <f aca="false">IFERROR(Y255/X255,"")</f>
        <v>0</v>
      </c>
      <c r="AB255" s="16" t="n">
        <v>0</v>
      </c>
      <c r="AC255" s="21"/>
    </row>
    <row r="256" customFormat="false" ht="15" hidden="false" customHeight="true" outlineLevel="0" collapsed="false">
      <c r="A256" s="15" t="s">
        <v>2700</v>
      </c>
      <c r="B256" s="15" t="s">
        <v>2701</v>
      </c>
      <c r="C256" s="15" t="s">
        <v>2702</v>
      </c>
      <c r="D256" s="15" t="s">
        <v>2703</v>
      </c>
      <c r="E256" s="15" t="s">
        <v>2704</v>
      </c>
      <c r="F256" s="15" t="s">
        <v>2705</v>
      </c>
      <c r="G256" s="15" t="s">
        <v>2706</v>
      </c>
      <c r="H256" s="15" t="s">
        <v>2707</v>
      </c>
      <c r="I256" s="15" t="s">
        <v>2708</v>
      </c>
      <c r="J256" s="15" t="s">
        <v>2709</v>
      </c>
      <c r="K256" s="15" t="s">
        <v>368</v>
      </c>
      <c r="L256" s="15" t="s">
        <v>2710</v>
      </c>
      <c r="M256" s="15" t="s">
        <v>2711</v>
      </c>
      <c r="N256" s="15" t="s">
        <v>73</v>
      </c>
      <c r="O256" s="16" t="n">
        <v>0</v>
      </c>
      <c r="P256" s="16" t="n">
        <v>0</v>
      </c>
      <c r="Q256" s="16" t="n">
        <v>3</v>
      </c>
      <c r="R256" s="16" t="n">
        <v>0</v>
      </c>
      <c r="S256" s="16" t="n">
        <v>3</v>
      </c>
      <c r="T256" s="17" t="n">
        <f aca="false">AVERAGE(O256:Q256)</f>
        <v>1</v>
      </c>
      <c r="U256" s="18" t="str">
        <f aca="false">IF(T256&gt;=$H$3,"Eligible","Not Eligible")</f>
        <v>Not Eligible</v>
      </c>
      <c r="V256" s="19" t="n">
        <f aca="false">IF(T256&lt;$H$3,0,IFERROR(T256/SUMIF($T$5:$T$999,"&gt;="&amp;$H$3),0))</f>
        <v>0</v>
      </c>
      <c r="W256" s="15" t="str">
        <f aca="false">IF(T256=0,"Win-Back","Active")</f>
        <v>Active</v>
      </c>
      <c r="X256" s="20" t="n">
        <f aca="false">IF(T256=0,0,IF(T256&gt;=$H$3,ROUND(T256*$D$3/SUMIF($T$5:$T$999,"&gt;="&amp;$H$3),0),ROUNDUP(T256*$D$3/SUMIF($T$5:$T$999,"&gt;="&amp;$H$3),0)))</f>
        <v>2</v>
      </c>
      <c r="Y256" s="21"/>
      <c r="Z256" s="16" t="n">
        <f aca="false">IF(X256=0,"",X256-Y256)</f>
        <v>2</v>
      </c>
      <c r="AA256" s="22" t="n">
        <f aca="false">IFERROR(Y256/X256,"")</f>
        <v>0</v>
      </c>
      <c r="AB256" s="16" t="n">
        <v>0</v>
      </c>
      <c r="AC256" s="21"/>
    </row>
    <row r="257" customFormat="false" ht="15" hidden="false" customHeight="true" outlineLevel="0" collapsed="false">
      <c r="A257" s="15" t="s">
        <v>2712</v>
      </c>
      <c r="B257" s="15" t="s">
        <v>2713</v>
      </c>
      <c r="C257" s="15" t="s">
        <v>2714</v>
      </c>
      <c r="D257" s="15" t="s">
        <v>2715</v>
      </c>
      <c r="E257" s="15" t="s">
        <v>2716</v>
      </c>
      <c r="F257" s="15" t="s">
        <v>2717</v>
      </c>
      <c r="G257" s="15" t="s">
        <v>2718</v>
      </c>
      <c r="H257" s="15" t="s">
        <v>2719</v>
      </c>
      <c r="I257" s="15"/>
      <c r="J257" s="15" t="s">
        <v>1022</v>
      </c>
      <c r="K257" s="15" t="s">
        <v>368</v>
      </c>
      <c r="L257" s="15" t="s">
        <v>1023</v>
      </c>
      <c r="M257" s="15" t="s">
        <v>2720</v>
      </c>
      <c r="N257" s="15" t="s">
        <v>73</v>
      </c>
      <c r="O257" s="16" t="n">
        <v>1</v>
      </c>
      <c r="P257" s="16" t="n">
        <v>2</v>
      </c>
      <c r="Q257" s="16" t="n">
        <v>0</v>
      </c>
      <c r="R257" s="16" t="n">
        <v>0</v>
      </c>
      <c r="S257" s="16" t="n">
        <v>3</v>
      </c>
      <c r="T257" s="17" t="n">
        <f aca="false">AVERAGE(O257:Q257)</f>
        <v>1</v>
      </c>
      <c r="U257" s="18" t="str">
        <f aca="false">IF(T257&gt;=$H$3,"Eligible","Not Eligible")</f>
        <v>Not Eligible</v>
      </c>
      <c r="V257" s="19" t="n">
        <f aca="false">IF(T257&lt;$H$3,0,IFERROR(T257/SUMIF($T$5:$T$999,"&gt;="&amp;$H$3),0))</f>
        <v>0</v>
      </c>
      <c r="W257" s="15" t="str">
        <f aca="false">IF(T257=0,"Win-Back","Active")</f>
        <v>Active</v>
      </c>
      <c r="X257" s="20" t="n">
        <f aca="false">IF(T257=0,0,IF(T257&gt;=$H$3,ROUND(T257*$D$3/SUMIF($T$5:$T$999,"&gt;="&amp;$H$3),0),ROUNDUP(T257*$D$3/SUMIF($T$5:$T$999,"&gt;="&amp;$H$3),0)))</f>
        <v>2</v>
      </c>
      <c r="Y257" s="21" t="n">
        <v>3</v>
      </c>
      <c r="Z257" s="16" t="n">
        <f aca="false">IF(X257=0,"",X257-Y257)</f>
        <v>-1</v>
      </c>
      <c r="AA257" s="22" t="n">
        <f aca="false">IFERROR(Y257/X257,"")</f>
        <v>1.5</v>
      </c>
      <c r="AB257" s="16" t="n">
        <v>0</v>
      </c>
      <c r="AC257" s="21"/>
    </row>
    <row r="258" customFormat="false" ht="15" hidden="false" customHeight="true" outlineLevel="0" collapsed="false">
      <c r="A258" s="15" t="s">
        <v>2721</v>
      </c>
      <c r="B258" s="15" t="s">
        <v>2722</v>
      </c>
      <c r="C258" s="15" t="s">
        <v>2723</v>
      </c>
      <c r="D258" s="15" t="s">
        <v>2724</v>
      </c>
      <c r="E258" s="15" t="s">
        <v>2725</v>
      </c>
      <c r="F258" s="15" t="s">
        <v>2726</v>
      </c>
      <c r="G258" s="15" t="s">
        <v>2727</v>
      </c>
      <c r="H258" s="15" t="s">
        <v>2728</v>
      </c>
      <c r="I258" s="15" t="s">
        <v>2729</v>
      </c>
      <c r="J258" s="15" t="s">
        <v>367</v>
      </c>
      <c r="K258" s="15" t="s">
        <v>368</v>
      </c>
      <c r="L258" s="15" t="s">
        <v>2730</v>
      </c>
      <c r="M258" s="15" t="s">
        <v>2731</v>
      </c>
      <c r="N258" s="15" t="s">
        <v>73</v>
      </c>
      <c r="O258" s="16" t="n">
        <v>1</v>
      </c>
      <c r="P258" s="16" t="n">
        <v>0</v>
      </c>
      <c r="Q258" s="16" t="n">
        <v>2</v>
      </c>
      <c r="R258" s="16" t="n">
        <v>0</v>
      </c>
      <c r="S258" s="16" t="n">
        <v>3</v>
      </c>
      <c r="T258" s="17" t="n">
        <f aca="false">AVERAGE(O258:Q258)</f>
        <v>1</v>
      </c>
      <c r="U258" s="18" t="str">
        <f aca="false">IF(T258&gt;=$H$3,"Eligible","Not Eligible")</f>
        <v>Not Eligible</v>
      </c>
      <c r="V258" s="19" t="n">
        <f aca="false">IF(T258&lt;$H$3,0,IFERROR(T258/SUMIF($T$5:$T$999,"&gt;="&amp;$H$3),0))</f>
        <v>0</v>
      </c>
      <c r="W258" s="15" t="str">
        <f aca="false">IF(T258=0,"Win-Back","Active")</f>
        <v>Active</v>
      </c>
      <c r="X258" s="20" t="n">
        <f aca="false">IF(T258=0,0,IF(T258&gt;=$H$3,ROUND(T258*$D$3/SUMIF($T$5:$T$999,"&gt;="&amp;$H$3),0),ROUNDUP(T258*$D$3/SUMIF($T$5:$T$999,"&gt;="&amp;$H$3),0)))</f>
        <v>2</v>
      </c>
      <c r="Y258" s="21"/>
      <c r="Z258" s="16" t="n">
        <f aca="false">IF(X258=0,"",X258-Y258)</f>
        <v>2</v>
      </c>
      <c r="AA258" s="22" t="n">
        <f aca="false">IFERROR(Y258/X258,"")</f>
        <v>0</v>
      </c>
      <c r="AB258" s="16" t="n">
        <v>0</v>
      </c>
      <c r="AC258" s="21"/>
    </row>
    <row r="259" customFormat="false" ht="15" hidden="false" customHeight="true" outlineLevel="0" collapsed="false">
      <c r="A259" s="15" t="s">
        <v>2732</v>
      </c>
      <c r="B259" s="15" t="s">
        <v>2733</v>
      </c>
      <c r="C259" s="15" t="s">
        <v>2734</v>
      </c>
      <c r="D259" s="15" t="s">
        <v>2735</v>
      </c>
      <c r="E259" s="15" t="s">
        <v>2736</v>
      </c>
      <c r="F259" s="15" t="s">
        <v>2737</v>
      </c>
      <c r="G259" s="15" t="s">
        <v>2738</v>
      </c>
      <c r="H259" s="15" t="s">
        <v>2739</v>
      </c>
      <c r="I259" s="15" t="s">
        <v>2740</v>
      </c>
      <c r="J259" s="15" t="s">
        <v>2097</v>
      </c>
      <c r="K259" s="15" t="s">
        <v>2098</v>
      </c>
      <c r="L259" s="15" t="s">
        <v>2741</v>
      </c>
      <c r="M259" s="15" t="s">
        <v>2742</v>
      </c>
      <c r="N259" s="15" t="s">
        <v>73</v>
      </c>
      <c r="O259" s="16" t="n">
        <v>2</v>
      </c>
      <c r="P259" s="16" t="n">
        <v>1</v>
      </c>
      <c r="Q259" s="16" t="n">
        <v>0</v>
      </c>
      <c r="R259" s="16" t="n">
        <v>0</v>
      </c>
      <c r="S259" s="16" t="n">
        <v>3</v>
      </c>
      <c r="T259" s="17" t="n">
        <f aca="false">AVERAGE(O259:Q259)</f>
        <v>1</v>
      </c>
      <c r="U259" s="18" t="str">
        <f aca="false">IF(T259&gt;=$H$3,"Eligible","Not Eligible")</f>
        <v>Not Eligible</v>
      </c>
      <c r="V259" s="19" t="n">
        <f aca="false">IF(T259&lt;$H$3,0,IFERROR(T259/SUMIF($T$5:$T$999,"&gt;="&amp;$H$3),0))</f>
        <v>0</v>
      </c>
      <c r="W259" s="15" t="str">
        <f aca="false">IF(T259=0,"Win-Back","Active")</f>
        <v>Active</v>
      </c>
      <c r="X259" s="20" t="n">
        <f aca="false">IF(T259=0,0,IF(T259&gt;=$H$3,ROUND(T259*$D$3/SUMIF($T$5:$T$999,"&gt;="&amp;$H$3),0),ROUNDUP(T259*$D$3/SUMIF($T$5:$T$999,"&gt;="&amp;$H$3),0)))</f>
        <v>2</v>
      </c>
      <c r="Y259" s="21"/>
      <c r="Z259" s="16" t="n">
        <f aca="false">IF(X259=0,"",X259-Y259)</f>
        <v>2</v>
      </c>
      <c r="AA259" s="22" t="n">
        <f aca="false">IFERROR(Y259/X259,"")</f>
        <v>0</v>
      </c>
      <c r="AB259" s="16" t="n">
        <v>0</v>
      </c>
      <c r="AC259" s="21"/>
    </row>
    <row r="260" customFormat="false" ht="15" hidden="false" customHeight="true" outlineLevel="0" collapsed="false">
      <c r="A260" s="15" t="s">
        <v>2743</v>
      </c>
      <c r="B260" s="15" t="s">
        <v>2744</v>
      </c>
      <c r="C260" s="15" t="s">
        <v>2745</v>
      </c>
      <c r="D260" s="15" t="s">
        <v>2746</v>
      </c>
      <c r="E260" s="15" t="s">
        <v>2747</v>
      </c>
      <c r="F260" s="15" t="s">
        <v>2748</v>
      </c>
      <c r="G260" s="15" t="s">
        <v>2749</v>
      </c>
      <c r="H260" s="15" t="s">
        <v>2750</v>
      </c>
      <c r="I260" s="15"/>
      <c r="J260" s="15" t="s">
        <v>2751</v>
      </c>
      <c r="K260" s="15" t="s">
        <v>1890</v>
      </c>
      <c r="L260" s="15" t="s">
        <v>2752</v>
      </c>
      <c r="M260" s="15" t="s">
        <v>2753</v>
      </c>
      <c r="N260" s="15" t="s">
        <v>73</v>
      </c>
      <c r="O260" s="16" t="n">
        <v>1</v>
      </c>
      <c r="P260" s="16" t="n">
        <v>0</v>
      </c>
      <c r="Q260" s="16" t="n">
        <v>2</v>
      </c>
      <c r="R260" s="16" t="n">
        <v>0</v>
      </c>
      <c r="S260" s="16" t="n">
        <v>3</v>
      </c>
      <c r="T260" s="17" t="n">
        <f aca="false">AVERAGE(O260:Q260)</f>
        <v>1</v>
      </c>
      <c r="U260" s="18" t="str">
        <f aca="false">IF(T260&gt;=$H$3,"Eligible","Not Eligible")</f>
        <v>Not Eligible</v>
      </c>
      <c r="V260" s="19" t="n">
        <f aca="false">IF(T260&lt;$H$3,0,IFERROR(T260/SUMIF($T$5:$T$999,"&gt;="&amp;$H$3),0))</f>
        <v>0</v>
      </c>
      <c r="W260" s="15" t="str">
        <f aca="false">IF(T260=0,"Win-Back","Active")</f>
        <v>Active</v>
      </c>
      <c r="X260" s="20" t="n">
        <f aca="false">IF(T260=0,0,IF(T260&gt;=$H$3,ROUND(T260*$D$3/SUMIF($T$5:$T$999,"&gt;="&amp;$H$3),0),ROUNDUP(T260*$D$3/SUMIF($T$5:$T$999,"&gt;="&amp;$H$3),0)))</f>
        <v>2</v>
      </c>
      <c r="Y260" s="21"/>
      <c r="Z260" s="16" t="n">
        <f aca="false">IF(X260=0,"",X260-Y260)</f>
        <v>2</v>
      </c>
      <c r="AA260" s="22" t="n">
        <f aca="false">IFERROR(Y260/X260,"")</f>
        <v>0</v>
      </c>
      <c r="AB260" s="16" t="n">
        <v>0</v>
      </c>
      <c r="AC260" s="21"/>
    </row>
    <row r="261" customFormat="false" ht="15" hidden="false" customHeight="true" outlineLevel="0" collapsed="false">
      <c r="A261" s="15" t="s">
        <v>2754</v>
      </c>
      <c r="B261" s="15" t="s">
        <v>2755</v>
      </c>
      <c r="C261" s="15" t="s">
        <v>2756</v>
      </c>
      <c r="D261" s="15" t="s">
        <v>2757</v>
      </c>
      <c r="E261" s="15" t="s">
        <v>2758</v>
      </c>
      <c r="F261" s="15" t="s">
        <v>2759</v>
      </c>
      <c r="G261" s="15" t="s">
        <v>2760</v>
      </c>
      <c r="H261" s="15" t="s">
        <v>2761</v>
      </c>
      <c r="I261" s="15" t="s">
        <v>2762</v>
      </c>
      <c r="J261" s="15" t="s">
        <v>492</v>
      </c>
      <c r="K261" s="15" t="s">
        <v>493</v>
      </c>
      <c r="L261" s="15" t="s">
        <v>2763</v>
      </c>
      <c r="M261" s="15" t="s">
        <v>2764</v>
      </c>
      <c r="N261" s="15" t="s">
        <v>73</v>
      </c>
      <c r="O261" s="16" t="n">
        <v>2</v>
      </c>
      <c r="P261" s="16" t="n">
        <v>0</v>
      </c>
      <c r="Q261" s="16" t="n">
        <v>1</v>
      </c>
      <c r="R261" s="16" t="n">
        <v>0</v>
      </c>
      <c r="S261" s="16" t="n">
        <v>3</v>
      </c>
      <c r="T261" s="17" t="n">
        <f aca="false">AVERAGE(O261:Q261)</f>
        <v>1</v>
      </c>
      <c r="U261" s="18" t="str">
        <f aca="false">IF(T261&gt;=$H$3,"Eligible","Not Eligible")</f>
        <v>Not Eligible</v>
      </c>
      <c r="V261" s="19" t="n">
        <f aca="false">IF(T261&lt;$H$3,0,IFERROR(T261/SUMIF($T$5:$T$999,"&gt;="&amp;$H$3),0))</f>
        <v>0</v>
      </c>
      <c r="W261" s="15" t="str">
        <f aca="false">IF(T261=0,"Win-Back","Active")</f>
        <v>Active</v>
      </c>
      <c r="X261" s="20" t="n">
        <f aca="false">IF(T261=0,0,IF(T261&gt;=$H$3,ROUND(T261*$D$3/SUMIF($T$5:$T$999,"&gt;="&amp;$H$3),0),ROUNDUP(T261*$D$3/SUMIF($T$5:$T$999,"&gt;="&amp;$H$3),0)))</f>
        <v>2</v>
      </c>
      <c r="Y261" s="21"/>
      <c r="Z261" s="16" t="n">
        <f aca="false">IF(X261=0,"",X261-Y261)</f>
        <v>2</v>
      </c>
      <c r="AA261" s="22" t="n">
        <f aca="false">IFERROR(Y261/X261,"")</f>
        <v>0</v>
      </c>
      <c r="AB261" s="16" t="n">
        <v>0</v>
      </c>
      <c r="AC261" s="21"/>
    </row>
    <row r="262" customFormat="false" ht="15" hidden="false" customHeight="true" outlineLevel="0" collapsed="false">
      <c r="A262" s="15" t="s">
        <v>2765</v>
      </c>
      <c r="B262" s="15" t="s">
        <v>2766</v>
      </c>
      <c r="C262" s="15" t="s">
        <v>2767</v>
      </c>
      <c r="D262" s="15" t="s">
        <v>2768</v>
      </c>
      <c r="E262" s="15" t="s">
        <v>2769</v>
      </c>
      <c r="F262" s="15" t="s">
        <v>2770</v>
      </c>
      <c r="G262" s="15" t="s">
        <v>2771</v>
      </c>
      <c r="H262" s="15" t="s">
        <v>2772</v>
      </c>
      <c r="I262" s="15"/>
      <c r="J262" s="15" t="s">
        <v>492</v>
      </c>
      <c r="K262" s="15" t="s">
        <v>493</v>
      </c>
      <c r="L262" s="15" t="s">
        <v>2773</v>
      </c>
      <c r="M262" s="15" t="s">
        <v>2774</v>
      </c>
      <c r="N262" s="15" t="s">
        <v>73</v>
      </c>
      <c r="O262" s="16" t="n">
        <v>0</v>
      </c>
      <c r="P262" s="16" t="n">
        <v>3</v>
      </c>
      <c r="Q262" s="16" t="n">
        <v>0</v>
      </c>
      <c r="R262" s="16" t="n">
        <v>0</v>
      </c>
      <c r="S262" s="16" t="n">
        <v>3</v>
      </c>
      <c r="T262" s="17" t="n">
        <f aca="false">AVERAGE(O262:Q262)</f>
        <v>1</v>
      </c>
      <c r="U262" s="18" t="str">
        <f aca="false">IF(T262&gt;=$H$3,"Eligible","Not Eligible")</f>
        <v>Not Eligible</v>
      </c>
      <c r="V262" s="19" t="n">
        <f aca="false">IF(T262&lt;$H$3,0,IFERROR(T262/SUMIF($T$5:$T$999,"&gt;="&amp;$H$3),0))</f>
        <v>0</v>
      </c>
      <c r="W262" s="15" t="str">
        <f aca="false">IF(T262=0,"Win-Back","Active")</f>
        <v>Active</v>
      </c>
      <c r="X262" s="20" t="n">
        <f aca="false">IF(T262=0,0,IF(T262&gt;=$H$3,ROUND(T262*$D$3/SUMIF($T$5:$T$999,"&gt;="&amp;$H$3),0),ROUNDUP(T262*$D$3/SUMIF($T$5:$T$999,"&gt;="&amp;$H$3),0)))</f>
        <v>2</v>
      </c>
      <c r="Y262" s="21" t="n">
        <v>1</v>
      </c>
      <c r="Z262" s="16" t="n">
        <f aca="false">IF(X262=0,"",X262-Y262)</f>
        <v>1</v>
      </c>
      <c r="AA262" s="22" t="n">
        <f aca="false">IFERROR(Y262/X262,"")</f>
        <v>0.5</v>
      </c>
      <c r="AB262" s="16" t="n">
        <v>0</v>
      </c>
      <c r="AC262" s="21"/>
    </row>
    <row r="263" customFormat="false" ht="15" hidden="false" customHeight="true" outlineLevel="0" collapsed="false">
      <c r="A263" s="15" t="s">
        <v>2775</v>
      </c>
      <c r="B263" s="15" t="s">
        <v>2776</v>
      </c>
      <c r="C263" s="15" t="s">
        <v>2777</v>
      </c>
      <c r="D263" s="15" t="s">
        <v>2778</v>
      </c>
      <c r="E263" s="15" t="s">
        <v>2779</v>
      </c>
      <c r="F263" s="15" t="s">
        <v>2780</v>
      </c>
      <c r="G263" s="15" t="s">
        <v>2781</v>
      </c>
      <c r="H263" s="15" t="s">
        <v>2782</v>
      </c>
      <c r="I263" s="15"/>
      <c r="J263" s="15" t="s">
        <v>2783</v>
      </c>
      <c r="K263" s="15" t="s">
        <v>70</v>
      </c>
      <c r="L263" s="15" t="s">
        <v>2784</v>
      </c>
      <c r="M263" s="15" t="s">
        <v>2785</v>
      </c>
      <c r="N263" s="15" t="s">
        <v>73</v>
      </c>
      <c r="O263" s="16" t="n">
        <v>0</v>
      </c>
      <c r="P263" s="16" t="n">
        <v>1</v>
      </c>
      <c r="Q263" s="16" t="n">
        <v>2</v>
      </c>
      <c r="R263" s="16" t="n">
        <v>0</v>
      </c>
      <c r="S263" s="16" t="n">
        <v>3</v>
      </c>
      <c r="T263" s="17" t="n">
        <f aca="false">AVERAGE(O263:Q263)</f>
        <v>1</v>
      </c>
      <c r="U263" s="18" t="str">
        <f aca="false">IF(T263&gt;=$H$3,"Eligible","Not Eligible")</f>
        <v>Not Eligible</v>
      </c>
      <c r="V263" s="19" t="n">
        <f aca="false">IF(T263&lt;$H$3,0,IFERROR(T263/SUMIF($T$5:$T$999,"&gt;="&amp;$H$3),0))</f>
        <v>0</v>
      </c>
      <c r="W263" s="15" t="str">
        <f aca="false">IF(T263=0,"Win-Back","Active")</f>
        <v>Active</v>
      </c>
      <c r="X263" s="20" t="n">
        <f aca="false">IF(T263=0,0,IF(T263&gt;=$H$3,ROUND(T263*$D$3/SUMIF($T$5:$T$999,"&gt;="&amp;$H$3),0),ROUNDUP(T263*$D$3/SUMIF($T$5:$T$999,"&gt;="&amp;$H$3),0)))</f>
        <v>2</v>
      </c>
      <c r="Y263" s="21" t="n">
        <v>2</v>
      </c>
      <c r="Z263" s="16" t="n">
        <f aca="false">IF(X263=0,"",X263-Y263)</f>
        <v>0</v>
      </c>
      <c r="AA263" s="22" t="n">
        <f aca="false">IFERROR(Y263/X263,"")</f>
        <v>1</v>
      </c>
      <c r="AB263" s="16" t="n">
        <v>0</v>
      </c>
      <c r="AC263" s="21"/>
    </row>
    <row r="264" customFormat="false" ht="15" hidden="false" customHeight="true" outlineLevel="0" collapsed="false">
      <c r="A264" s="15" t="s">
        <v>2786</v>
      </c>
      <c r="B264" s="15" t="s">
        <v>2787</v>
      </c>
      <c r="C264" s="15" t="s">
        <v>2788</v>
      </c>
      <c r="D264" s="15" t="s">
        <v>2789</v>
      </c>
      <c r="E264" s="15" t="s">
        <v>2790</v>
      </c>
      <c r="F264" s="15" t="s">
        <v>2791</v>
      </c>
      <c r="G264" s="15" t="s">
        <v>2792</v>
      </c>
      <c r="H264" s="15" t="s">
        <v>2793</v>
      </c>
      <c r="I264" s="15"/>
      <c r="J264" s="15" t="s">
        <v>2085</v>
      </c>
      <c r="K264" s="15" t="s">
        <v>47</v>
      </c>
      <c r="L264" s="15" t="s">
        <v>2546</v>
      </c>
      <c r="M264" s="15" t="s">
        <v>2794</v>
      </c>
      <c r="N264" s="15" t="s">
        <v>73</v>
      </c>
      <c r="O264" s="16" t="n">
        <v>3</v>
      </c>
      <c r="P264" s="16" t="n">
        <v>0</v>
      </c>
      <c r="Q264" s="16" t="n">
        <v>0</v>
      </c>
      <c r="R264" s="16" t="n">
        <v>0</v>
      </c>
      <c r="S264" s="16" t="n">
        <v>3</v>
      </c>
      <c r="T264" s="17" t="n">
        <f aca="false">AVERAGE(O264:Q264)</f>
        <v>1</v>
      </c>
      <c r="U264" s="18" t="str">
        <f aca="false">IF(T264&gt;=$H$3,"Eligible","Not Eligible")</f>
        <v>Not Eligible</v>
      </c>
      <c r="V264" s="19" t="n">
        <f aca="false">IF(T264&lt;$H$3,0,IFERROR(T264/SUMIF($T$5:$T$999,"&gt;="&amp;$H$3),0))</f>
        <v>0</v>
      </c>
      <c r="W264" s="15" t="str">
        <f aca="false">IF(T264=0,"Win-Back","Active")</f>
        <v>Active</v>
      </c>
      <c r="X264" s="20" t="n">
        <f aca="false">IF(T264=0,0,IF(T264&gt;=$H$3,ROUND(T264*$D$3/SUMIF($T$5:$T$999,"&gt;="&amp;$H$3),0),ROUNDUP(T264*$D$3/SUMIF($T$5:$T$999,"&gt;="&amp;$H$3),0)))</f>
        <v>2</v>
      </c>
      <c r="Y264" s="21" t="n">
        <v>1</v>
      </c>
      <c r="Z264" s="16" t="n">
        <f aca="false">IF(X264=0,"",X264-Y264)</f>
        <v>1</v>
      </c>
      <c r="AA264" s="22" t="n">
        <f aca="false">IFERROR(Y264/X264,"")</f>
        <v>0.5</v>
      </c>
      <c r="AB264" s="16" t="n">
        <v>0</v>
      </c>
      <c r="AC264" s="21"/>
    </row>
    <row r="265" customFormat="false" ht="15" hidden="false" customHeight="true" outlineLevel="0" collapsed="false">
      <c r="A265" s="15" t="s">
        <v>2795</v>
      </c>
      <c r="B265" s="15" t="s">
        <v>2796</v>
      </c>
      <c r="C265" s="15" t="s">
        <v>2797</v>
      </c>
      <c r="D265" s="15" t="s">
        <v>2798</v>
      </c>
      <c r="E265" s="15" t="s">
        <v>2799</v>
      </c>
      <c r="F265" s="15" t="s">
        <v>2800</v>
      </c>
      <c r="G265" s="15" t="s">
        <v>2801</v>
      </c>
      <c r="H265" s="15" t="s">
        <v>2802</v>
      </c>
      <c r="I265" s="15"/>
      <c r="J265" s="15" t="s">
        <v>2803</v>
      </c>
      <c r="K265" s="15" t="s">
        <v>2804</v>
      </c>
      <c r="L265" s="15" t="s">
        <v>2805</v>
      </c>
      <c r="M265" s="15" t="s">
        <v>2806</v>
      </c>
      <c r="N265" s="15" t="s">
        <v>73</v>
      </c>
      <c r="O265" s="16" t="n">
        <v>0</v>
      </c>
      <c r="P265" s="16" t="n">
        <v>1</v>
      </c>
      <c r="Q265" s="16" t="n">
        <v>2</v>
      </c>
      <c r="R265" s="16" t="n">
        <v>0</v>
      </c>
      <c r="S265" s="16" t="n">
        <v>3</v>
      </c>
      <c r="T265" s="17" t="n">
        <f aca="false">AVERAGE(O265:Q265)</f>
        <v>1</v>
      </c>
      <c r="U265" s="18" t="str">
        <f aca="false">IF(T265&gt;=$H$3,"Eligible","Not Eligible")</f>
        <v>Not Eligible</v>
      </c>
      <c r="V265" s="19" t="n">
        <f aca="false">IF(T265&lt;$H$3,0,IFERROR(T265/SUMIF($T$5:$T$999,"&gt;="&amp;$H$3),0))</f>
        <v>0</v>
      </c>
      <c r="W265" s="15" t="str">
        <f aca="false">IF(T265=0,"Win-Back","Active")</f>
        <v>Active</v>
      </c>
      <c r="X265" s="20" t="n">
        <f aca="false">IF(T265=0,0,IF(T265&gt;=$H$3,ROUND(T265*$D$3/SUMIF($T$5:$T$999,"&gt;="&amp;$H$3),0),ROUNDUP(T265*$D$3/SUMIF($T$5:$T$999,"&gt;="&amp;$H$3),0)))</f>
        <v>2</v>
      </c>
      <c r="Y265" s="21"/>
      <c r="Z265" s="16" t="n">
        <f aca="false">IF(X265=0,"",X265-Y265)</f>
        <v>2</v>
      </c>
      <c r="AA265" s="22" t="n">
        <f aca="false">IFERROR(Y265/X265,"")</f>
        <v>0</v>
      </c>
      <c r="AB265" s="16" t="n">
        <v>0</v>
      </c>
      <c r="AC265" s="21"/>
    </row>
    <row r="266" customFormat="false" ht="15" hidden="false" customHeight="true" outlineLevel="0" collapsed="false">
      <c r="A266" s="15" t="s">
        <v>2807</v>
      </c>
      <c r="B266" s="15" t="s">
        <v>2808</v>
      </c>
      <c r="C266" s="15" t="s">
        <v>2809</v>
      </c>
      <c r="D266" s="15" t="s">
        <v>2810</v>
      </c>
      <c r="E266" s="15" t="s">
        <v>2811</v>
      </c>
      <c r="F266" s="15" t="s">
        <v>2812</v>
      </c>
      <c r="G266" s="15" t="s">
        <v>2813</v>
      </c>
      <c r="H266" s="15" t="s">
        <v>2814</v>
      </c>
      <c r="I266" s="15"/>
      <c r="J266" s="15" t="s">
        <v>2815</v>
      </c>
      <c r="K266" s="15" t="s">
        <v>2816</v>
      </c>
      <c r="L266" s="15" t="s">
        <v>2817</v>
      </c>
      <c r="M266" s="15" t="s">
        <v>2818</v>
      </c>
      <c r="N266" s="15" t="s">
        <v>73</v>
      </c>
      <c r="O266" s="16" t="n">
        <v>1</v>
      </c>
      <c r="P266" s="16" t="n">
        <v>0</v>
      </c>
      <c r="Q266" s="16" t="n">
        <v>2</v>
      </c>
      <c r="R266" s="16" t="n">
        <v>0</v>
      </c>
      <c r="S266" s="16" t="n">
        <v>3</v>
      </c>
      <c r="T266" s="17" t="n">
        <f aca="false">AVERAGE(O266:Q266)</f>
        <v>1</v>
      </c>
      <c r="U266" s="18" t="str">
        <f aca="false">IF(T266&gt;=$H$3,"Eligible","Not Eligible")</f>
        <v>Not Eligible</v>
      </c>
      <c r="V266" s="19" t="n">
        <f aca="false">IF(T266&lt;$H$3,0,IFERROR(T266/SUMIF($T$5:$T$999,"&gt;="&amp;$H$3),0))</f>
        <v>0</v>
      </c>
      <c r="W266" s="15" t="str">
        <f aca="false">IF(T266=0,"Win-Back","Active")</f>
        <v>Active</v>
      </c>
      <c r="X266" s="20" t="n">
        <f aca="false">IF(T266=0,0,IF(T266&gt;=$H$3,ROUND(T266*$D$3/SUMIF($T$5:$T$999,"&gt;="&amp;$H$3),0),ROUNDUP(T266*$D$3/SUMIF($T$5:$T$999,"&gt;="&amp;$H$3),0)))</f>
        <v>2</v>
      </c>
      <c r="Y266" s="21"/>
      <c r="Z266" s="16" t="n">
        <f aca="false">IF(X266=0,"",X266-Y266)</f>
        <v>2</v>
      </c>
      <c r="AA266" s="22" t="n">
        <f aca="false">IFERROR(Y266/X266,"")</f>
        <v>0</v>
      </c>
      <c r="AB266" s="16" t="n">
        <v>0</v>
      </c>
      <c r="AC266" s="21"/>
    </row>
    <row r="267" customFormat="false" ht="15" hidden="false" customHeight="true" outlineLevel="0" collapsed="false">
      <c r="A267" s="15" t="s">
        <v>2819</v>
      </c>
      <c r="B267" s="15" t="s">
        <v>2820</v>
      </c>
      <c r="C267" s="15" t="s">
        <v>2821</v>
      </c>
      <c r="D267" s="15" t="s">
        <v>2822</v>
      </c>
      <c r="E267" s="15" t="s">
        <v>2823</v>
      </c>
      <c r="F267" s="15" t="s">
        <v>2824</v>
      </c>
      <c r="G267" s="15" t="s">
        <v>2825</v>
      </c>
      <c r="H267" s="15" t="s">
        <v>2826</v>
      </c>
      <c r="I267" s="15"/>
      <c r="J267" s="15" t="s">
        <v>2827</v>
      </c>
      <c r="K267" s="15" t="s">
        <v>70</v>
      </c>
      <c r="L267" s="15" t="s">
        <v>2828</v>
      </c>
      <c r="M267" s="15" t="s">
        <v>2829</v>
      </c>
      <c r="N267" s="15" t="s">
        <v>73</v>
      </c>
      <c r="O267" s="16" t="n">
        <v>1</v>
      </c>
      <c r="P267" s="16" t="n">
        <v>2</v>
      </c>
      <c r="Q267" s="16" t="n">
        <v>0</v>
      </c>
      <c r="R267" s="16" t="n">
        <v>0</v>
      </c>
      <c r="S267" s="16" t="n">
        <v>3</v>
      </c>
      <c r="T267" s="17" t="n">
        <f aca="false">AVERAGE(O267:Q267)</f>
        <v>1</v>
      </c>
      <c r="U267" s="18" t="str">
        <f aca="false">IF(T267&gt;=$H$3,"Eligible","Not Eligible")</f>
        <v>Not Eligible</v>
      </c>
      <c r="V267" s="19" t="n">
        <f aca="false">IF(T267&lt;$H$3,0,IFERROR(T267/SUMIF($T$5:$T$999,"&gt;="&amp;$H$3),0))</f>
        <v>0</v>
      </c>
      <c r="W267" s="15" t="str">
        <f aca="false">IF(T267=0,"Win-Back","Active")</f>
        <v>Active</v>
      </c>
      <c r="X267" s="20" t="n">
        <f aca="false">IF(T267=0,0,IF(T267&gt;=$H$3,ROUND(T267*$D$3/SUMIF($T$5:$T$999,"&gt;="&amp;$H$3),0),ROUNDUP(T267*$D$3/SUMIF($T$5:$T$999,"&gt;="&amp;$H$3),0)))</f>
        <v>2</v>
      </c>
      <c r="Y267" s="21" t="n">
        <v>1</v>
      </c>
      <c r="Z267" s="16" t="n">
        <f aca="false">IF(X267=0,"",X267-Y267)</f>
        <v>1</v>
      </c>
      <c r="AA267" s="22" t="n">
        <f aca="false">IFERROR(Y267/X267,"")</f>
        <v>0.5</v>
      </c>
      <c r="AB267" s="16" t="n">
        <v>0</v>
      </c>
      <c r="AC267" s="21"/>
    </row>
    <row r="268" customFormat="false" ht="15" hidden="false" customHeight="true" outlineLevel="0" collapsed="false">
      <c r="A268" s="15" t="s">
        <v>2830</v>
      </c>
      <c r="B268" s="15" t="s">
        <v>2831</v>
      </c>
      <c r="C268" s="15" t="s">
        <v>2832</v>
      </c>
      <c r="D268" s="15" t="s">
        <v>2833</v>
      </c>
      <c r="E268" s="15" t="s">
        <v>2834</v>
      </c>
      <c r="F268" s="15" t="s">
        <v>2835</v>
      </c>
      <c r="G268" s="15" t="s">
        <v>2836</v>
      </c>
      <c r="H268" s="15" t="s">
        <v>2837</v>
      </c>
      <c r="I268" s="15"/>
      <c r="J268" s="15" t="s">
        <v>2838</v>
      </c>
      <c r="K268" s="15" t="s">
        <v>2839</v>
      </c>
      <c r="L268" s="15" t="s">
        <v>2840</v>
      </c>
      <c r="M268" s="15" t="s">
        <v>2841</v>
      </c>
      <c r="N268" s="15" t="s">
        <v>73</v>
      </c>
      <c r="O268" s="16" t="n">
        <v>1</v>
      </c>
      <c r="P268" s="16" t="n">
        <v>0</v>
      </c>
      <c r="Q268" s="16" t="n">
        <v>2</v>
      </c>
      <c r="R268" s="16" t="n">
        <v>0</v>
      </c>
      <c r="S268" s="16" t="n">
        <v>3</v>
      </c>
      <c r="T268" s="17" t="n">
        <f aca="false">AVERAGE(O268:Q268)</f>
        <v>1</v>
      </c>
      <c r="U268" s="18" t="str">
        <f aca="false">IF(T268&gt;=$H$3,"Eligible","Not Eligible")</f>
        <v>Not Eligible</v>
      </c>
      <c r="V268" s="19" t="n">
        <f aca="false">IF(T268&lt;$H$3,0,IFERROR(T268/SUMIF($T$5:$T$999,"&gt;="&amp;$H$3),0))</f>
        <v>0</v>
      </c>
      <c r="W268" s="15" t="str">
        <f aca="false">IF(T268=0,"Win-Back","Active")</f>
        <v>Active</v>
      </c>
      <c r="X268" s="20" t="n">
        <f aca="false">IF(T268=0,0,IF(T268&gt;=$H$3,ROUND(T268*$D$3/SUMIF($T$5:$T$999,"&gt;="&amp;$H$3),0),ROUNDUP(T268*$D$3/SUMIF($T$5:$T$999,"&gt;="&amp;$H$3),0)))</f>
        <v>2</v>
      </c>
      <c r="Y268" s="21" t="n">
        <v>1</v>
      </c>
      <c r="Z268" s="16" t="n">
        <f aca="false">IF(X268=0,"",X268-Y268)</f>
        <v>1</v>
      </c>
      <c r="AA268" s="22" t="n">
        <f aca="false">IFERROR(Y268/X268,"")</f>
        <v>0.5</v>
      </c>
      <c r="AB268" s="16" t="n">
        <v>0</v>
      </c>
      <c r="AC268" s="21"/>
    </row>
    <row r="269" customFormat="false" ht="15" hidden="false" customHeight="true" outlineLevel="0" collapsed="false">
      <c r="A269" s="15" t="s">
        <v>2842</v>
      </c>
      <c r="B269" s="15" t="s">
        <v>2843</v>
      </c>
      <c r="C269" s="15" t="s">
        <v>2844</v>
      </c>
      <c r="D269" s="15" t="s">
        <v>2845</v>
      </c>
      <c r="E269" s="15" t="s">
        <v>2846</v>
      </c>
      <c r="F269" s="15" t="s">
        <v>2847</v>
      </c>
      <c r="G269" s="15" t="s">
        <v>2848</v>
      </c>
      <c r="H269" s="15" t="s">
        <v>2849</v>
      </c>
      <c r="I269" s="15"/>
      <c r="J269" s="15" t="s">
        <v>2850</v>
      </c>
      <c r="K269" s="15" t="s">
        <v>2816</v>
      </c>
      <c r="L269" s="15" t="s">
        <v>2851</v>
      </c>
      <c r="M269" s="15" t="s">
        <v>2852</v>
      </c>
      <c r="N269" s="15" t="s">
        <v>73</v>
      </c>
      <c r="O269" s="16" t="n">
        <v>0</v>
      </c>
      <c r="P269" s="16" t="n">
        <v>3</v>
      </c>
      <c r="Q269" s="16" t="n">
        <v>0</v>
      </c>
      <c r="R269" s="16" t="n">
        <v>0</v>
      </c>
      <c r="S269" s="16" t="n">
        <v>3</v>
      </c>
      <c r="T269" s="17" t="n">
        <f aca="false">AVERAGE(O269:Q269)</f>
        <v>1</v>
      </c>
      <c r="U269" s="18" t="str">
        <f aca="false">IF(T269&gt;=$H$3,"Eligible","Not Eligible")</f>
        <v>Not Eligible</v>
      </c>
      <c r="V269" s="19" t="n">
        <f aca="false">IF(T269&lt;$H$3,0,IFERROR(T269/SUMIF($T$5:$T$999,"&gt;="&amp;$H$3),0))</f>
        <v>0</v>
      </c>
      <c r="W269" s="15" t="str">
        <f aca="false">IF(T269=0,"Win-Back","Active")</f>
        <v>Active</v>
      </c>
      <c r="X269" s="20" t="n">
        <f aca="false">IF(T269=0,0,IF(T269&gt;=$H$3,ROUND(T269*$D$3/SUMIF($T$5:$T$999,"&gt;="&amp;$H$3),0),ROUNDUP(T269*$D$3/SUMIF($T$5:$T$999,"&gt;="&amp;$H$3),0)))</f>
        <v>2</v>
      </c>
      <c r="Y269" s="21"/>
      <c r="Z269" s="16" t="n">
        <f aca="false">IF(X269=0,"",X269-Y269)</f>
        <v>2</v>
      </c>
      <c r="AA269" s="22" t="n">
        <f aca="false">IFERROR(Y269/X269,"")</f>
        <v>0</v>
      </c>
      <c r="AB269" s="16" t="n">
        <v>0</v>
      </c>
      <c r="AC269" s="21"/>
    </row>
    <row r="270" customFormat="false" ht="15" hidden="false" customHeight="true" outlineLevel="0" collapsed="false">
      <c r="A270" s="15" t="s">
        <v>2853</v>
      </c>
      <c r="B270" s="15" t="s">
        <v>2854</v>
      </c>
      <c r="C270" s="15" t="s">
        <v>2855</v>
      </c>
      <c r="D270" s="15" t="s">
        <v>2856</v>
      </c>
      <c r="E270" s="15" t="s">
        <v>2857</v>
      </c>
      <c r="F270" s="15" t="s">
        <v>2858</v>
      </c>
      <c r="G270" s="15" t="s">
        <v>2859</v>
      </c>
      <c r="H270" s="15" t="s">
        <v>2860</v>
      </c>
      <c r="I270" s="15"/>
      <c r="J270" s="15" t="s">
        <v>2861</v>
      </c>
      <c r="K270" s="15" t="s">
        <v>368</v>
      </c>
      <c r="L270" s="15" t="s">
        <v>2862</v>
      </c>
      <c r="M270" s="15" t="s">
        <v>2863</v>
      </c>
      <c r="N270" s="15" t="s">
        <v>73</v>
      </c>
      <c r="O270" s="16" t="n">
        <v>0</v>
      </c>
      <c r="P270" s="16" t="n">
        <v>0</v>
      </c>
      <c r="Q270" s="16" t="n">
        <v>3</v>
      </c>
      <c r="R270" s="16" t="n">
        <v>0</v>
      </c>
      <c r="S270" s="16" t="n">
        <v>3</v>
      </c>
      <c r="T270" s="17" t="n">
        <f aca="false">AVERAGE(O270:Q270)</f>
        <v>1</v>
      </c>
      <c r="U270" s="18" t="str">
        <f aca="false">IF(T270&gt;=$H$3,"Eligible","Not Eligible")</f>
        <v>Not Eligible</v>
      </c>
      <c r="V270" s="19" t="n">
        <f aca="false">IF(T270&lt;$H$3,0,IFERROR(T270/SUMIF($T$5:$T$999,"&gt;="&amp;$H$3),0))</f>
        <v>0</v>
      </c>
      <c r="W270" s="15" t="str">
        <f aca="false">IF(T270=0,"Win-Back","Active")</f>
        <v>Active</v>
      </c>
      <c r="X270" s="20" t="n">
        <f aca="false">IF(T270=0,0,IF(T270&gt;=$H$3,ROUND(T270*$D$3/SUMIF($T$5:$T$999,"&gt;="&amp;$H$3),0),ROUNDUP(T270*$D$3/SUMIF($T$5:$T$999,"&gt;="&amp;$H$3),0)))</f>
        <v>2</v>
      </c>
      <c r="Y270" s="21"/>
      <c r="Z270" s="16" t="n">
        <f aca="false">IF(X270=0,"",X270-Y270)</f>
        <v>2</v>
      </c>
      <c r="AA270" s="22" t="n">
        <f aca="false">IFERROR(Y270/X270,"")</f>
        <v>0</v>
      </c>
      <c r="AB270" s="16" t="n">
        <v>0</v>
      </c>
      <c r="AC270" s="21"/>
    </row>
    <row r="271" customFormat="false" ht="15" hidden="false" customHeight="true" outlineLevel="0" collapsed="false">
      <c r="A271" s="15" t="s">
        <v>2864</v>
      </c>
      <c r="B271" s="15" t="s">
        <v>2865</v>
      </c>
      <c r="C271" s="15" t="s">
        <v>2866</v>
      </c>
      <c r="D271" s="15" t="s">
        <v>2845</v>
      </c>
      <c r="E271" s="15" t="s">
        <v>2846</v>
      </c>
      <c r="F271" s="15" t="s">
        <v>2847</v>
      </c>
      <c r="G271" s="15" t="s">
        <v>2848</v>
      </c>
      <c r="H271" s="15" t="s">
        <v>2867</v>
      </c>
      <c r="I271" s="15"/>
      <c r="J271" s="15" t="s">
        <v>2868</v>
      </c>
      <c r="K271" s="15" t="s">
        <v>2816</v>
      </c>
      <c r="L271" s="15" t="s">
        <v>2869</v>
      </c>
      <c r="M271" s="15" t="s">
        <v>2852</v>
      </c>
      <c r="N271" s="15" t="s">
        <v>73</v>
      </c>
      <c r="O271" s="16" t="n">
        <v>2</v>
      </c>
      <c r="P271" s="16" t="n">
        <v>0</v>
      </c>
      <c r="Q271" s="16" t="n">
        <v>1</v>
      </c>
      <c r="R271" s="16" t="n">
        <v>0</v>
      </c>
      <c r="S271" s="16" t="n">
        <v>3</v>
      </c>
      <c r="T271" s="17" t="n">
        <f aca="false">AVERAGE(O271:Q271)</f>
        <v>1</v>
      </c>
      <c r="U271" s="18" t="str">
        <f aca="false">IF(T271&gt;=$H$3,"Eligible","Not Eligible")</f>
        <v>Not Eligible</v>
      </c>
      <c r="V271" s="19" t="n">
        <f aca="false">IF(T271&lt;$H$3,0,IFERROR(T271/SUMIF($T$5:$T$999,"&gt;="&amp;$H$3),0))</f>
        <v>0</v>
      </c>
      <c r="W271" s="15" t="str">
        <f aca="false">IF(T271=0,"Win-Back","Active")</f>
        <v>Active</v>
      </c>
      <c r="X271" s="20" t="n">
        <f aca="false">IF(T271=0,0,IF(T271&gt;=$H$3,ROUND(T271*$D$3/SUMIF($T$5:$T$999,"&gt;="&amp;$H$3),0),ROUNDUP(T271*$D$3/SUMIF($T$5:$T$999,"&gt;="&amp;$H$3),0)))</f>
        <v>2</v>
      </c>
      <c r="Y271" s="21" t="n">
        <v>4</v>
      </c>
      <c r="Z271" s="16" t="n">
        <f aca="false">IF(X271=0,"",X271-Y271)</f>
        <v>-2</v>
      </c>
      <c r="AA271" s="22" t="n">
        <f aca="false">IFERROR(Y271/X271,"")</f>
        <v>2</v>
      </c>
      <c r="AB271" s="16" t="n">
        <v>0</v>
      </c>
      <c r="AC271" s="21"/>
    </row>
    <row r="272" customFormat="false" ht="15" hidden="false" customHeight="true" outlineLevel="0" collapsed="false">
      <c r="A272" s="15" t="s">
        <v>2870</v>
      </c>
      <c r="B272" s="15" t="s">
        <v>2871</v>
      </c>
      <c r="C272" s="15" t="s">
        <v>2872</v>
      </c>
      <c r="D272" s="15" t="s">
        <v>2873</v>
      </c>
      <c r="E272" s="15" t="s">
        <v>2874</v>
      </c>
      <c r="F272" s="15" t="s">
        <v>2875</v>
      </c>
      <c r="G272" s="15" t="s">
        <v>2876</v>
      </c>
      <c r="H272" s="15" t="s">
        <v>2877</v>
      </c>
      <c r="I272" s="15"/>
      <c r="J272" s="15" t="s">
        <v>2878</v>
      </c>
      <c r="K272" s="15" t="s">
        <v>563</v>
      </c>
      <c r="L272" s="15" t="s">
        <v>2879</v>
      </c>
      <c r="M272" s="15" t="s">
        <v>2880</v>
      </c>
      <c r="N272" s="15" t="s">
        <v>73</v>
      </c>
      <c r="O272" s="16" t="n">
        <v>0</v>
      </c>
      <c r="P272" s="16" t="n">
        <v>2</v>
      </c>
      <c r="Q272" s="16" t="n">
        <v>1</v>
      </c>
      <c r="R272" s="16" t="n">
        <v>0</v>
      </c>
      <c r="S272" s="16" t="n">
        <v>3</v>
      </c>
      <c r="T272" s="17" t="n">
        <f aca="false">AVERAGE(O272:Q272)</f>
        <v>1</v>
      </c>
      <c r="U272" s="18" t="str">
        <f aca="false">IF(T272&gt;=$H$3,"Eligible","Not Eligible")</f>
        <v>Not Eligible</v>
      </c>
      <c r="V272" s="19" t="n">
        <f aca="false">IF(T272&lt;$H$3,0,IFERROR(T272/SUMIF($T$5:$T$999,"&gt;="&amp;$H$3),0))</f>
        <v>0</v>
      </c>
      <c r="W272" s="15" t="str">
        <f aca="false">IF(T272=0,"Win-Back","Active")</f>
        <v>Active</v>
      </c>
      <c r="X272" s="20" t="n">
        <f aca="false">IF(T272=0,0,IF(T272&gt;=$H$3,ROUND(T272*$D$3/SUMIF($T$5:$T$999,"&gt;="&amp;$H$3),0),ROUNDUP(T272*$D$3/SUMIF($T$5:$T$999,"&gt;="&amp;$H$3),0)))</f>
        <v>2</v>
      </c>
      <c r="Y272" s="21"/>
      <c r="Z272" s="16" t="n">
        <f aca="false">IF(X272=0,"",X272-Y272)</f>
        <v>2</v>
      </c>
      <c r="AA272" s="22" t="n">
        <f aca="false">IFERROR(Y272/X272,"")</f>
        <v>0</v>
      </c>
      <c r="AB272" s="16" t="n">
        <v>0</v>
      </c>
      <c r="AC272" s="21"/>
    </row>
    <row r="273" customFormat="false" ht="15" hidden="false" customHeight="true" outlineLevel="0" collapsed="false">
      <c r="A273" s="15" t="s">
        <v>2881</v>
      </c>
      <c r="B273" s="15" t="s">
        <v>2882</v>
      </c>
      <c r="C273" s="15" t="s">
        <v>2883</v>
      </c>
      <c r="D273" s="15" t="s">
        <v>2884</v>
      </c>
      <c r="E273" s="15" t="s">
        <v>2885</v>
      </c>
      <c r="F273" s="15" t="s">
        <v>2886</v>
      </c>
      <c r="G273" s="15" t="s">
        <v>2887</v>
      </c>
      <c r="H273" s="15" t="s">
        <v>2888</v>
      </c>
      <c r="I273" s="15"/>
      <c r="J273" s="15" t="s">
        <v>1053</v>
      </c>
      <c r="K273" s="15" t="s">
        <v>47</v>
      </c>
      <c r="L273" s="15" t="s">
        <v>2889</v>
      </c>
      <c r="M273" s="15" t="s">
        <v>2890</v>
      </c>
      <c r="N273" s="15" t="s">
        <v>73</v>
      </c>
      <c r="O273" s="16" t="n">
        <v>1</v>
      </c>
      <c r="P273" s="16" t="n">
        <v>0</v>
      </c>
      <c r="Q273" s="16" t="n">
        <v>2</v>
      </c>
      <c r="R273" s="16" t="n">
        <v>0</v>
      </c>
      <c r="S273" s="16" t="n">
        <v>3</v>
      </c>
      <c r="T273" s="17" t="n">
        <f aca="false">AVERAGE(O273:Q273)</f>
        <v>1</v>
      </c>
      <c r="U273" s="18" t="str">
        <f aca="false">IF(T273&gt;=$H$3,"Eligible","Not Eligible")</f>
        <v>Not Eligible</v>
      </c>
      <c r="V273" s="19" t="n">
        <f aca="false">IF(T273&lt;$H$3,0,IFERROR(T273/SUMIF($T$5:$T$999,"&gt;="&amp;$H$3),0))</f>
        <v>0</v>
      </c>
      <c r="W273" s="15" t="str">
        <f aca="false">IF(T273=0,"Win-Back","Active")</f>
        <v>Active</v>
      </c>
      <c r="X273" s="20" t="n">
        <f aca="false">IF(T273=0,0,IF(T273&gt;=$H$3,ROUND(T273*$D$3/SUMIF($T$5:$T$999,"&gt;="&amp;$H$3),0),ROUNDUP(T273*$D$3/SUMIF($T$5:$T$999,"&gt;="&amp;$H$3),0)))</f>
        <v>2</v>
      </c>
      <c r="Y273" s="21"/>
      <c r="Z273" s="16" t="n">
        <f aca="false">IF(X273=0,"",X273-Y273)</f>
        <v>2</v>
      </c>
      <c r="AA273" s="22" t="n">
        <f aca="false">IFERROR(Y273/X273,"")</f>
        <v>0</v>
      </c>
      <c r="AB273" s="16" t="n">
        <v>0</v>
      </c>
      <c r="AC273" s="21"/>
    </row>
    <row r="274" customFormat="false" ht="15" hidden="false" customHeight="true" outlineLevel="0" collapsed="false">
      <c r="A274" s="15" t="s">
        <v>2891</v>
      </c>
      <c r="B274" s="15" t="s">
        <v>2892</v>
      </c>
      <c r="C274" s="15" t="s">
        <v>2893</v>
      </c>
      <c r="D274" s="15" t="s">
        <v>2894</v>
      </c>
      <c r="E274" s="15" t="s">
        <v>2895</v>
      </c>
      <c r="F274" s="15" t="s">
        <v>2896</v>
      </c>
      <c r="G274" s="15" t="s">
        <v>2897</v>
      </c>
      <c r="H274" s="15" t="s">
        <v>2898</v>
      </c>
      <c r="I274" s="15" t="s">
        <v>2899</v>
      </c>
      <c r="J274" s="15" t="s">
        <v>2900</v>
      </c>
      <c r="K274" s="15" t="s">
        <v>1255</v>
      </c>
      <c r="L274" s="15" t="s">
        <v>1256</v>
      </c>
      <c r="M274" s="15" t="s">
        <v>2901</v>
      </c>
      <c r="N274" s="15" t="s">
        <v>73</v>
      </c>
      <c r="O274" s="16" t="n">
        <v>2</v>
      </c>
      <c r="P274" s="16" t="n">
        <v>0</v>
      </c>
      <c r="Q274" s="16" t="n">
        <v>1</v>
      </c>
      <c r="R274" s="16" t="n">
        <v>0</v>
      </c>
      <c r="S274" s="16" t="n">
        <v>3</v>
      </c>
      <c r="T274" s="17" t="n">
        <f aca="false">AVERAGE(O274:Q274)</f>
        <v>1</v>
      </c>
      <c r="U274" s="18" t="str">
        <f aca="false">IF(T274&gt;=$H$3,"Eligible","Not Eligible")</f>
        <v>Not Eligible</v>
      </c>
      <c r="V274" s="19" t="n">
        <f aca="false">IF(T274&lt;$H$3,0,IFERROR(T274/SUMIF($T$5:$T$999,"&gt;="&amp;$H$3),0))</f>
        <v>0</v>
      </c>
      <c r="W274" s="15" t="str">
        <f aca="false">IF(T274=0,"Win-Back","Active")</f>
        <v>Active</v>
      </c>
      <c r="X274" s="20" t="n">
        <f aca="false">IF(T274=0,0,IF(T274&gt;=$H$3,ROUND(T274*$D$3/SUMIF($T$5:$T$999,"&gt;="&amp;$H$3),0),ROUNDUP(T274*$D$3/SUMIF($T$5:$T$999,"&gt;="&amp;$H$3),0)))</f>
        <v>2</v>
      </c>
      <c r="Y274" s="21" t="n">
        <v>2</v>
      </c>
      <c r="Z274" s="16" t="n">
        <f aca="false">IF(X274=0,"",X274-Y274)</f>
        <v>0</v>
      </c>
      <c r="AA274" s="22" t="n">
        <f aca="false">IFERROR(Y274/X274,"")</f>
        <v>1</v>
      </c>
      <c r="AB274" s="16" t="n">
        <v>0</v>
      </c>
      <c r="AC274" s="21" t="n">
        <v>5</v>
      </c>
    </row>
    <row r="275" customFormat="false" ht="15" hidden="false" customHeight="true" outlineLevel="0" collapsed="false">
      <c r="A275" s="15" t="s">
        <v>2902</v>
      </c>
      <c r="B275" s="15" t="s">
        <v>2903</v>
      </c>
      <c r="C275" s="15" t="s">
        <v>2904</v>
      </c>
      <c r="D275" s="15" t="s">
        <v>2905</v>
      </c>
      <c r="E275" s="15" t="s">
        <v>2906</v>
      </c>
      <c r="F275" s="15" t="s">
        <v>2907</v>
      </c>
      <c r="G275" s="15" t="s">
        <v>2908</v>
      </c>
      <c r="H275" s="15" t="s">
        <v>2909</v>
      </c>
      <c r="I275" s="15" t="s">
        <v>968</v>
      </c>
      <c r="J275" s="15" t="s">
        <v>2910</v>
      </c>
      <c r="K275" s="15" t="s">
        <v>70</v>
      </c>
      <c r="L275" s="15" t="s">
        <v>2911</v>
      </c>
      <c r="M275" s="15" t="s">
        <v>2912</v>
      </c>
      <c r="N275" s="15" t="s">
        <v>73</v>
      </c>
      <c r="O275" s="16" t="n">
        <v>0</v>
      </c>
      <c r="P275" s="16" t="n">
        <v>3</v>
      </c>
      <c r="Q275" s="16" t="n">
        <v>0</v>
      </c>
      <c r="R275" s="16" t="n">
        <v>0</v>
      </c>
      <c r="S275" s="16" t="n">
        <v>3</v>
      </c>
      <c r="T275" s="17" t="n">
        <f aca="false">AVERAGE(O275:Q275)</f>
        <v>1</v>
      </c>
      <c r="U275" s="18" t="str">
        <f aca="false">IF(T275&gt;=$H$3,"Eligible","Not Eligible")</f>
        <v>Not Eligible</v>
      </c>
      <c r="V275" s="19" t="n">
        <f aca="false">IF(T275&lt;$H$3,0,IFERROR(T275/SUMIF($T$5:$T$999,"&gt;="&amp;$H$3),0))</f>
        <v>0</v>
      </c>
      <c r="W275" s="15" t="str">
        <f aca="false">IF(T275=0,"Win-Back","Active")</f>
        <v>Active</v>
      </c>
      <c r="X275" s="20" t="n">
        <f aca="false">IF(T275=0,0,IF(T275&gt;=$H$3,ROUND(T275*$D$3/SUMIF($T$5:$T$999,"&gt;="&amp;$H$3),0),ROUNDUP(T275*$D$3/SUMIF($T$5:$T$999,"&gt;="&amp;$H$3),0)))</f>
        <v>2</v>
      </c>
      <c r="Y275" s="21"/>
      <c r="Z275" s="16" t="n">
        <f aca="false">IF(X275=0,"",X275-Y275)</f>
        <v>2</v>
      </c>
      <c r="AA275" s="22" t="n">
        <f aca="false">IFERROR(Y275/X275,"")</f>
        <v>0</v>
      </c>
      <c r="AB275" s="16" t="n">
        <v>0</v>
      </c>
      <c r="AC275" s="21"/>
    </row>
    <row r="276" customFormat="false" ht="15" hidden="false" customHeight="true" outlineLevel="0" collapsed="false">
      <c r="A276" s="15" t="s">
        <v>2913</v>
      </c>
      <c r="B276" s="15" t="s">
        <v>2914</v>
      </c>
      <c r="C276" s="15" t="s">
        <v>2915</v>
      </c>
      <c r="D276" s="15" t="s">
        <v>2916</v>
      </c>
      <c r="E276" s="15" t="s">
        <v>2917</v>
      </c>
      <c r="F276" s="15" t="s">
        <v>2918</v>
      </c>
      <c r="G276" s="15" t="s">
        <v>2919</v>
      </c>
      <c r="H276" s="15" t="s">
        <v>2920</v>
      </c>
      <c r="I276" s="15" t="s">
        <v>2921</v>
      </c>
      <c r="J276" s="15" t="s">
        <v>2922</v>
      </c>
      <c r="K276" s="15" t="s">
        <v>1139</v>
      </c>
      <c r="L276" s="15" t="s">
        <v>2923</v>
      </c>
      <c r="M276" s="15" t="s">
        <v>2924</v>
      </c>
      <c r="N276" s="15" t="s">
        <v>73</v>
      </c>
      <c r="O276" s="16" t="n">
        <v>0</v>
      </c>
      <c r="P276" s="16" t="n">
        <v>2</v>
      </c>
      <c r="Q276" s="16" t="n">
        <v>1</v>
      </c>
      <c r="R276" s="16" t="n">
        <v>0</v>
      </c>
      <c r="S276" s="16" t="n">
        <v>3</v>
      </c>
      <c r="T276" s="17" t="n">
        <f aca="false">AVERAGE(O276:Q276)</f>
        <v>1</v>
      </c>
      <c r="U276" s="18" t="str">
        <f aca="false">IF(T276&gt;=$H$3,"Eligible","Not Eligible")</f>
        <v>Not Eligible</v>
      </c>
      <c r="V276" s="19" t="n">
        <f aca="false">IF(T276&lt;$H$3,0,IFERROR(T276/SUMIF($T$5:$T$999,"&gt;="&amp;$H$3),0))</f>
        <v>0</v>
      </c>
      <c r="W276" s="15" t="str">
        <f aca="false">IF(T276=0,"Win-Back","Active")</f>
        <v>Active</v>
      </c>
      <c r="X276" s="20" t="n">
        <f aca="false">IF(T276=0,0,IF(T276&gt;=$H$3,ROUND(T276*$D$3/SUMIF($T$5:$T$999,"&gt;="&amp;$H$3),0),ROUNDUP(T276*$D$3/SUMIF($T$5:$T$999,"&gt;="&amp;$H$3),0)))</f>
        <v>2</v>
      </c>
      <c r="Y276" s="21" t="n">
        <v>2</v>
      </c>
      <c r="Z276" s="16" t="n">
        <f aca="false">IF(X276=0,"",X276-Y276)</f>
        <v>0</v>
      </c>
      <c r="AA276" s="22" t="n">
        <f aca="false">IFERROR(Y276/X276,"")</f>
        <v>1</v>
      </c>
      <c r="AB276" s="16" t="n">
        <v>0</v>
      </c>
      <c r="AC276" s="21"/>
    </row>
    <row r="277" customFormat="false" ht="15" hidden="false" customHeight="true" outlineLevel="0" collapsed="false">
      <c r="A277" s="15" t="s">
        <v>2925</v>
      </c>
      <c r="B277" s="15" t="s">
        <v>2926</v>
      </c>
      <c r="C277" s="15" t="s">
        <v>2927</v>
      </c>
      <c r="D277" s="15" t="s">
        <v>2928</v>
      </c>
      <c r="E277" s="15" t="s">
        <v>2929</v>
      </c>
      <c r="F277" s="15" t="s">
        <v>2930</v>
      </c>
      <c r="G277" s="15" t="s">
        <v>2931</v>
      </c>
      <c r="H277" s="15" t="s">
        <v>2932</v>
      </c>
      <c r="I277" s="15"/>
      <c r="J277" s="15" t="s">
        <v>777</v>
      </c>
      <c r="K277" s="15" t="s">
        <v>70</v>
      </c>
      <c r="L277" s="15" t="s">
        <v>778</v>
      </c>
      <c r="M277" s="15" t="s">
        <v>2933</v>
      </c>
      <c r="N277" s="15" t="s">
        <v>73</v>
      </c>
      <c r="O277" s="16" t="n">
        <v>1</v>
      </c>
      <c r="P277" s="16" t="n">
        <v>0</v>
      </c>
      <c r="Q277" s="16" t="n">
        <v>2</v>
      </c>
      <c r="R277" s="16" t="n">
        <v>0</v>
      </c>
      <c r="S277" s="16" t="n">
        <v>3</v>
      </c>
      <c r="T277" s="17" t="n">
        <f aca="false">AVERAGE(O277:Q277)</f>
        <v>1</v>
      </c>
      <c r="U277" s="18" t="str">
        <f aca="false">IF(T277&gt;=$H$3,"Eligible","Not Eligible")</f>
        <v>Not Eligible</v>
      </c>
      <c r="V277" s="19" t="n">
        <f aca="false">IF(T277&lt;$H$3,0,IFERROR(T277/SUMIF($T$5:$T$999,"&gt;="&amp;$H$3),0))</f>
        <v>0</v>
      </c>
      <c r="W277" s="15" t="str">
        <f aca="false">IF(T277=0,"Win-Back","Active")</f>
        <v>Active</v>
      </c>
      <c r="X277" s="20" t="n">
        <f aca="false">IF(T277=0,0,IF(T277&gt;=$H$3,ROUND(T277*$D$3/SUMIF($T$5:$T$999,"&gt;="&amp;$H$3),0),ROUNDUP(T277*$D$3/SUMIF($T$5:$T$999,"&gt;="&amp;$H$3),0)))</f>
        <v>2</v>
      </c>
      <c r="Y277" s="21" t="n">
        <v>1</v>
      </c>
      <c r="Z277" s="16" t="n">
        <f aca="false">IF(X277=0,"",X277-Y277)</f>
        <v>1</v>
      </c>
      <c r="AA277" s="22" t="n">
        <f aca="false">IFERROR(Y277/X277,"")</f>
        <v>0.5</v>
      </c>
      <c r="AB277" s="16" t="n">
        <v>0</v>
      </c>
      <c r="AC277" s="21"/>
    </row>
    <row r="278" customFormat="false" ht="15" hidden="false" customHeight="true" outlineLevel="0" collapsed="false">
      <c r="A278" s="15" t="s">
        <v>2934</v>
      </c>
      <c r="B278" s="15" t="s">
        <v>2935</v>
      </c>
      <c r="C278" s="15" t="s">
        <v>2936</v>
      </c>
      <c r="D278" s="15" t="s">
        <v>2937</v>
      </c>
      <c r="E278" s="15" t="s">
        <v>2938</v>
      </c>
      <c r="F278" s="15" t="s">
        <v>2939</v>
      </c>
      <c r="G278" s="15" t="s">
        <v>2940</v>
      </c>
      <c r="H278" s="15" t="s">
        <v>2941</v>
      </c>
      <c r="I278" s="15"/>
      <c r="J278" s="15" t="s">
        <v>1053</v>
      </c>
      <c r="K278" s="15" t="s">
        <v>47</v>
      </c>
      <c r="L278" s="15" t="s">
        <v>2942</v>
      </c>
      <c r="M278" s="15" t="s">
        <v>2943</v>
      </c>
      <c r="N278" s="15" t="s">
        <v>73</v>
      </c>
      <c r="O278" s="16" t="n">
        <v>0</v>
      </c>
      <c r="P278" s="16" t="n">
        <v>0</v>
      </c>
      <c r="Q278" s="16" t="n">
        <v>3</v>
      </c>
      <c r="R278" s="16" t="n">
        <v>0</v>
      </c>
      <c r="S278" s="16" t="n">
        <v>3</v>
      </c>
      <c r="T278" s="17" t="n">
        <f aca="false">AVERAGE(O278:Q278)</f>
        <v>1</v>
      </c>
      <c r="U278" s="18" t="str">
        <f aca="false">IF(T278&gt;=$H$3,"Eligible","Not Eligible")</f>
        <v>Not Eligible</v>
      </c>
      <c r="V278" s="19" t="n">
        <f aca="false">IF(T278&lt;$H$3,0,IFERROR(T278/SUMIF($T$5:$T$999,"&gt;="&amp;$H$3),0))</f>
        <v>0</v>
      </c>
      <c r="W278" s="15" t="str">
        <f aca="false">IF(T278=0,"Win-Back","Active")</f>
        <v>Active</v>
      </c>
      <c r="X278" s="20" t="n">
        <f aca="false">IF(T278=0,0,IF(T278&gt;=$H$3,ROUND(T278*$D$3/SUMIF($T$5:$T$999,"&gt;="&amp;$H$3),0),ROUNDUP(T278*$D$3/SUMIF($T$5:$T$999,"&gt;="&amp;$H$3),0)))</f>
        <v>2</v>
      </c>
      <c r="Y278" s="21"/>
      <c r="Z278" s="16" t="n">
        <f aca="false">IF(X278=0,"",X278-Y278)</f>
        <v>2</v>
      </c>
      <c r="AA278" s="22" t="n">
        <f aca="false">IFERROR(Y278/X278,"")</f>
        <v>0</v>
      </c>
      <c r="AB278" s="16" t="n">
        <v>0</v>
      </c>
      <c r="AC278" s="21"/>
    </row>
    <row r="279" customFormat="false" ht="15" hidden="false" customHeight="true" outlineLevel="0" collapsed="false">
      <c r="A279" s="15" t="s">
        <v>2944</v>
      </c>
      <c r="B279" s="15" t="s">
        <v>2945</v>
      </c>
      <c r="C279" s="15" t="s">
        <v>2946</v>
      </c>
      <c r="D279" s="15" t="s">
        <v>2947</v>
      </c>
      <c r="E279" s="15" t="s">
        <v>2948</v>
      </c>
      <c r="F279" s="15" t="s">
        <v>2949</v>
      </c>
      <c r="G279" s="15" t="s">
        <v>2950</v>
      </c>
      <c r="H279" s="15" t="s">
        <v>2951</v>
      </c>
      <c r="I279" s="15" t="s">
        <v>2952</v>
      </c>
      <c r="J279" s="15" t="s">
        <v>379</v>
      </c>
      <c r="K279" s="15" t="s">
        <v>368</v>
      </c>
      <c r="L279" s="15" t="s">
        <v>2953</v>
      </c>
      <c r="M279" s="15" t="s">
        <v>2954</v>
      </c>
      <c r="N279" s="15" t="s">
        <v>73</v>
      </c>
      <c r="O279" s="16" t="n">
        <v>1</v>
      </c>
      <c r="P279" s="16" t="n">
        <v>1</v>
      </c>
      <c r="Q279" s="16" t="n">
        <v>1</v>
      </c>
      <c r="R279" s="16" t="n">
        <v>0</v>
      </c>
      <c r="S279" s="16" t="n">
        <v>3</v>
      </c>
      <c r="T279" s="17" t="n">
        <f aca="false">AVERAGE(O279:Q279)</f>
        <v>1</v>
      </c>
      <c r="U279" s="18" t="str">
        <f aca="false">IF(T279&gt;=$H$3,"Eligible","Not Eligible")</f>
        <v>Not Eligible</v>
      </c>
      <c r="V279" s="19" t="n">
        <f aca="false">IF(T279&lt;$H$3,0,IFERROR(T279/SUMIF($T$5:$T$999,"&gt;="&amp;$H$3),0))</f>
        <v>0</v>
      </c>
      <c r="W279" s="15" t="str">
        <f aca="false">IF(T279=0,"Win-Back","Active")</f>
        <v>Active</v>
      </c>
      <c r="X279" s="20" t="n">
        <f aca="false">IF(T279=0,0,IF(T279&gt;=$H$3,ROUND(T279*$D$3/SUMIF($T$5:$T$999,"&gt;="&amp;$H$3),0),ROUNDUP(T279*$D$3/SUMIF($T$5:$T$999,"&gt;="&amp;$H$3),0)))</f>
        <v>2</v>
      </c>
      <c r="Y279" s="21" t="n">
        <v>1</v>
      </c>
      <c r="Z279" s="16" t="n">
        <f aca="false">IF(X279=0,"",X279-Y279)</f>
        <v>1</v>
      </c>
      <c r="AA279" s="22" t="n">
        <f aca="false">IFERROR(Y279/X279,"")</f>
        <v>0.5</v>
      </c>
      <c r="AB279" s="16" t="n">
        <v>0</v>
      </c>
      <c r="AC279" s="21"/>
    </row>
    <row r="280" customFormat="false" ht="15" hidden="false" customHeight="true" outlineLevel="0" collapsed="false">
      <c r="A280" s="15" t="s">
        <v>2955</v>
      </c>
      <c r="B280" s="15" t="s">
        <v>2956</v>
      </c>
      <c r="C280" s="15" t="s">
        <v>2957</v>
      </c>
      <c r="D280" s="15" t="s">
        <v>2958</v>
      </c>
      <c r="E280" s="15" t="s">
        <v>2959</v>
      </c>
      <c r="F280" s="15" t="s">
        <v>2960</v>
      </c>
      <c r="G280" s="15" t="s">
        <v>2961</v>
      </c>
      <c r="H280" s="15" t="s">
        <v>2962</v>
      </c>
      <c r="I280" s="15"/>
      <c r="J280" s="15" t="s">
        <v>367</v>
      </c>
      <c r="K280" s="15" t="s">
        <v>368</v>
      </c>
      <c r="L280" s="15" t="s">
        <v>2963</v>
      </c>
      <c r="M280" s="15" t="s">
        <v>2964</v>
      </c>
      <c r="N280" s="15" t="s">
        <v>73</v>
      </c>
      <c r="O280" s="16" t="n">
        <v>0</v>
      </c>
      <c r="P280" s="16" t="n">
        <v>1</v>
      </c>
      <c r="Q280" s="16" t="n">
        <v>2</v>
      </c>
      <c r="R280" s="16" t="n">
        <v>0</v>
      </c>
      <c r="S280" s="16" t="n">
        <v>3</v>
      </c>
      <c r="T280" s="17" t="n">
        <f aca="false">AVERAGE(O280:Q280)</f>
        <v>1</v>
      </c>
      <c r="U280" s="18" t="str">
        <f aca="false">IF(T280&gt;=$H$3,"Eligible","Not Eligible")</f>
        <v>Not Eligible</v>
      </c>
      <c r="V280" s="19" t="n">
        <f aca="false">IF(T280&lt;$H$3,0,IFERROR(T280/SUMIF($T$5:$T$999,"&gt;="&amp;$H$3),0))</f>
        <v>0</v>
      </c>
      <c r="W280" s="15" t="str">
        <f aca="false">IF(T280=0,"Win-Back","Active")</f>
        <v>Active</v>
      </c>
      <c r="X280" s="20" t="n">
        <f aca="false">IF(T280=0,0,IF(T280&gt;=$H$3,ROUND(T280*$D$3/SUMIF($T$5:$T$999,"&gt;="&amp;$H$3),0),ROUNDUP(T280*$D$3/SUMIF($T$5:$T$999,"&gt;="&amp;$H$3),0)))</f>
        <v>2</v>
      </c>
      <c r="Y280" s="21" t="n">
        <v>1</v>
      </c>
      <c r="Z280" s="16" t="n">
        <f aca="false">IF(X280=0,"",X280-Y280)</f>
        <v>1</v>
      </c>
      <c r="AA280" s="22" t="n">
        <f aca="false">IFERROR(Y280/X280,"")</f>
        <v>0.5</v>
      </c>
      <c r="AB280" s="16" t="n">
        <v>0</v>
      </c>
      <c r="AC280" s="21"/>
    </row>
    <row r="281" customFormat="false" ht="15" hidden="false" customHeight="true" outlineLevel="0" collapsed="false">
      <c r="A281" s="15" t="s">
        <v>2965</v>
      </c>
      <c r="B281" s="15" t="s">
        <v>2966</v>
      </c>
      <c r="C281" s="15" t="s">
        <v>2967</v>
      </c>
      <c r="D281" s="15" t="s">
        <v>2968</v>
      </c>
      <c r="E281" s="15" t="s">
        <v>2969</v>
      </c>
      <c r="F281" s="15" t="s">
        <v>2970</v>
      </c>
      <c r="G281" s="15" t="s">
        <v>2971</v>
      </c>
      <c r="H281" s="15" t="s">
        <v>2972</v>
      </c>
      <c r="I281" s="15"/>
      <c r="J281" s="15" t="s">
        <v>2973</v>
      </c>
      <c r="K281" s="15" t="s">
        <v>1139</v>
      </c>
      <c r="L281" s="15" t="s">
        <v>2974</v>
      </c>
      <c r="M281" s="15" t="s">
        <v>2975</v>
      </c>
      <c r="N281" s="15" t="s">
        <v>73</v>
      </c>
      <c r="O281" s="16" t="n">
        <v>0</v>
      </c>
      <c r="P281" s="16" t="n">
        <v>2</v>
      </c>
      <c r="Q281" s="16" t="n">
        <v>1</v>
      </c>
      <c r="R281" s="16" t="n">
        <v>0</v>
      </c>
      <c r="S281" s="16" t="n">
        <v>3</v>
      </c>
      <c r="T281" s="17" t="n">
        <f aca="false">AVERAGE(O281:Q281)</f>
        <v>1</v>
      </c>
      <c r="U281" s="18" t="str">
        <f aca="false">IF(T281&gt;=$H$3,"Eligible","Not Eligible")</f>
        <v>Not Eligible</v>
      </c>
      <c r="V281" s="19" t="n">
        <f aca="false">IF(T281&lt;$H$3,0,IFERROR(T281/SUMIF($T$5:$T$999,"&gt;="&amp;$H$3),0))</f>
        <v>0</v>
      </c>
      <c r="W281" s="15" t="str">
        <f aca="false">IF(T281=0,"Win-Back","Active")</f>
        <v>Active</v>
      </c>
      <c r="X281" s="20" t="n">
        <f aca="false">IF(T281=0,0,IF(T281&gt;=$H$3,ROUND(T281*$D$3/SUMIF($T$5:$T$999,"&gt;="&amp;$H$3),0),ROUNDUP(T281*$D$3/SUMIF($T$5:$T$999,"&gt;="&amp;$H$3),0)))</f>
        <v>2</v>
      </c>
      <c r="Y281" s="21" t="n">
        <v>2</v>
      </c>
      <c r="Z281" s="16" t="n">
        <f aca="false">IF(X281=0,"",X281-Y281)</f>
        <v>0</v>
      </c>
      <c r="AA281" s="22" t="n">
        <f aca="false">IFERROR(Y281/X281,"")</f>
        <v>1</v>
      </c>
      <c r="AB281" s="16" t="n">
        <v>0</v>
      </c>
      <c r="AC281" s="21"/>
    </row>
    <row r="282" customFormat="false" ht="15" hidden="false" customHeight="true" outlineLevel="0" collapsed="false">
      <c r="A282" s="15" t="s">
        <v>2976</v>
      </c>
      <c r="B282" s="15" t="s">
        <v>2977</v>
      </c>
      <c r="C282" s="15" t="s">
        <v>2978</v>
      </c>
      <c r="D282" s="15" t="s">
        <v>2979</v>
      </c>
      <c r="E282" s="15" t="s">
        <v>2980</v>
      </c>
      <c r="F282" s="15" t="s">
        <v>2981</v>
      </c>
      <c r="G282" s="15" t="s">
        <v>2982</v>
      </c>
      <c r="H282" s="15" t="s">
        <v>2983</v>
      </c>
      <c r="I282" s="15"/>
      <c r="J282" s="15" t="s">
        <v>464</v>
      </c>
      <c r="K282" s="15" t="s">
        <v>47</v>
      </c>
      <c r="L282" s="15" t="s">
        <v>2984</v>
      </c>
      <c r="M282" s="15" t="s">
        <v>2985</v>
      </c>
      <c r="N282" s="15" t="s">
        <v>73</v>
      </c>
      <c r="O282" s="16" t="n">
        <v>1</v>
      </c>
      <c r="P282" s="16" t="n">
        <v>1</v>
      </c>
      <c r="Q282" s="16" t="n">
        <v>1</v>
      </c>
      <c r="R282" s="16" t="n">
        <v>0</v>
      </c>
      <c r="S282" s="16" t="n">
        <v>3</v>
      </c>
      <c r="T282" s="17" t="n">
        <f aca="false">AVERAGE(O282:Q282)</f>
        <v>1</v>
      </c>
      <c r="U282" s="18" t="str">
        <f aca="false">IF(T282&gt;=$H$3,"Eligible","Not Eligible")</f>
        <v>Not Eligible</v>
      </c>
      <c r="V282" s="19" t="n">
        <f aca="false">IF(T282&lt;$H$3,0,IFERROR(T282/SUMIF($T$5:$T$999,"&gt;="&amp;$H$3),0))</f>
        <v>0</v>
      </c>
      <c r="W282" s="15" t="str">
        <f aca="false">IF(T282=0,"Win-Back","Active")</f>
        <v>Active</v>
      </c>
      <c r="X282" s="20" t="n">
        <f aca="false">IF(T282=0,0,IF(T282&gt;=$H$3,ROUND(T282*$D$3/SUMIF($T$5:$T$999,"&gt;="&amp;$H$3),0),ROUNDUP(T282*$D$3/SUMIF($T$5:$T$999,"&gt;="&amp;$H$3),0)))</f>
        <v>2</v>
      </c>
      <c r="Y282" s="21" t="n">
        <v>1</v>
      </c>
      <c r="Z282" s="16" t="n">
        <f aca="false">IF(X282=0,"",X282-Y282)</f>
        <v>1</v>
      </c>
      <c r="AA282" s="22" t="n">
        <f aca="false">IFERROR(Y282/X282,"")</f>
        <v>0.5</v>
      </c>
      <c r="AB282" s="16" t="n">
        <v>0</v>
      </c>
      <c r="AC282" s="21"/>
    </row>
    <row r="283" customFormat="false" ht="15" hidden="false" customHeight="true" outlineLevel="0" collapsed="false">
      <c r="A283" s="15" t="s">
        <v>2986</v>
      </c>
      <c r="B283" s="15" t="s">
        <v>2987</v>
      </c>
      <c r="C283" s="15" t="s">
        <v>2988</v>
      </c>
      <c r="D283" s="15" t="s">
        <v>2989</v>
      </c>
      <c r="E283" s="15" t="s">
        <v>2990</v>
      </c>
      <c r="F283" s="15" t="s">
        <v>2991</v>
      </c>
      <c r="G283" s="15" t="s">
        <v>2992</v>
      </c>
      <c r="H283" s="15" t="s">
        <v>2993</v>
      </c>
      <c r="I283" s="15"/>
      <c r="J283" s="15" t="s">
        <v>2994</v>
      </c>
      <c r="K283" s="15" t="s">
        <v>563</v>
      </c>
      <c r="L283" s="15" t="s">
        <v>2995</v>
      </c>
      <c r="M283" s="15" t="s">
        <v>2996</v>
      </c>
      <c r="N283" s="15" t="s">
        <v>73</v>
      </c>
      <c r="O283" s="16" t="n">
        <v>1</v>
      </c>
      <c r="P283" s="16" t="n">
        <v>1</v>
      </c>
      <c r="Q283" s="16" t="n">
        <v>1</v>
      </c>
      <c r="R283" s="16" t="n">
        <v>0</v>
      </c>
      <c r="S283" s="16" t="n">
        <v>3</v>
      </c>
      <c r="T283" s="17" t="n">
        <f aca="false">AVERAGE(O283:Q283)</f>
        <v>1</v>
      </c>
      <c r="U283" s="18" t="str">
        <f aca="false">IF(T283&gt;=$H$3,"Eligible","Not Eligible")</f>
        <v>Not Eligible</v>
      </c>
      <c r="V283" s="19" t="n">
        <f aca="false">IF(T283&lt;$H$3,0,IFERROR(T283/SUMIF($T$5:$T$999,"&gt;="&amp;$H$3),0))</f>
        <v>0</v>
      </c>
      <c r="W283" s="15" t="str">
        <f aca="false">IF(T283=0,"Win-Back","Active")</f>
        <v>Active</v>
      </c>
      <c r="X283" s="20" t="n">
        <f aca="false">IF(T283=0,0,IF(T283&gt;=$H$3,ROUND(T283*$D$3/SUMIF($T$5:$T$999,"&gt;="&amp;$H$3),0),ROUNDUP(T283*$D$3/SUMIF($T$5:$T$999,"&gt;="&amp;$H$3),0)))</f>
        <v>2</v>
      </c>
      <c r="Y283" s="21" t="n">
        <v>2</v>
      </c>
      <c r="Z283" s="16" t="n">
        <f aca="false">IF(X283=0,"",X283-Y283)</f>
        <v>0</v>
      </c>
      <c r="AA283" s="22" t="n">
        <f aca="false">IFERROR(Y283/X283,"")</f>
        <v>1</v>
      </c>
      <c r="AB283" s="16" t="n">
        <v>0</v>
      </c>
      <c r="AC283" s="21"/>
    </row>
    <row r="284" customFormat="false" ht="15" hidden="false" customHeight="true" outlineLevel="0" collapsed="false">
      <c r="A284" s="15" t="s">
        <v>2997</v>
      </c>
      <c r="B284" s="15" t="s">
        <v>2998</v>
      </c>
      <c r="C284" s="15" t="s">
        <v>2999</v>
      </c>
      <c r="D284" s="15" t="s">
        <v>3000</v>
      </c>
      <c r="E284" s="15" t="s">
        <v>3001</v>
      </c>
      <c r="F284" s="15" t="s">
        <v>3002</v>
      </c>
      <c r="G284" s="15" t="s">
        <v>3003</v>
      </c>
      <c r="H284" s="15" t="s">
        <v>3004</v>
      </c>
      <c r="I284" s="15"/>
      <c r="J284" s="15" t="s">
        <v>689</v>
      </c>
      <c r="K284" s="15" t="s">
        <v>47</v>
      </c>
      <c r="L284" s="15" t="s">
        <v>3005</v>
      </c>
      <c r="M284" s="15" t="s">
        <v>3006</v>
      </c>
      <c r="N284" s="15" t="s">
        <v>73</v>
      </c>
      <c r="O284" s="16" t="n">
        <v>0</v>
      </c>
      <c r="P284" s="16" t="n">
        <v>1</v>
      </c>
      <c r="Q284" s="16" t="n">
        <v>2</v>
      </c>
      <c r="R284" s="16" t="n">
        <v>0</v>
      </c>
      <c r="S284" s="16" t="n">
        <v>3</v>
      </c>
      <c r="T284" s="17" t="n">
        <f aca="false">AVERAGE(O284:Q284)</f>
        <v>1</v>
      </c>
      <c r="U284" s="18" t="str">
        <f aca="false">IF(T284&gt;=$H$3,"Eligible","Not Eligible")</f>
        <v>Not Eligible</v>
      </c>
      <c r="V284" s="19" t="n">
        <f aca="false">IF(T284&lt;$H$3,0,IFERROR(T284/SUMIF($T$5:$T$999,"&gt;="&amp;$H$3),0))</f>
        <v>0</v>
      </c>
      <c r="W284" s="15" t="str">
        <f aca="false">IF(T284=0,"Win-Back","Active")</f>
        <v>Active</v>
      </c>
      <c r="X284" s="20" t="n">
        <f aca="false">IF(T284=0,0,IF(T284&gt;=$H$3,ROUND(T284*$D$3/SUMIF($T$5:$T$999,"&gt;="&amp;$H$3),0),ROUNDUP(T284*$D$3/SUMIF($T$5:$T$999,"&gt;="&amp;$H$3),0)))</f>
        <v>2</v>
      </c>
      <c r="Y284" s="21"/>
      <c r="Z284" s="16" t="n">
        <f aca="false">IF(X284=0,"",X284-Y284)</f>
        <v>2</v>
      </c>
      <c r="AA284" s="22" t="n">
        <f aca="false">IFERROR(Y284/X284,"")</f>
        <v>0</v>
      </c>
      <c r="AB284" s="16" t="n">
        <v>0</v>
      </c>
      <c r="AC284" s="21"/>
    </row>
    <row r="285" customFormat="false" ht="15" hidden="false" customHeight="true" outlineLevel="0" collapsed="false">
      <c r="A285" s="15" t="s">
        <v>3007</v>
      </c>
      <c r="B285" s="15" t="s">
        <v>3008</v>
      </c>
      <c r="C285" s="15" t="s">
        <v>3009</v>
      </c>
      <c r="D285" s="15" t="s">
        <v>3010</v>
      </c>
      <c r="E285" s="15" t="s">
        <v>3011</v>
      </c>
      <c r="F285" s="15" t="s">
        <v>3012</v>
      </c>
      <c r="G285" s="15" t="s">
        <v>3013</v>
      </c>
      <c r="H285" s="15" t="s">
        <v>3014</v>
      </c>
      <c r="I285" s="15"/>
      <c r="J285" s="15" t="s">
        <v>3015</v>
      </c>
      <c r="K285" s="15" t="s">
        <v>368</v>
      </c>
      <c r="L285" s="15" t="s">
        <v>3016</v>
      </c>
      <c r="M285" s="15" t="s">
        <v>3017</v>
      </c>
      <c r="N285" s="15" t="s">
        <v>73</v>
      </c>
      <c r="O285" s="16" t="n">
        <v>1</v>
      </c>
      <c r="P285" s="16" t="n">
        <v>0</v>
      </c>
      <c r="Q285" s="16" t="n">
        <v>2</v>
      </c>
      <c r="R285" s="16" t="n">
        <v>0</v>
      </c>
      <c r="S285" s="16" t="n">
        <v>3</v>
      </c>
      <c r="T285" s="17" t="n">
        <f aca="false">AVERAGE(O285:Q285)</f>
        <v>1</v>
      </c>
      <c r="U285" s="18" t="str">
        <f aca="false">IF(T285&gt;=$H$3,"Eligible","Not Eligible")</f>
        <v>Not Eligible</v>
      </c>
      <c r="V285" s="19" t="n">
        <f aca="false">IF(T285&lt;$H$3,0,IFERROR(T285/SUMIF($T$5:$T$999,"&gt;="&amp;$H$3),0))</f>
        <v>0</v>
      </c>
      <c r="W285" s="15" t="str">
        <f aca="false">IF(T285=0,"Win-Back","Active")</f>
        <v>Active</v>
      </c>
      <c r="X285" s="20" t="n">
        <f aca="false">IF(T285=0,0,IF(T285&gt;=$H$3,ROUND(T285*$D$3/SUMIF($T$5:$T$999,"&gt;="&amp;$H$3),0),ROUNDUP(T285*$D$3/SUMIF($T$5:$T$999,"&gt;="&amp;$H$3),0)))</f>
        <v>2</v>
      </c>
      <c r="Y285" s="21"/>
      <c r="Z285" s="16" t="n">
        <f aca="false">IF(X285=0,"",X285-Y285)</f>
        <v>2</v>
      </c>
      <c r="AA285" s="22" t="n">
        <f aca="false">IFERROR(Y285/X285,"")</f>
        <v>0</v>
      </c>
      <c r="AB285" s="16" t="n">
        <v>0</v>
      </c>
      <c r="AC285" s="21"/>
    </row>
    <row r="286" customFormat="false" ht="15" hidden="false" customHeight="true" outlineLevel="0" collapsed="false">
      <c r="A286" s="15" t="s">
        <v>3018</v>
      </c>
      <c r="B286" s="15" t="s">
        <v>3019</v>
      </c>
      <c r="C286" s="15" t="s">
        <v>3020</v>
      </c>
      <c r="D286" s="15" t="s">
        <v>3021</v>
      </c>
      <c r="E286" s="15" t="s">
        <v>3022</v>
      </c>
      <c r="F286" s="15" t="s">
        <v>3023</v>
      </c>
      <c r="G286" s="15" t="s">
        <v>3024</v>
      </c>
      <c r="H286" s="15" t="s">
        <v>3025</v>
      </c>
      <c r="I286" s="15"/>
      <c r="J286" s="15" t="s">
        <v>379</v>
      </c>
      <c r="K286" s="15" t="s">
        <v>368</v>
      </c>
      <c r="L286" s="15" t="s">
        <v>905</v>
      </c>
      <c r="M286" s="15" t="s">
        <v>3026</v>
      </c>
      <c r="N286" s="15" t="s">
        <v>73</v>
      </c>
      <c r="O286" s="16" t="n">
        <v>2</v>
      </c>
      <c r="P286" s="16" t="n">
        <v>1</v>
      </c>
      <c r="Q286" s="16" t="n">
        <v>0</v>
      </c>
      <c r="R286" s="16" t="n">
        <v>0</v>
      </c>
      <c r="S286" s="16" t="n">
        <v>3</v>
      </c>
      <c r="T286" s="17" t="n">
        <f aca="false">AVERAGE(O286:Q286)</f>
        <v>1</v>
      </c>
      <c r="U286" s="18" t="str">
        <f aca="false">IF(T286&gt;=$H$3,"Eligible","Not Eligible")</f>
        <v>Not Eligible</v>
      </c>
      <c r="V286" s="19" t="n">
        <f aca="false">IF(T286&lt;$H$3,0,IFERROR(T286/SUMIF($T$5:$T$999,"&gt;="&amp;$H$3),0))</f>
        <v>0</v>
      </c>
      <c r="W286" s="15" t="str">
        <f aca="false">IF(T286=0,"Win-Back","Active")</f>
        <v>Active</v>
      </c>
      <c r="X286" s="20" t="n">
        <f aca="false">IF(T286=0,0,IF(T286&gt;=$H$3,ROUND(T286*$D$3/SUMIF($T$5:$T$999,"&gt;="&amp;$H$3),0),ROUNDUP(T286*$D$3/SUMIF($T$5:$T$999,"&gt;="&amp;$H$3),0)))</f>
        <v>2</v>
      </c>
      <c r="Y286" s="21"/>
      <c r="Z286" s="16" t="n">
        <f aca="false">IF(X286=0,"",X286-Y286)</f>
        <v>2</v>
      </c>
      <c r="AA286" s="22" t="n">
        <f aca="false">IFERROR(Y286/X286,"")</f>
        <v>0</v>
      </c>
      <c r="AB286" s="16" t="n">
        <v>0</v>
      </c>
      <c r="AC286" s="21"/>
    </row>
    <row r="287" customFormat="false" ht="15" hidden="false" customHeight="true" outlineLevel="0" collapsed="false">
      <c r="A287" s="15" t="s">
        <v>3027</v>
      </c>
      <c r="B287" s="15" t="s">
        <v>3028</v>
      </c>
      <c r="C287" s="15" t="s">
        <v>3029</v>
      </c>
      <c r="D287" s="15" t="s">
        <v>3030</v>
      </c>
      <c r="E287" s="15" t="s">
        <v>3031</v>
      </c>
      <c r="F287" s="15" t="s">
        <v>3032</v>
      </c>
      <c r="G287" s="15" t="s">
        <v>3033</v>
      </c>
      <c r="H287" s="15" t="s">
        <v>3034</v>
      </c>
      <c r="I287" s="15" t="s">
        <v>3035</v>
      </c>
      <c r="J287" s="15" t="s">
        <v>3036</v>
      </c>
      <c r="K287" s="15" t="s">
        <v>563</v>
      </c>
      <c r="L287" s="15" t="s">
        <v>3037</v>
      </c>
      <c r="M287" s="15" t="s">
        <v>3038</v>
      </c>
      <c r="N287" s="15" t="s">
        <v>73</v>
      </c>
      <c r="O287" s="16" t="n">
        <v>1</v>
      </c>
      <c r="P287" s="16" t="n">
        <v>0</v>
      </c>
      <c r="Q287" s="16" t="n">
        <v>2</v>
      </c>
      <c r="R287" s="16" t="n">
        <v>0</v>
      </c>
      <c r="S287" s="16" t="n">
        <v>3</v>
      </c>
      <c r="T287" s="17" t="n">
        <f aca="false">AVERAGE(O287:Q287)</f>
        <v>1</v>
      </c>
      <c r="U287" s="18" t="str">
        <f aca="false">IF(T287&gt;=$H$3,"Eligible","Not Eligible")</f>
        <v>Not Eligible</v>
      </c>
      <c r="V287" s="19" t="n">
        <f aca="false">IF(T287&lt;$H$3,0,IFERROR(T287/SUMIF($T$5:$T$999,"&gt;="&amp;$H$3),0))</f>
        <v>0</v>
      </c>
      <c r="W287" s="15" t="str">
        <f aca="false">IF(T287=0,"Win-Back","Active")</f>
        <v>Active</v>
      </c>
      <c r="X287" s="20" t="n">
        <f aca="false">IF(T287=0,0,IF(T287&gt;=$H$3,ROUND(T287*$D$3/SUMIF($T$5:$T$999,"&gt;="&amp;$H$3),0),ROUNDUP(T287*$D$3/SUMIF($T$5:$T$999,"&gt;="&amp;$H$3),0)))</f>
        <v>2</v>
      </c>
      <c r="Y287" s="21"/>
      <c r="Z287" s="16" t="n">
        <f aca="false">IF(X287=0,"",X287-Y287)</f>
        <v>2</v>
      </c>
      <c r="AA287" s="22" t="n">
        <f aca="false">IFERROR(Y287/X287,"")</f>
        <v>0</v>
      </c>
      <c r="AB287" s="16" t="n">
        <v>0</v>
      </c>
      <c r="AC287" s="21"/>
    </row>
    <row r="288" customFormat="false" ht="15" hidden="false" customHeight="true" outlineLevel="0" collapsed="false">
      <c r="A288" s="15" t="s">
        <v>3039</v>
      </c>
      <c r="B288" s="15" t="s">
        <v>3040</v>
      </c>
      <c r="C288" s="15" t="s">
        <v>3041</v>
      </c>
      <c r="D288" s="15" t="s">
        <v>3042</v>
      </c>
      <c r="E288" s="15" t="s">
        <v>3043</v>
      </c>
      <c r="F288" s="15" t="s">
        <v>3044</v>
      </c>
      <c r="G288" s="15" t="s">
        <v>3045</v>
      </c>
      <c r="H288" s="15" t="s">
        <v>3046</v>
      </c>
      <c r="I288" s="15"/>
      <c r="J288" s="15" t="s">
        <v>3047</v>
      </c>
      <c r="K288" s="15" t="s">
        <v>70</v>
      </c>
      <c r="L288" s="15" t="s">
        <v>3048</v>
      </c>
      <c r="M288" s="15" t="s">
        <v>3049</v>
      </c>
      <c r="N288" s="15" t="s">
        <v>73</v>
      </c>
      <c r="O288" s="16" t="n">
        <v>0</v>
      </c>
      <c r="P288" s="16" t="n">
        <v>1</v>
      </c>
      <c r="Q288" s="16" t="n">
        <v>2</v>
      </c>
      <c r="R288" s="16" t="n">
        <v>0</v>
      </c>
      <c r="S288" s="16" t="n">
        <v>3</v>
      </c>
      <c r="T288" s="17" t="n">
        <f aca="false">AVERAGE(O288:Q288)</f>
        <v>1</v>
      </c>
      <c r="U288" s="18" t="str">
        <f aca="false">IF(T288&gt;=$H$3,"Eligible","Not Eligible")</f>
        <v>Not Eligible</v>
      </c>
      <c r="V288" s="19" t="n">
        <f aca="false">IF(T288&lt;$H$3,0,IFERROR(T288/SUMIF($T$5:$T$999,"&gt;="&amp;$H$3),0))</f>
        <v>0</v>
      </c>
      <c r="W288" s="15" t="str">
        <f aca="false">IF(T288=0,"Win-Back","Active")</f>
        <v>Active</v>
      </c>
      <c r="X288" s="20" t="n">
        <f aca="false">IF(T288=0,0,IF(T288&gt;=$H$3,ROUND(T288*$D$3/SUMIF($T$5:$T$999,"&gt;="&amp;$H$3),0),ROUNDUP(T288*$D$3/SUMIF($T$5:$T$999,"&gt;="&amp;$H$3),0)))</f>
        <v>2</v>
      </c>
      <c r="Y288" s="21" t="n">
        <v>3</v>
      </c>
      <c r="Z288" s="16" t="n">
        <f aca="false">IF(X288=0,"",X288-Y288)</f>
        <v>-1</v>
      </c>
      <c r="AA288" s="22" t="n">
        <f aca="false">IFERROR(Y288/X288,"")</f>
        <v>1.5</v>
      </c>
      <c r="AB288" s="16" t="n">
        <v>7</v>
      </c>
      <c r="AC288" s="21"/>
    </row>
    <row r="289" customFormat="false" ht="15" hidden="false" customHeight="true" outlineLevel="0" collapsed="false">
      <c r="A289" s="15" t="s">
        <v>3050</v>
      </c>
      <c r="B289" s="15" t="s">
        <v>3051</v>
      </c>
      <c r="C289" s="15" t="s">
        <v>3052</v>
      </c>
      <c r="D289" s="15" t="s">
        <v>3053</v>
      </c>
      <c r="E289" s="15" t="s">
        <v>3054</v>
      </c>
      <c r="F289" s="15" t="s">
        <v>3055</v>
      </c>
      <c r="G289" s="15" t="s">
        <v>3056</v>
      </c>
      <c r="H289" s="15" t="s">
        <v>3057</v>
      </c>
      <c r="I289" s="15"/>
      <c r="J289" s="15" t="s">
        <v>367</v>
      </c>
      <c r="K289" s="15" t="s">
        <v>368</v>
      </c>
      <c r="L289" s="15" t="s">
        <v>369</v>
      </c>
      <c r="M289" s="15" t="s">
        <v>3058</v>
      </c>
      <c r="N289" s="15" t="s">
        <v>73</v>
      </c>
      <c r="O289" s="16" t="n">
        <v>3</v>
      </c>
      <c r="P289" s="16" t="n">
        <v>0</v>
      </c>
      <c r="Q289" s="16" t="n">
        <v>0</v>
      </c>
      <c r="R289" s="16" t="n">
        <v>0</v>
      </c>
      <c r="S289" s="16" t="n">
        <v>3</v>
      </c>
      <c r="T289" s="17" t="n">
        <f aca="false">AVERAGE(O289:Q289)</f>
        <v>1</v>
      </c>
      <c r="U289" s="18" t="str">
        <f aca="false">IF(T289&gt;=$H$3,"Eligible","Not Eligible")</f>
        <v>Not Eligible</v>
      </c>
      <c r="V289" s="19" t="n">
        <f aca="false">IF(T289&lt;$H$3,0,IFERROR(T289/SUMIF($T$5:$T$999,"&gt;="&amp;$H$3),0))</f>
        <v>0</v>
      </c>
      <c r="W289" s="15" t="str">
        <f aca="false">IF(T289=0,"Win-Back","Active")</f>
        <v>Active</v>
      </c>
      <c r="X289" s="20" t="n">
        <f aca="false">IF(T289=0,0,IF(T289&gt;=$H$3,ROUND(T289*$D$3/SUMIF($T$5:$T$999,"&gt;="&amp;$H$3),0),ROUNDUP(T289*$D$3/SUMIF($T$5:$T$999,"&gt;="&amp;$H$3),0)))</f>
        <v>2</v>
      </c>
      <c r="Y289" s="21"/>
      <c r="Z289" s="16" t="n">
        <f aca="false">IF(X289=0,"",X289-Y289)</f>
        <v>2</v>
      </c>
      <c r="AA289" s="22" t="n">
        <f aca="false">IFERROR(Y289/X289,"")</f>
        <v>0</v>
      </c>
      <c r="AB289" s="16" t="n">
        <v>0</v>
      </c>
      <c r="AC289" s="21"/>
    </row>
    <row r="290" customFormat="false" ht="15" hidden="false" customHeight="true" outlineLevel="0" collapsed="false">
      <c r="A290" s="15" t="s">
        <v>3059</v>
      </c>
      <c r="B290" s="15" t="s">
        <v>3060</v>
      </c>
      <c r="C290" s="15" t="s">
        <v>3061</v>
      </c>
      <c r="D290" s="15" t="s">
        <v>3062</v>
      </c>
      <c r="E290" s="15" t="s">
        <v>3063</v>
      </c>
      <c r="F290" s="15" t="s">
        <v>3064</v>
      </c>
      <c r="G290" s="15" t="s">
        <v>3065</v>
      </c>
      <c r="H290" s="15" t="s">
        <v>3066</v>
      </c>
      <c r="I290" s="15"/>
      <c r="J290" s="15" t="s">
        <v>3067</v>
      </c>
      <c r="K290" s="15" t="s">
        <v>70</v>
      </c>
      <c r="L290" s="15" t="s">
        <v>3068</v>
      </c>
      <c r="M290" s="15" t="s">
        <v>3069</v>
      </c>
      <c r="N290" s="15" t="s">
        <v>73</v>
      </c>
      <c r="O290" s="16" t="n">
        <v>2</v>
      </c>
      <c r="P290" s="16" t="n">
        <v>0</v>
      </c>
      <c r="Q290" s="16" t="n">
        <v>1</v>
      </c>
      <c r="R290" s="16" t="n">
        <v>0</v>
      </c>
      <c r="S290" s="16" t="n">
        <v>3</v>
      </c>
      <c r="T290" s="17" t="n">
        <f aca="false">AVERAGE(O290:Q290)</f>
        <v>1</v>
      </c>
      <c r="U290" s="18" t="str">
        <f aca="false">IF(T290&gt;=$H$3,"Eligible","Not Eligible")</f>
        <v>Not Eligible</v>
      </c>
      <c r="V290" s="19" t="n">
        <f aca="false">IF(T290&lt;$H$3,0,IFERROR(T290/SUMIF($T$5:$T$999,"&gt;="&amp;$H$3),0))</f>
        <v>0</v>
      </c>
      <c r="W290" s="15" t="str">
        <f aca="false">IF(T290=0,"Win-Back","Active")</f>
        <v>Active</v>
      </c>
      <c r="X290" s="20" t="n">
        <f aca="false">IF(T290=0,0,IF(T290&gt;=$H$3,ROUND(T290*$D$3/SUMIF($T$5:$T$999,"&gt;="&amp;$H$3),0),ROUNDUP(T290*$D$3/SUMIF($T$5:$T$999,"&gt;="&amp;$H$3),0)))</f>
        <v>2</v>
      </c>
      <c r="Y290" s="21" t="n">
        <v>1</v>
      </c>
      <c r="Z290" s="16" t="n">
        <f aca="false">IF(X290=0,"",X290-Y290)</f>
        <v>1</v>
      </c>
      <c r="AA290" s="22" t="n">
        <f aca="false">IFERROR(Y290/X290,"")</f>
        <v>0.5</v>
      </c>
      <c r="AB290" s="16" t="n">
        <v>0</v>
      </c>
      <c r="AC290" s="21"/>
    </row>
    <row r="291" customFormat="false" ht="15" hidden="false" customHeight="true" outlineLevel="0" collapsed="false">
      <c r="A291" s="15" t="s">
        <v>3070</v>
      </c>
      <c r="B291" s="15" t="s">
        <v>3071</v>
      </c>
      <c r="C291" s="15" t="s">
        <v>3072</v>
      </c>
      <c r="D291" s="15" t="s">
        <v>3073</v>
      </c>
      <c r="E291" s="15" t="s">
        <v>3074</v>
      </c>
      <c r="F291" s="15" t="s">
        <v>3075</v>
      </c>
      <c r="G291" s="15" t="s">
        <v>3076</v>
      </c>
      <c r="H291" s="15" t="s">
        <v>3077</v>
      </c>
      <c r="I291" s="15"/>
      <c r="J291" s="15" t="s">
        <v>777</v>
      </c>
      <c r="K291" s="15" t="s">
        <v>70</v>
      </c>
      <c r="L291" s="15" t="s">
        <v>778</v>
      </c>
      <c r="M291" s="15" t="s">
        <v>3078</v>
      </c>
      <c r="N291" s="15" t="s">
        <v>73</v>
      </c>
      <c r="O291" s="16" t="n">
        <v>1</v>
      </c>
      <c r="P291" s="16" t="n">
        <v>2</v>
      </c>
      <c r="Q291" s="16" t="n">
        <v>0</v>
      </c>
      <c r="R291" s="16" t="n">
        <v>0</v>
      </c>
      <c r="S291" s="16" t="n">
        <v>3</v>
      </c>
      <c r="T291" s="17" t="n">
        <f aca="false">AVERAGE(O291:Q291)</f>
        <v>1</v>
      </c>
      <c r="U291" s="18" t="str">
        <f aca="false">IF(T291&gt;=$H$3,"Eligible","Not Eligible")</f>
        <v>Not Eligible</v>
      </c>
      <c r="V291" s="19" t="n">
        <f aca="false">IF(T291&lt;$H$3,0,IFERROR(T291/SUMIF($T$5:$T$999,"&gt;="&amp;$H$3),0))</f>
        <v>0</v>
      </c>
      <c r="W291" s="15" t="str">
        <f aca="false">IF(T291=0,"Win-Back","Active")</f>
        <v>Active</v>
      </c>
      <c r="X291" s="20" t="n">
        <f aca="false">IF(T291=0,0,IF(T291&gt;=$H$3,ROUND(T291*$D$3/SUMIF($T$5:$T$999,"&gt;="&amp;$H$3),0),ROUNDUP(T291*$D$3/SUMIF($T$5:$T$999,"&gt;="&amp;$H$3),0)))</f>
        <v>2</v>
      </c>
      <c r="Y291" s="21" t="n">
        <v>4</v>
      </c>
      <c r="Z291" s="16" t="n">
        <f aca="false">IF(X291=0,"",X291-Y291)</f>
        <v>-2</v>
      </c>
      <c r="AA291" s="22" t="n">
        <f aca="false">IFERROR(Y291/X291,"")</f>
        <v>2</v>
      </c>
      <c r="AB291" s="16" t="n">
        <v>0</v>
      </c>
      <c r="AC291" s="21"/>
    </row>
    <row r="292" customFormat="false" ht="15" hidden="false" customHeight="true" outlineLevel="0" collapsed="false">
      <c r="A292" s="15" t="s">
        <v>3079</v>
      </c>
      <c r="B292" s="15" t="s">
        <v>3080</v>
      </c>
      <c r="C292" s="15" t="s">
        <v>3081</v>
      </c>
      <c r="D292" s="15" t="s">
        <v>3082</v>
      </c>
      <c r="E292" s="15" t="s">
        <v>3083</v>
      </c>
      <c r="F292" s="15" t="s">
        <v>3084</v>
      </c>
      <c r="G292" s="15" t="s">
        <v>3085</v>
      </c>
      <c r="H292" s="15" t="s">
        <v>3086</v>
      </c>
      <c r="I292" s="15"/>
      <c r="J292" s="15" t="s">
        <v>3087</v>
      </c>
      <c r="K292" s="15" t="s">
        <v>1200</v>
      </c>
      <c r="L292" s="15" t="s">
        <v>3088</v>
      </c>
      <c r="M292" s="15" t="s">
        <v>3089</v>
      </c>
      <c r="N292" s="15" t="s">
        <v>73</v>
      </c>
      <c r="O292" s="16" t="n">
        <v>0</v>
      </c>
      <c r="P292" s="16" t="n">
        <v>1</v>
      </c>
      <c r="Q292" s="16" t="n">
        <v>1</v>
      </c>
      <c r="R292" s="16" t="n">
        <v>1</v>
      </c>
      <c r="S292" s="16" t="n">
        <v>3</v>
      </c>
      <c r="T292" s="17" t="n">
        <f aca="false">AVERAGE(O292:Q292)</f>
        <v>0.666666666666667</v>
      </c>
      <c r="U292" s="18" t="str">
        <f aca="false">IF(T292&gt;=$H$3,"Eligible","Not Eligible")</f>
        <v>Not Eligible</v>
      </c>
      <c r="V292" s="19" t="n">
        <f aca="false">IF(T292&lt;$H$3,0,IFERROR(T292/SUMIF($T$5:$T$999,"&gt;="&amp;$H$3),0))</f>
        <v>0</v>
      </c>
      <c r="W292" s="15" t="str">
        <f aca="false">IF(T292=0,"Win-Back","Active")</f>
        <v>Active</v>
      </c>
      <c r="X292" s="20" t="n">
        <f aca="false">IF(T292=0,0,IF(T292&gt;=$H$3,ROUND(T292*$D$3/SUMIF($T$5:$T$999,"&gt;="&amp;$H$3),0),ROUNDUP(T292*$D$3/SUMIF($T$5:$T$999,"&gt;="&amp;$H$3),0)))</f>
        <v>1</v>
      </c>
      <c r="Y292" s="21" t="n">
        <v>1</v>
      </c>
      <c r="Z292" s="16" t="n">
        <f aca="false">IF(X292=0,"",X292-Y292)</f>
        <v>0</v>
      </c>
      <c r="AA292" s="22" t="n">
        <f aca="false">IFERROR(Y292/X292,"")</f>
        <v>1</v>
      </c>
      <c r="AB292" s="16" t="n">
        <v>0</v>
      </c>
      <c r="AC292" s="21"/>
    </row>
    <row r="293" customFormat="false" ht="15" hidden="false" customHeight="true" outlineLevel="0" collapsed="false">
      <c r="A293" s="15" t="s">
        <v>3090</v>
      </c>
      <c r="B293" s="15" t="s">
        <v>3091</v>
      </c>
      <c r="C293" s="15" t="s">
        <v>3092</v>
      </c>
      <c r="D293" s="15" t="s">
        <v>3093</v>
      </c>
      <c r="E293" s="15" t="s">
        <v>3094</v>
      </c>
      <c r="F293" s="15" t="s">
        <v>3095</v>
      </c>
      <c r="G293" s="15" t="s">
        <v>3096</v>
      </c>
      <c r="H293" s="15" t="s">
        <v>3097</v>
      </c>
      <c r="I293" s="15"/>
      <c r="J293" s="15" t="s">
        <v>46</v>
      </c>
      <c r="K293" s="15" t="s">
        <v>47</v>
      </c>
      <c r="L293" s="15" t="s">
        <v>48</v>
      </c>
      <c r="M293" s="15" t="s">
        <v>3098</v>
      </c>
      <c r="N293" s="15" t="s">
        <v>73</v>
      </c>
      <c r="O293" s="16" t="n">
        <v>2</v>
      </c>
      <c r="P293" s="16" t="n">
        <v>0</v>
      </c>
      <c r="Q293" s="16" t="n">
        <v>0</v>
      </c>
      <c r="R293" s="16" t="n">
        <v>0</v>
      </c>
      <c r="S293" s="16" t="n">
        <v>2</v>
      </c>
      <c r="T293" s="17" t="n">
        <f aca="false">AVERAGE(O293:Q293)</f>
        <v>0.666666666666667</v>
      </c>
      <c r="U293" s="18" t="str">
        <f aca="false">IF(T293&gt;=$H$3,"Eligible","Not Eligible")</f>
        <v>Not Eligible</v>
      </c>
      <c r="V293" s="19" t="n">
        <f aca="false">IF(T293&lt;$H$3,0,IFERROR(T293/SUMIF($T$5:$T$999,"&gt;="&amp;$H$3),0))</f>
        <v>0</v>
      </c>
      <c r="W293" s="15" t="str">
        <f aca="false">IF(T293=0,"Win-Back","Active")</f>
        <v>Active</v>
      </c>
      <c r="X293" s="20" t="n">
        <f aca="false">IF(T293=0,0,IF(T293&gt;=$H$3,ROUND(T293*$D$3/SUMIF($T$5:$T$999,"&gt;="&amp;$H$3),0),ROUNDUP(T293*$D$3/SUMIF($T$5:$T$999,"&gt;="&amp;$H$3),0)))</f>
        <v>1</v>
      </c>
      <c r="Y293" s="21"/>
      <c r="Z293" s="16" t="n">
        <f aca="false">IF(X293=0,"",X293-Y293)</f>
        <v>1</v>
      </c>
      <c r="AA293" s="22" t="n">
        <f aca="false">IFERROR(Y293/X293,"")</f>
        <v>0</v>
      </c>
      <c r="AB293" s="16" t="n">
        <v>0</v>
      </c>
      <c r="AC293" s="21"/>
    </row>
    <row r="294" customFormat="false" ht="15" hidden="false" customHeight="true" outlineLevel="0" collapsed="false">
      <c r="A294" s="15" t="s">
        <v>3099</v>
      </c>
      <c r="B294" s="15" t="s">
        <v>3100</v>
      </c>
      <c r="C294" s="15" t="s">
        <v>3101</v>
      </c>
      <c r="D294" s="15" t="s">
        <v>3102</v>
      </c>
      <c r="E294" s="15" t="s">
        <v>3103</v>
      </c>
      <c r="F294" s="15" t="s">
        <v>3104</v>
      </c>
      <c r="G294" s="15" t="s">
        <v>3105</v>
      </c>
      <c r="H294" s="15" t="s">
        <v>3106</v>
      </c>
      <c r="I294" s="15" t="s">
        <v>3107</v>
      </c>
      <c r="J294" s="15" t="s">
        <v>3108</v>
      </c>
      <c r="K294" s="15" t="s">
        <v>2143</v>
      </c>
      <c r="L294" s="15" t="s">
        <v>3109</v>
      </c>
      <c r="M294" s="15" t="s">
        <v>3110</v>
      </c>
      <c r="N294" s="15" t="s">
        <v>73</v>
      </c>
      <c r="O294" s="16" t="n">
        <v>0</v>
      </c>
      <c r="P294" s="16" t="n">
        <v>1</v>
      </c>
      <c r="Q294" s="16" t="n">
        <v>1</v>
      </c>
      <c r="R294" s="16" t="n">
        <v>0</v>
      </c>
      <c r="S294" s="16" t="n">
        <v>2</v>
      </c>
      <c r="T294" s="17" t="n">
        <f aca="false">AVERAGE(O294:Q294)</f>
        <v>0.666666666666667</v>
      </c>
      <c r="U294" s="18" t="str">
        <f aca="false">IF(T294&gt;=$H$3,"Eligible","Not Eligible")</f>
        <v>Not Eligible</v>
      </c>
      <c r="V294" s="19" t="n">
        <f aca="false">IF(T294&lt;$H$3,0,IFERROR(T294/SUMIF($T$5:$T$999,"&gt;="&amp;$H$3),0))</f>
        <v>0</v>
      </c>
      <c r="W294" s="15" t="str">
        <f aca="false">IF(T294=0,"Win-Back","Active")</f>
        <v>Active</v>
      </c>
      <c r="X294" s="20" t="n">
        <f aca="false">IF(T294=0,0,IF(T294&gt;=$H$3,ROUND(T294*$D$3/SUMIF($T$5:$T$999,"&gt;="&amp;$H$3),0),ROUNDUP(T294*$D$3/SUMIF($T$5:$T$999,"&gt;="&amp;$H$3),0)))</f>
        <v>1</v>
      </c>
      <c r="Y294" s="21"/>
      <c r="Z294" s="16" t="n">
        <f aca="false">IF(X294=0,"",X294-Y294)</f>
        <v>1</v>
      </c>
      <c r="AA294" s="22" t="n">
        <f aca="false">IFERROR(Y294/X294,"")</f>
        <v>0</v>
      </c>
      <c r="AB294" s="16" t="n">
        <v>0</v>
      </c>
      <c r="AC294" s="21"/>
    </row>
    <row r="295" customFormat="false" ht="15" hidden="false" customHeight="true" outlineLevel="0" collapsed="false">
      <c r="A295" s="15" t="s">
        <v>3111</v>
      </c>
      <c r="B295" s="15" t="s">
        <v>3112</v>
      </c>
      <c r="C295" s="15" t="s">
        <v>3113</v>
      </c>
      <c r="D295" s="15" t="s">
        <v>3114</v>
      </c>
      <c r="E295" s="15" t="s">
        <v>3115</v>
      </c>
      <c r="F295" s="15" t="s">
        <v>3116</v>
      </c>
      <c r="G295" s="15" t="s">
        <v>3117</v>
      </c>
      <c r="H295" s="15" t="s">
        <v>3118</v>
      </c>
      <c r="I295" s="15"/>
      <c r="J295" s="15" t="s">
        <v>1869</v>
      </c>
      <c r="K295" s="15" t="s">
        <v>1418</v>
      </c>
      <c r="L295" s="15" t="s">
        <v>3119</v>
      </c>
      <c r="M295" s="15" t="s">
        <v>3120</v>
      </c>
      <c r="N295" s="15" t="s">
        <v>73</v>
      </c>
      <c r="O295" s="16" t="n">
        <v>2</v>
      </c>
      <c r="P295" s="16" t="n">
        <v>0</v>
      </c>
      <c r="Q295" s="16" t="n">
        <v>0</v>
      </c>
      <c r="R295" s="16" t="n">
        <v>0</v>
      </c>
      <c r="S295" s="16" t="n">
        <v>2</v>
      </c>
      <c r="T295" s="17" t="n">
        <f aca="false">AVERAGE(O295:Q295)</f>
        <v>0.666666666666667</v>
      </c>
      <c r="U295" s="18" t="str">
        <f aca="false">IF(T295&gt;=$H$3,"Eligible","Not Eligible")</f>
        <v>Not Eligible</v>
      </c>
      <c r="V295" s="19" t="n">
        <f aca="false">IF(T295&lt;$H$3,0,IFERROR(T295/SUMIF($T$5:$T$999,"&gt;="&amp;$H$3),0))</f>
        <v>0</v>
      </c>
      <c r="W295" s="15" t="str">
        <f aca="false">IF(T295=0,"Win-Back","Active")</f>
        <v>Active</v>
      </c>
      <c r="X295" s="20" t="n">
        <f aca="false">IF(T295=0,0,IF(T295&gt;=$H$3,ROUND(T295*$D$3/SUMIF($T$5:$T$999,"&gt;="&amp;$H$3),0),ROUNDUP(T295*$D$3/SUMIF($T$5:$T$999,"&gt;="&amp;$H$3),0)))</f>
        <v>1</v>
      </c>
      <c r="Y295" s="21" t="n">
        <v>3</v>
      </c>
      <c r="Z295" s="16" t="n">
        <f aca="false">IF(X295=0,"",X295-Y295)</f>
        <v>-2</v>
      </c>
      <c r="AA295" s="22" t="n">
        <f aca="false">IFERROR(Y295/X295,"")</f>
        <v>3</v>
      </c>
      <c r="AB295" s="16" t="n">
        <v>0</v>
      </c>
      <c r="AC295" s="21"/>
    </row>
    <row r="296" customFormat="false" ht="15" hidden="false" customHeight="true" outlineLevel="0" collapsed="false">
      <c r="A296" s="15" t="s">
        <v>3121</v>
      </c>
      <c r="B296" s="15" t="s">
        <v>3122</v>
      </c>
      <c r="C296" s="15" t="s">
        <v>3123</v>
      </c>
      <c r="D296" s="15" t="s">
        <v>3124</v>
      </c>
      <c r="E296" s="15" t="s">
        <v>3125</v>
      </c>
      <c r="F296" s="15" t="s">
        <v>3126</v>
      </c>
      <c r="G296" s="15" t="s">
        <v>3127</v>
      </c>
      <c r="H296" s="15" t="s">
        <v>3128</v>
      </c>
      <c r="I296" s="15"/>
      <c r="J296" s="15" t="s">
        <v>1177</v>
      </c>
      <c r="K296" s="15" t="s">
        <v>47</v>
      </c>
      <c r="L296" s="15" t="s">
        <v>1178</v>
      </c>
      <c r="M296" s="15" t="s">
        <v>3129</v>
      </c>
      <c r="N296" s="15" t="s">
        <v>73</v>
      </c>
      <c r="O296" s="16" t="n">
        <v>1</v>
      </c>
      <c r="P296" s="16" t="n">
        <v>1</v>
      </c>
      <c r="Q296" s="16" t="n">
        <v>0</v>
      </c>
      <c r="R296" s="16" t="n">
        <v>0</v>
      </c>
      <c r="S296" s="16" t="n">
        <v>2</v>
      </c>
      <c r="T296" s="17" t="n">
        <f aca="false">AVERAGE(O296:Q296)</f>
        <v>0.666666666666667</v>
      </c>
      <c r="U296" s="18" t="str">
        <f aca="false">IF(T296&gt;=$H$3,"Eligible","Not Eligible")</f>
        <v>Not Eligible</v>
      </c>
      <c r="V296" s="19" t="n">
        <f aca="false">IF(T296&lt;$H$3,0,IFERROR(T296/SUMIF($T$5:$T$999,"&gt;="&amp;$H$3),0))</f>
        <v>0</v>
      </c>
      <c r="W296" s="15" t="str">
        <f aca="false">IF(T296=0,"Win-Back","Active")</f>
        <v>Active</v>
      </c>
      <c r="X296" s="20" t="n">
        <f aca="false">IF(T296=0,0,IF(T296&gt;=$H$3,ROUND(T296*$D$3/SUMIF($T$5:$T$999,"&gt;="&amp;$H$3),0),ROUNDUP(T296*$D$3/SUMIF($T$5:$T$999,"&gt;="&amp;$H$3),0)))</f>
        <v>1</v>
      </c>
      <c r="Y296" s="21" t="n">
        <v>2</v>
      </c>
      <c r="Z296" s="16" t="n">
        <f aca="false">IF(X296=0,"",X296-Y296)</f>
        <v>-1</v>
      </c>
      <c r="AA296" s="22" t="n">
        <f aca="false">IFERROR(Y296/X296,"")</f>
        <v>2</v>
      </c>
      <c r="AB296" s="16" t="n">
        <v>0</v>
      </c>
      <c r="AC296" s="21"/>
    </row>
    <row r="297" customFormat="false" ht="15" hidden="false" customHeight="true" outlineLevel="0" collapsed="false">
      <c r="A297" s="15" t="s">
        <v>3130</v>
      </c>
      <c r="B297" s="15" t="s">
        <v>3131</v>
      </c>
      <c r="C297" s="15" t="s">
        <v>3132</v>
      </c>
      <c r="D297" s="15" t="s">
        <v>3133</v>
      </c>
      <c r="E297" s="15" t="s">
        <v>3134</v>
      </c>
      <c r="F297" s="15" t="s">
        <v>3135</v>
      </c>
      <c r="G297" s="15" t="s">
        <v>3136</v>
      </c>
      <c r="H297" s="15" t="s">
        <v>3137</v>
      </c>
      <c r="I297" s="15"/>
      <c r="J297" s="15" t="s">
        <v>2097</v>
      </c>
      <c r="K297" s="15" t="s">
        <v>2098</v>
      </c>
      <c r="L297" s="15" t="s">
        <v>3138</v>
      </c>
      <c r="M297" s="15" t="s">
        <v>3139</v>
      </c>
      <c r="N297" s="15" t="s">
        <v>73</v>
      </c>
      <c r="O297" s="16" t="n">
        <v>0</v>
      </c>
      <c r="P297" s="16" t="n">
        <v>0</v>
      </c>
      <c r="Q297" s="16" t="n">
        <v>2</v>
      </c>
      <c r="R297" s="16" t="n">
        <v>0</v>
      </c>
      <c r="S297" s="16" t="n">
        <v>2</v>
      </c>
      <c r="T297" s="17" t="n">
        <f aca="false">AVERAGE(O297:Q297)</f>
        <v>0.666666666666667</v>
      </c>
      <c r="U297" s="18" t="str">
        <f aca="false">IF(T297&gt;=$H$3,"Eligible","Not Eligible")</f>
        <v>Not Eligible</v>
      </c>
      <c r="V297" s="19" t="n">
        <f aca="false">IF(T297&lt;$H$3,0,IFERROR(T297/SUMIF($T$5:$T$999,"&gt;="&amp;$H$3),0))</f>
        <v>0</v>
      </c>
      <c r="W297" s="15" t="str">
        <f aca="false">IF(T297=0,"Win-Back","Active")</f>
        <v>Active</v>
      </c>
      <c r="X297" s="20" t="n">
        <f aca="false">IF(T297=0,0,IF(T297&gt;=$H$3,ROUND(T297*$D$3/SUMIF($T$5:$T$999,"&gt;="&amp;$H$3),0),ROUNDUP(T297*$D$3/SUMIF($T$5:$T$999,"&gt;="&amp;$H$3),0)))</f>
        <v>1</v>
      </c>
      <c r="Y297" s="21"/>
      <c r="Z297" s="16" t="n">
        <f aca="false">IF(X297=0,"",X297-Y297)</f>
        <v>1</v>
      </c>
      <c r="AA297" s="22" t="n">
        <f aca="false">IFERROR(Y297/X297,"")</f>
        <v>0</v>
      </c>
      <c r="AB297" s="16" t="n">
        <v>0</v>
      </c>
      <c r="AC297" s="21"/>
    </row>
    <row r="298" customFormat="false" ht="15" hidden="false" customHeight="true" outlineLevel="0" collapsed="false">
      <c r="A298" s="15" t="s">
        <v>3140</v>
      </c>
      <c r="B298" s="15" t="s">
        <v>3141</v>
      </c>
      <c r="C298" s="15" t="s">
        <v>3142</v>
      </c>
      <c r="D298" s="15" t="s">
        <v>3143</v>
      </c>
      <c r="E298" s="15" t="s">
        <v>3144</v>
      </c>
      <c r="F298" s="15" t="s">
        <v>3145</v>
      </c>
      <c r="G298" s="15" t="s">
        <v>3146</v>
      </c>
      <c r="H298" s="15" t="s">
        <v>3147</v>
      </c>
      <c r="I298" s="15"/>
      <c r="J298" s="15" t="s">
        <v>3148</v>
      </c>
      <c r="K298" s="15" t="s">
        <v>1418</v>
      </c>
      <c r="L298" s="15" t="s">
        <v>3149</v>
      </c>
      <c r="M298" s="15" t="s">
        <v>3150</v>
      </c>
      <c r="N298" s="15" t="s">
        <v>73</v>
      </c>
      <c r="O298" s="16" t="n">
        <v>2</v>
      </c>
      <c r="P298" s="16" t="n">
        <v>0</v>
      </c>
      <c r="Q298" s="16" t="n">
        <v>0</v>
      </c>
      <c r="R298" s="16" t="n">
        <v>0</v>
      </c>
      <c r="S298" s="16" t="n">
        <v>2</v>
      </c>
      <c r="T298" s="17" t="n">
        <f aca="false">AVERAGE(O298:Q298)</f>
        <v>0.666666666666667</v>
      </c>
      <c r="U298" s="18" t="str">
        <f aca="false">IF(T298&gt;=$H$3,"Eligible","Not Eligible")</f>
        <v>Not Eligible</v>
      </c>
      <c r="V298" s="19" t="n">
        <f aca="false">IF(T298&lt;$H$3,0,IFERROR(T298/SUMIF($T$5:$T$999,"&gt;="&amp;$H$3),0))</f>
        <v>0</v>
      </c>
      <c r="W298" s="15" t="str">
        <f aca="false">IF(T298=0,"Win-Back","Active")</f>
        <v>Active</v>
      </c>
      <c r="X298" s="20" t="n">
        <f aca="false">IF(T298=0,0,IF(T298&gt;=$H$3,ROUND(T298*$D$3/SUMIF($T$5:$T$999,"&gt;="&amp;$H$3),0),ROUNDUP(T298*$D$3/SUMIF($T$5:$T$999,"&gt;="&amp;$H$3),0)))</f>
        <v>1</v>
      </c>
      <c r="Y298" s="21"/>
      <c r="Z298" s="16" t="n">
        <f aca="false">IF(X298=0,"",X298-Y298)</f>
        <v>1</v>
      </c>
      <c r="AA298" s="22" t="n">
        <f aca="false">IFERROR(Y298/X298,"")</f>
        <v>0</v>
      </c>
      <c r="AB298" s="16" t="n">
        <v>0</v>
      </c>
      <c r="AC298" s="21"/>
    </row>
    <row r="299" customFormat="false" ht="15" hidden="false" customHeight="true" outlineLevel="0" collapsed="false">
      <c r="A299" s="15" t="s">
        <v>3151</v>
      </c>
      <c r="B299" s="15" t="s">
        <v>3152</v>
      </c>
      <c r="C299" s="15" t="s">
        <v>3153</v>
      </c>
      <c r="D299" s="15" t="s">
        <v>3154</v>
      </c>
      <c r="E299" s="15" t="s">
        <v>3155</v>
      </c>
      <c r="F299" s="15" t="s">
        <v>3156</v>
      </c>
      <c r="G299" s="15" t="s">
        <v>3157</v>
      </c>
      <c r="H299" s="15" t="s">
        <v>3158</v>
      </c>
      <c r="I299" s="15" t="s">
        <v>3159</v>
      </c>
      <c r="J299" s="15" t="s">
        <v>82</v>
      </c>
      <c r="K299" s="15" t="s">
        <v>47</v>
      </c>
      <c r="L299" s="15" t="s">
        <v>83</v>
      </c>
      <c r="M299" s="15" t="s">
        <v>3160</v>
      </c>
      <c r="N299" s="15" t="s">
        <v>73</v>
      </c>
      <c r="O299" s="16" t="n">
        <v>0</v>
      </c>
      <c r="P299" s="16" t="n">
        <v>1</v>
      </c>
      <c r="Q299" s="16" t="n">
        <v>1</v>
      </c>
      <c r="R299" s="16" t="n">
        <v>0</v>
      </c>
      <c r="S299" s="16" t="n">
        <v>2</v>
      </c>
      <c r="T299" s="17" t="n">
        <f aca="false">AVERAGE(O299:Q299)</f>
        <v>0.666666666666667</v>
      </c>
      <c r="U299" s="18" t="str">
        <f aca="false">IF(T299&gt;=$H$3,"Eligible","Not Eligible")</f>
        <v>Not Eligible</v>
      </c>
      <c r="V299" s="19" t="n">
        <f aca="false">IF(T299&lt;$H$3,0,IFERROR(T299/SUMIF($T$5:$T$999,"&gt;="&amp;$H$3),0))</f>
        <v>0</v>
      </c>
      <c r="W299" s="15" t="str">
        <f aca="false">IF(T299=0,"Win-Back","Active")</f>
        <v>Active</v>
      </c>
      <c r="X299" s="20" t="n">
        <f aca="false">IF(T299=0,0,IF(T299&gt;=$H$3,ROUND(T299*$D$3/SUMIF($T$5:$T$999,"&gt;="&amp;$H$3),0),ROUNDUP(T299*$D$3/SUMIF($T$5:$T$999,"&gt;="&amp;$H$3),0)))</f>
        <v>1</v>
      </c>
      <c r="Y299" s="21"/>
      <c r="Z299" s="16" t="n">
        <f aca="false">IF(X299=0,"",X299-Y299)</f>
        <v>1</v>
      </c>
      <c r="AA299" s="22" t="n">
        <f aca="false">IFERROR(Y299/X299,"")</f>
        <v>0</v>
      </c>
      <c r="AB299" s="16" t="n">
        <v>0</v>
      </c>
      <c r="AC299" s="21"/>
    </row>
    <row r="300" customFormat="false" ht="15" hidden="false" customHeight="true" outlineLevel="0" collapsed="false">
      <c r="A300" s="15" t="s">
        <v>3161</v>
      </c>
      <c r="B300" s="15" t="s">
        <v>3162</v>
      </c>
      <c r="C300" s="15" t="s">
        <v>3163</v>
      </c>
      <c r="D300" s="15" t="s">
        <v>3164</v>
      </c>
      <c r="E300" s="15" t="s">
        <v>3165</v>
      </c>
      <c r="F300" s="15" t="s">
        <v>3166</v>
      </c>
      <c r="G300" s="15" t="s">
        <v>3167</v>
      </c>
      <c r="H300" s="15" t="s">
        <v>3168</v>
      </c>
      <c r="I300" s="15" t="s">
        <v>3169</v>
      </c>
      <c r="J300" s="15" t="s">
        <v>3170</v>
      </c>
      <c r="K300" s="15" t="s">
        <v>3171</v>
      </c>
      <c r="L300" s="15" t="s">
        <v>3172</v>
      </c>
      <c r="M300" s="15" t="s">
        <v>3173</v>
      </c>
      <c r="N300" s="15" t="s">
        <v>73</v>
      </c>
      <c r="O300" s="16" t="n">
        <v>0</v>
      </c>
      <c r="P300" s="16" t="n">
        <v>1</v>
      </c>
      <c r="Q300" s="16" t="n">
        <v>1</v>
      </c>
      <c r="R300" s="16" t="n">
        <v>0</v>
      </c>
      <c r="S300" s="16" t="n">
        <v>2</v>
      </c>
      <c r="T300" s="17" t="n">
        <f aca="false">AVERAGE(O300:Q300)</f>
        <v>0.666666666666667</v>
      </c>
      <c r="U300" s="18" t="str">
        <f aca="false">IF(T300&gt;=$H$3,"Eligible","Not Eligible")</f>
        <v>Not Eligible</v>
      </c>
      <c r="V300" s="19" t="n">
        <f aca="false">IF(T300&lt;$H$3,0,IFERROR(T300/SUMIF($T$5:$T$999,"&gt;="&amp;$H$3),0))</f>
        <v>0</v>
      </c>
      <c r="W300" s="15" t="str">
        <f aca="false">IF(T300=0,"Win-Back","Active")</f>
        <v>Active</v>
      </c>
      <c r="X300" s="20" t="n">
        <f aca="false">IF(T300=0,0,IF(T300&gt;=$H$3,ROUND(T300*$D$3/SUMIF($T$5:$T$999,"&gt;="&amp;$H$3),0),ROUNDUP(T300*$D$3/SUMIF($T$5:$T$999,"&gt;="&amp;$H$3),0)))</f>
        <v>1</v>
      </c>
      <c r="Y300" s="21" t="n">
        <v>1</v>
      </c>
      <c r="Z300" s="16" t="n">
        <f aca="false">IF(X300=0,"",X300-Y300)</f>
        <v>0</v>
      </c>
      <c r="AA300" s="22" t="n">
        <f aca="false">IFERROR(Y300/X300,"")</f>
        <v>1</v>
      </c>
      <c r="AB300" s="16" t="n">
        <v>0</v>
      </c>
      <c r="AC300" s="21"/>
    </row>
    <row r="301" customFormat="false" ht="15" hidden="false" customHeight="true" outlineLevel="0" collapsed="false">
      <c r="A301" s="15" t="s">
        <v>3174</v>
      </c>
      <c r="B301" s="15" t="s">
        <v>3175</v>
      </c>
      <c r="C301" s="15" t="s">
        <v>3176</v>
      </c>
      <c r="D301" s="15" t="s">
        <v>3177</v>
      </c>
      <c r="E301" s="15" t="s">
        <v>3178</v>
      </c>
      <c r="F301" s="15" t="s">
        <v>3179</v>
      </c>
      <c r="G301" s="15" t="s">
        <v>3180</v>
      </c>
      <c r="H301" s="15" t="s">
        <v>3181</v>
      </c>
      <c r="I301" s="15"/>
      <c r="J301" s="15" t="s">
        <v>2018</v>
      </c>
      <c r="K301" s="15" t="s">
        <v>70</v>
      </c>
      <c r="L301" s="15" t="s">
        <v>3182</v>
      </c>
      <c r="M301" s="15" t="s">
        <v>3183</v>
      </c>
      <c r="N301" s="15" t="s">
        <v>73</v>
      </c>
      <c r="O301" s="16" t="n">
        <v>0</v>
      </c>
      <c r="P301" s="16" t="n">
        <v>1</v>
      </c>
      <c r="Q301" s="16" t="n">
        <v>1</v>
      </c>
      <c r="R301" s="16" t="n">
        <v>0</v>
      </c>
      <c r="S301" s="16" t="n">
        <v>2</v>
      </c>
      <c r="T301" s="17" t="n">
        <f aca="false">AVERAGE(O301:Q301)</f>
        <v>0.666666666666667</v>
      </c>
      <c r="U301" s="18" t="str">
        <f aca="false">IF(T301&gt;=$H$3,"Eligible","Not Eligible")</f>
        <v>Not Eligible</v>
      </c>
      <c r="V301" s="19" t="n">
        <f aca="false">IF(T301&lt;$H$3,0,IFERROR(T301/SUMIF($T$5:$T$999,"&gt;="&amp;$H$3),0))</f>
        <v>0</v>
      </c>
      <c r="W301" s="15" t="str">
        <f aca="false">IF(T301=0,"Win-Back","Active")</f>
        <v>Active</v>
      </c>
      <c r="X301" s="20" t="n">
        <f aca="false">IF(T301=0,0,IF(T301&gt;=$H$3,ROUND(T301*$D$3/SUMIF($T$5:$T$999,"&gt;="&amp;$H$3),0),ROUNDUP(T301*$D$3/SUMIF($T$5:$T$999,"&gt;="&amp;$H$3),0)))</f>
        <v>1</v>
      </c>
      <c r="Y301" s="21" t="n">
        <v>2</v>
      </c>
      <c r="Z301" s="16" t="n">
        <f aca="false">IF(X301=0,"",X301-Y301)</f>
        <v>-1</v>
      </c>
      <c r="AA301" s="22" t="n">
        <f aca="false">IFERROR(Y301/X301,"")</f>
        <v>2</v>
      </c>
      <c r="AB301" s="16" t="n">
        <v>0</v>
      </c>
      <c r="AC301" s="21"/>
    </row>
    <row r="302" customFormat="false" ht="15" hidden="false" customHeight="true" outlineLevel="0" collapsed="false">
      <c r="A302" s="15" t="s">
        <v>3184</v>
      </c>
      <c r="B302" s="15" t="s">
        <v>3185</v>
      </c>
      <c r="C302" s="15" t="s">
        <v>3186</v>
      </c>
      <c r="D302" s="15" t="s">
        <v>3187</v>
      </c>
      <c r="E302" s="15" t="s">
        <v>3188</v>
      </c>
      <c r="F302" s="15" t="s">
        <v>3189</v>
      </c>
      <c r="G302" s="15" t="s">
        <v>3190</v>
      </c>
      <c r="H302" s="15" t="s">
        <v>3191</v>
      </c>
      <c r="I302" s="15"/>
      <c r="J302" s="15" t="s">
        <v>1450</v>
      </c>
      <c r="K302" s="15" t="s">
        <v>1451</v>
      </c>
      <c r="L302" s="15" t="s">
        <v>3192</v>
      </c>
      <c r="M302" s="15" t="s">
        <v>3193</v>
      </c>
      <c r="N302" s="15" t="s">
        <v>73</v>
      </c>
      <c r="O302" s="16" t="n">
        <v>0</v>
      </c>
      <c r="P302" s="16" t="n">
        <v>1</v>
      </c>
      <c r="Q302" s="16" t="n">
        <v>1</v>
      </c>
      <c r="R302" s="16" t="n">
        <v>0</v>
      </c>
      <c r="S302" s="16" t="n">
        <v>2</v>
      </c>
      <c r="T302" s="17" t="n">
        <f aca="false">AVERAGE(O302:Q302)</f>
        <v>0.666666666666667</v>
      </c>
      <c r="U302" s="18" t="str">
        <f aca="false">IF(T302&gt;=$H$3,"Eligible","Not Eligible")</f>
        <v>Not Eligible</v>
      </c>
      <c r="V302" s="19" t="n">
        <f aca="false">IF(T302&lt;$H$3,0,IFERROR(T302/SUMIF($T$5:$T$999,"&gt;="&amp;$H$3),0))</f>
        <v>0</v>
      </c>
      <c r="W302" s="15" t="str">
        <f aca="false">IF(T302=0,"Win-Back","Active")</f>
        <v>Active</v>
      </c>
      <c r="X302" s="20" t="n">
        <f aca="false">IF(T302=0,0,IF(T302&gt;=$H$3,ROUND(T302*$D$3/SUMIF($T$5:$T$999,"&gt;="&amp;$H$3),0),ROUNDUP(T302*$D$3/SUMIF($T$5:$T$999,"&gt;="&amp;$H$3),0)))</f>
        <v>1</v>
      </c>
      <c r="Y302" s="21" t="n">
        <v>3</v>
      </c>
      <c r="Z302" s="16" t="n">
        <f aca="false">IF(X302=0,"",X302-Y302)</f>
        <v>-2</v>
      </c>
      <c r="AA302" s="22" t="n">
        <f aca="false">IFERROR(Y302/X302,"")</f>
        <v>3</v>
      </c>
      <c r="AB302" s="16" t="n">
        <v>0</v>
      </c>
      <c r="AC302" s="21" t="n">
        <v>5</v>
      </c>
    </row>
    <row r="303" customFormat="false" ht="15" hidden="false" customHeight="true" outlineLevel="0" collapsed="false">
      <c r="A303" s="15" t="s">
        <v>3194</v>
      </c>
      <c r="B303" s="15" t="s">
        <v>3195</v>
      </c>
      <c r="C303" s="15" t="s">
        <v>3196</v>
      </c>
      <c r="D303" s="15" t="s">
        <v>3197</v>
      </c>
      <c r="E303" s="15" t="s">
        <v>3198</v>
      </c>
      <c r="F303" s="15" t="s">
        <v>3199</v>
      </c>
      <c r="G303" s="15" t="s">
        <v>3200</v>
      </c>
      <c r="H303" s="15" t="s">
        <v>3201</v>
      </c>
      <c r="I303" s="15" t="s">
        <v>148</v>
      </c>
      <c r="J303" s="15" t="s">
        <v>3202</v>
      </c>
      <c r="K303" s="15" t="s">
        <v>3203</v>
      </c>
      <c r="L303" s="15" t="s">
        <v>3204</v>
      </c>
      <c r="M303" s="15" t="s">
        <v>3205</v>
      </c>
      <c r="N303" s="15" t="s">
        <v>73</v>
      </c>
      <c r="O303" s="16" t="n">
        <v>1</v>
      </c>
      <c r="P303" s="16" t="n">
        <v>1</v>
      </c>
      <c r="Q303" s="16" t="n">
        <v>0</v>
      </c>
      <c r="R303" s="16" t="n">
        <v>0</v>
      </c>
      <c r="S303" s="16" t="n">
        <v>2</v>
      </c>
      <c r="T303" s="17" t="n">
        <f aca="false">AVERAGE(O303:Q303)</f>
        <v>0.666666666666667</v>
      </c>
      <c r="U303" s="18" t="str">
        <f aca="false">IF(T303&gt;=$H$3,"Eligible","Not Eligible")</f>
        <v>Not Eligible</v>
      </c>
      <c r="V303" s="19" t="n">
        <f aca="false">IF(T303&lt;$H$3,0,IFERROR(T303/SUMIF($T$5:$T$999,"&gt;="&amp;$H$3),0))</f>
        <v>0</v>
      </c>
      <c r="W303" s="15" t="str">
        <f aca="false">IF(T303=0,"Win-Back","Active")</f>
        <v>Active</v>
      </c>
      <c r="X303" s="20" t="n">
        <f aca="false">IF(T303=0,0,IF(T303&gt;=$H$3,ROUND(T303*$D$3/SUMIF($T$5:$T$999,"&gt;="&amp;$H$3),0),ROUNDUP(T303*$D$3/SUMIF($T$5:$T$999,"&gt;="&amp;$H$3),0)))</f>
        <v>1</v>
      </c>
      <c r="Y303" s="21"/>
      <c r="Z303" s="16" t="n">
        <f aca="false">IF(X303=0,"",X303-Y303)</f>
        <v>1</v>
      </c>
      <c r="AA303" s="22" t="n">
        <f aca="false">IFERROR(Y303/X303,"")</f>
        <v>0</v>
      </c>
      <c r="AB303" s="16" t="n">
        <v>0</v>
      </c>
      <c r="AC303" s="21"/>
    </row>
    <row r="304" customFormat="false" ht="15" hidden="false" customHeight="true" outlineLevel="0" collapsed="false">
      <c r="A304" s="15" t="s">
        <v>3206</v>
      </c>
      <c r="B304" s="15" t="s">
        <v>3207</v>
      </c>
      <c r="C304" s="15" t="s">
        <v>3208</v>
      </c>
      <c r="D304" s="15" t="s">
        <v>3209</v>
      </c>
      <c r="E304" s="15" t="s">
        <v>3210</v>
      </c>
      <c r="F304" s="15" t="s">
        <v>3211</v>
      </c>
      <c r="G304" s="15" t="s">
        <v>3212</v>
      </c>
      <c r="H304" s="15" t="s">
        <v>3213</v>
      </c>
      <c r="I304" s="15" t="s">
        <v>3169</v>
      </c>
      <c r="J304" s="15" t="s">
        <v>1965</v>
      </c>
      <c r="K304" s="15" t="s">
        <v>368</v>
      </c>
      <c r="L304" s="15" t="s">
        <v>1966</v>
      </c>
      <c r="M304" s="15" t="s">
        <v>3214</v>
      </c>
      <c r="N304" s="15" t="s">
        <v>73</v>
      </c>
      <c r="O304" s="16" t="n">
        <v>0</v>
      </c>
      <c r="P304" s="16" t="n">
        <v>1</v>
      </c>
      <c r="Q304" s="16" t="n">
        <v>1</v>
      </c>
      <c r="R304" s="16" t="n">
        <v>0</v>
      </c>
      <c r="S304" s="16" t="n">
        <v>2</v>
      </c>
      <c r="T304" s="17" t="n">
        <f aca="false">AVERAGE(O304:Q304)</f>
        <v>0.666666666666667</v>
      </c>
      <c r="U304" s="18" t="str">
        <f aca="false">IF(T304&gt;=$H$3,"Eligible","Not Eligible")</f>
        <v>Not Eligible</v>
      </c>
      <c r="V304" s="19" t="n">
        <f aca="false">IF(T304&lt;$H$3,0,IFERROR(T304/SUMIF($T$5:$T$999,"&gt;="&amp;$H$3),0))</f>
        <v>0</v>
      </c>
      <c r="W304" s="15" t="str">
        <f aca="false">IF(T304=0,"Win-Back","Active")</f>
        <v>Active</v>
      </c>
      <c r="X304" s="20" t="n">
        <f aca="false">IF(T304=0,0,IF(T304&gt;=$H$3,ROUND(T304*$D$3/SUMIF($T$5:$T$999,"&gt;="&amp;$H$3),0),ROUNDUP(T304*$D$3/SUMIF($T$5:$T$999,"&gt;="&amp;$H$3),0)))</f>
        <v>1</v>
      </c>
      <c r="Y304" s="21"/>
      <c r="Z304" s="16" t="n">
        <f aca="false">IF(X304=0,"",X304-Y304)</f>
        <v>1</v>
      </c>
      <c r="AA304" s="22" t="n">
        <f aca="false">IFERROR(Y304/X304,"")</f>
        <v>0</v>
      </c>
      <c r="AB304" s="16" t="n">
        <v>0</v>
      </c>
      <c r="AC304" s="21"/>
    </row>
    <row r="305" customFormat="false" ht="15" hidden="false" customHeight="true" outlineLevel="0" collapsed="false">
      <c r="A305" s="15" t="s">
        <v>3215</v>
      </c>
      <c r="B305" s="15" t="s">
        <v>3216</v>
      </c>
      <c r="C305" s="15" t="s">
        <v>3217</v>
      </c>
      <c r="D305" s="15" t="s">
        <v>3218</v>
      </c>
      <c r="E305" s="15" t="s">
        <v>3219</v>
      </c>
      <c r="F305" s="15" t="s">
        <v>3220</v>
      </c>
      <c r="G305" s="15" t="s">
        <v>3221</v>
      </c>
      <c r="H305" s="15" t="s">
        <v>3222</v>
      </c>
      <c r="I305" s="15"/>
      <c r="J305" s="15" t="s">
        <v>3223</v>
      </c>
      <c r="K305" s="15" t="s">
        <v>47</v>
      </c>
      <c r="L305" s="15" t="s">
        <v>3224</v>
      </c>
      <c r="M305" s="15" t="s">
        <v>3225</v>
      </c>
      <c r="N305" s="15" t="s">
        <v>73</v>
      </c>
      <c r="O305" s="16" t="n">
        <v>0</v>
      </c>
      <c r="P305" s="16" t="n">
        <v>0</v>
      </c>
      <c r="Q305" s="16" t="n">
        <v>2</v>
      </c>
      <c r="R305" s="16" t="n">
        <v>0</v>
      </c>
      <c r="S305" s="16" t="n">
        <v>2</v>
      </c>
      <c r="T305" s="17" t="n">
        <f aca="false">AVERAGE(O305:Q305)</f>
        <v>0.666666666666667</v>
      </c>
      <c r="U305" s="18" t="str">
        <f aca="false">IF(T305&gt;=$H$3,"Eligible","Not Eligible")</f>
        <v>Not Eligible</v>
      </c>
      <c r="V305" s="19" t="n">
        <f aca="false">IF(T305&lt;$H$3,0,IFERROR(T305/SUMIF($T$5:$T$999,"&gt;="&amp;$H$3),0))</f>
        <v>0</v>
      </c>
      <c r="W305" s="15" t="str">
        <f aca="false">IF(T305=0,"Win-Back","Active")</f>
        <v>Active</v>
      </c>
      <c r="X305" s="20" t="n">
        <f aca="false">IF(T305=0,0,IF(T305&gt;=$H$3,ROUND(T305*$D$3/SUMIF($T$5:$T$999,"&gt;="&amp;$H$3),0),ROUNDUP(T305*$D$3/SUMIF($T$5:$T$999,"&gt;="&amp;$H$3),0)))</f>
        <v>1</v>
      </c>
      <c r="Y305" s="21"/>
      <c r="Z305" s="16" t="n">
        <f aca="false">IF(X305=0,"",X305-Y305)</f>
        <v>1</v>
      </c>
      <c r="AA305" s="22" t="n">
        <f aca="false">IFERROR(Y305/X305,"")</f>
        <v>0</v>
      </c>
      <c r="AB305" s="16" t="n">
        <v>0</v>
      </c>
      <c r="AC305" s="21"/>
    </row>
    <row r="306" customFormat="false" ht="15" hidden="false" customHeight="true" outlineLevel="0" collapsed="false">
      <c r="A306" s="15" t="s">
        <v>3226</v>
      </c>
      <c r="B306" s="15" t="s">
        <v>3227</v>
      </c>
      <c r="C306" s="15" t="s">
        <v>3228</v>
      </c>
      <c r="D306" s="15" t="s">
        <v>3229</v>
      </c>
      <c r="E306" s="15" t="s">
        <v>3230</v>
      </c>
      <c r="F306" s="15" t="s">
        <v>3231</v>
      </c>
      <c r="G306" s="15" t="s">
        <v>3232</v>
      </c>
      <c r="H306" s="15" t="s">
        <v>3233</v>
      </c>
      <c r="I306" s="15"/>
      <c r="J306" s="15" t="s">
        <v>777</v>
      </c>
      <c r="K306" s="15" t="s">
        <v>70</v>
      </c>
      <c r="L306" s="15" t="s">
        <v>2503</v>
      </c>
      <c r="M306" s="15" t="s">
        <v>3234</v>
      </c>
      <c r="N306" s="15" t="s">
        <v>73</v>
      </c>
      <c r="O306" s="16" t="n">
        <v>1</v>
      </c>
      <c r="P306" s="16" t="n">
        <v>0</v>
      </c>
      <c r="Q306" s="16" t="n">
        <v>1</v>
      </c>
      <c r="R306" s="16" t="n">
        <v>0</v>
      </c>
      <c r="S306" s="16" t="n">
        <v>2</v>
      </c>
      <c r="T306" s="17" t="n">
        <f aca="false">AVERAGE(O306:Q306)</f>
        <v>0.666666666666667</v>
      </c>
      <c r="U306" s="18" t="str">
        <f aca="false">IF(T306&gt;=$H$3,"Eligible","Not Eligible")</f>
        <v>Not Eligible</v>
      </c>
      <c r="V306" s="19" t="n">
        <f aca="false">IF(T306&lt;$H$3,0,IFERROR(T306/SUMIF($T$5:$T$999,"&gt;="&amp;$H$3),0))</f>
        <v>0</v>
      </c>
      <c r="W306" s="15" t="str">
        <f aca="false">IF(T306=0,"Win-Back","Active")</f>
        <v>Active</v>
      </c>
      <c r="X306" s="20" t="n">
        <f aca="false">IF(T306=0,0,IF(T306&gt;=$H$3,ROUND(T306*$D$3/SUMIF($T$5:$T$999,"&gt;="&amp;$H$3),0),ROUNDUP(T306*$D$3/SUMIF($T$5:$T$999,"&gt;="&amp;$H$3),0)))</f>
        <v>1</v>
      </c>
      <c r="Y306" s="21"/>
      <c r="Z306" s="16" t="n">
        <f aca="false">IF(X306=0,"",X306-Y306)</f>
        <v>1</v>
      </c>
      <c r="AA306" s="22" t="n">
        <f aca="false">IFERROR(Y306/X306,"")</f>
        <v>0</v>
      </c>
      <c r="AB306" s="16" t="n">
        <v>0</v>
      </c>
      <c r="AC306" s="21"/>
    </row>
    <row r="307" customFormat="false" ht="15" hidden="false" customHeight="true" outlineLevel="0" collapsed="false">
      <c r="A307" s="15" t="s">
        <v>3235</v>
      </c>
      <c r="B307" s="15" t="s">
        <v>3236</v>
      </c>
      <c r="C307" s="15" t="s">
        <v>3237</v>
      </c>
      <c r="D307" s="15" t="s">
        <v>3238</v>
      </c>
      <c r="E307" s="15" t="s">
        <v>3239</v>
      </c>
      <c r="F307" s="15" t="s">
        <v>3240</v>
      </c>
      <c r="G307" s="15" t="s">
        <v>3241</v>
      </c>
      <c r="H307" s="15" t="s">
        <v>3242</v>
      </c>
      <c r="I307" s="15"/>
      <c r="J307" s="15" t="s">
        <v>1869</v>
      </c>
      <c r="K307" s="15" t="s">
        <v>1418</v>
      </c>
      <c r="L307" s="15" t="s">
        <v>1870</v>
      </c>
      <c r="M307" s="15" t="s">
        <v>3243</v>
      </c>
      <c r="N307" s="15" t="s">
        <v>73</v>
      </c>
      <c r="O307" s="16" t="n">
        <v>0</v>
      </c>
      <c r="P307" s="16" t="n">
        <v>0</v>
      </c>
      <c r="Q307" s="16" t="n">
        <v>2</v>
      </c>
      <c r="R307" s="16" t="n">
        <v>0</v>
      </c>
      <c r="S307" s="16" t="n">
        <v>2</v>
      </c>
      <c r="T307" s="17" t="n">
        <f aca="false">AVERAGE(O307:Q307)</f>
        <v>0.666666666666667</v>
      </c>
      <c r="U307" s="18" t="str">
        <f aca="false">IF(T307&gt;=$H$3,"Eligible","Not Eligible")</f>
        <v>Not Eligible</v>
      </c>
      <c r="V307" s="19" t="n">
        <f aca="false">IF(T307&lt;$H$3,0,IFERROR(T307/SUMIF($T$5:$T$999,"&gt;="&amp;$H$3),0))</f>
        <v>0</v>
      </c>
      <c r="W307" s="15" t="str">
        <f aca="false">IF(T307=0,"Win-Back","Active")</f>
        <v>Active</v>
      </c>
      <c r="X307" s="20" t="n">
        <f aca="false">IF(T307=0,0,IF(T307&gt;=$H$3,ROUND(T307*$D$3/SUMIF($T$5:$T$999,"&gt;="&amp;$H$3),0),ROUNDUP(T307*$D$3/SUMIF($T$5:$T$999,"&gt;="&amp;$H$3),0)))</f>
        <v>1</v>
      </c>
      <c r="Y307" s="21"/>
      <c r="Z307" s="16" t="n">
        <f aca="false">IF(X307=0,"",X307-Y307)</f>
        <v>1</v>
      </c>
      <c r="AA307" s="22" t="n">
        <f aca="false">IFERROR(Y307/X307,"")</f>
        <v>0</v>
      </c>
      <c r="AB307" s="16" t="n">
        <v>0</v>
      </c>
      <c r="AC307" s="21"/>
    </row>
    <row r="308" customFormat="false" ht="15" hidden="false" customHeight="true" outlineLevel="0" collapsed="false">
      <c r="A308" s="15" t="s">
        <v>3244</v>
      </c>
      <c r="B308" s="15" t="s">
        <v>3245</v>
      </c>
      <c r="C308" s="15" t="s">
        <v>3246</v>
      </c>
      <c r="D308" s="15" t="s">
        <v>3247</v>
      </c>
      <c r="E308" s="15" t="s">
        <v>293</v>
      </c>
      <c r="F308" s="15" t="s">
        <v>3248</v>
      </c>
      <c r="G308" s="15" t="s">
        <v>3249</v>
      </c>
      <c r="H308" s="15" t="s">
        <v>3250</v>
      </c>
      <c r="I308" s="15" t="s">
        <v>2096</v>
      </c>
      <c r="J308" s="15" t="s">
        <v>504</v>
      </c>
      <c r="K308" s="15" t="s">
        <v>70</v>
      </c>
      <c r="L308" s="15" t="s">
        <v>505</v>
      </c>
      <c r="M308" s="15" t="s">
        <v>3251</v>
      </c>
      <c r="N308" s="15" t="s">
        <v>73</v>
      </c>
      <c r="O308" s="16" t="n">
        <v>0</v>
      </c>
      <c r="P308" s="16" t="n">
        <v>0</v>
      </c>
      <c r="Q308" s="16" t="n">
        <v>2</v>
      </c>
      <c r="R308" s="16" t="n">
        <v>0</v>
      </c>
      <c r="S308" s="16" t="n">
        <v>2</v>
      </c>
      <c r="T308" s="17" t="n">
        <f aca="false">AVERAGE(O308:Q308)</f>
        <v>0.666666666666667</v>
      </c>
      <c r="U308" s="18" t="str">
        <f aca="false">IF(T308&gt;=$H$3,"Eligible","Not Eligible")</f>
        <v>Not Eligible</v>
      </c>
      <c r="V308" s="19" t="n">
        <f aca="false">IF(T308&lt;$H$3,0,IFERROR(T308/SUMIF($T$5:$T$999,"&gt;="&amp;$H$3),0))</f>
        <v>0</v>
      </c>
      <c r="W308" s="15" t="str">
        <f aca="false">IF(T308=0,"Win-Back","Active")</f>
        <v>Active</v>
      </c>
      <c r="X308" s="20" t="n">
        <f aca="false">IF(T308=0,0,IF(T308&gt;=$H$3,ROUND(T308*$D$3/SUMIF($T$5:$T$999,"&gt;="&amp;$H$3),0),ROUNDUP(T308*$D$3/SUMIF($T$5:$T$999,"&gt;="&amp;$H$3),0)))</f>
        <v>1</v>
      </c>
      <c r="Y308" s="21" t="n">
        <v>22</v>
      </c>
      <c r="Z308" s="16" t="n">
        <f aca="false">IF(X308=0,"",X308-Y308)</f>
        <v>-21</v>
      </c>
      <c r="AA308" s="22" t="n">
        <f aca="false">IFERROR(Y308/X308,"")</f>
        <v>22</v>
      </c>
      <c r="AB308" s="16" t="n">
        <v>0</v>
      </c>
      <c r="AC308" s="21"/>
    </row>
    <row r="309" customFormat="false" ht="15" hidden="false" customHeight="true" outlineLevel="0" collapsed="false">
      <c r="A309" s="15" t="s">
        <v>3252</v>
      </c>
      <c r="B309" s="15" t="s">
        <v>3253</v>
      </c>
      <c r="C309" s="15" t="s">
        <v>3254</v>
      </c>
      <c r="D309" s="15" t="s">
        <v>3255</v>
      </c>
      <c r="E309" s="15" t="s">
        <v>3256</v>
      </c>
      <c r="F309" s="15" t="s">
        <v>3257</v>
      </c>
      <c r="G309" s="15" t="s">
        <v>3258</v>
      </c>
      <c r="H309" s="15" t="s">
        <v>3259</v>
      </c>
      <c r="I309" s="15"/>
      <c r="J309" s="15" t="s">
        <v>3260</v>
      </c>
      <c r="K309" s="15" t="s">
        <v>1418</v>
      </c>
      <c r="L309" s="15" t="s">
        <v>3261</v>
      </c>
      <c r="M309" s="15" t="s">
        <v>3262</v>
      </c>
      <c r="N309" s="15" t="s">
        <v>73</v>
      </c>
      <c r="O309" s="16" t="n">
        <v>0</v>
      </c>
      <c r="P309" s="16" t="n">
        <v>2</v>
      </c>
      <c r="Q309" s="16" t="n">
        <v>0</v>
      </c>
      <c r="R309" s="16" t="n">
        <v>0</v>
      </c>
      <c r="S309" s="16" t="n">
        <v>2</v>
      </c>
      <c r="T309" s="17" t="n">
        <f aca="false">AVERAGE(O309:Q309)</f>
        <v>0.666666666666667</v>
      </c>
      <c r="U309" s="18" t="str">
        <f aca="false">IF(T309&gt;=$H$3,"Eligible","Not Eligible")</f>
        <v>Not Eligible</v>
      </c>
      <c r="V309" s="19" t="n">
        <f aca="false">IF(T309&lt;$H$3,0,IFERROR(T309/SUMIF($T$5:$T$999,"&gt;="&amp;$H$3),0))</f>
        <v>0</v>
      </c>
      <c r="W309" s="15" t="str">
        <f aca="false">IF(T309=0,"Win-Back","Active")</f>
        <v>Active</v>
      </c>
      <c r="X309" s="20" t="n">
        <f aca="false">IF(T309=0,0,IF(T309&gt;=$H$3,ROUND(T309*$D$3/SUMIF($T$5:$T$999,"&gt;="&amp;$H$3),0),ROUNDUP(T309*$D$3/SUMIF($T$5:$T$999,"&gt;="&amp;$H$3),0)))</f>
        <v>1</v>
      </c>
      <c r="Y309" s="21" t="n">
        <v>2</v>
      </c>
      <c r="Z309" s="16" t="n">
        <f aca="false">IF(X309=0,"",X309-Y309)</f>
        <v>-1</v>
      </c>
      <c r="AA309" s="22" t="n">
        <f aca="false">IFERROR(Y309/X309,"")</f>
        <v>2</v>
      </c>
      <c r="AB309" s="16" t="n">
        <v>0</v>
      </c>
      <c r="AC309" s="21"/>
    </row>
    <row r="310" customFormat="false" ht="15" hidden="false" customHeight="true" outlineLevel="0" collapsed="false">
      <c r="A310" s="15" t="s">
        <v>3263</v>
      </c>
      <c r="B310" s="15" t="s">
        <v>3264</v>
      </c>
      <c r="C310" s="15" t="s">
        <v>3265</v>
      </c>
      <c r="D310" s="15" t="s">
        <v>3266</v>
      </c>
      <c r="E310" s="15" t="s">
        <v>3267</v>
      </c>
      <c r="F310" s="15" t="s">
        <v>3268</v>
      </c>
      <c r="G310" s="15" t="s">
        <v>3269</v>
      </c>
      <c r="H310" s="15" t="s">
        <v>3270</v>
      </c>
      <c r="I310" s="15"/>
      <c r="J310" s="15" t="s">
        <v>3271</v>
      </c>
      <c r="K310" s="15" t="s">
        <v>70</v>
      </c>
      <c r="L310" s="15" t="s">
        <v>3272</v>
      </c>
      <c r="M310" s="15" t="s">
        <v>3273</v>
      </c>
      <c r="N310" s="15" t="s">
        <v>73</v>
      </c>
      <c r="O310" s="16" t="n">
        <v>0</v>
      </c>
      <c r="P310" s="16" t="n">
        <v>1</v>
      </c>
      <c r="Q310" s="16" t="n">
        <v>1</v>
      </c>
      <c r="R310" s="16" t="n">
        <v>0</v>
      </c>
      <c r="S310" s="16" t="n">
        <v>2</v>
      </c>
      <c r="T310" s="17" t="n">
        <f aca="false">AVERAGE(O310:Q310)</f>
        <v>0.666666666666667</v>
      </c>
      <c r="U310" s="18" t="str">
        <f aca="false">IF(T310&gt;=$H$3,"Eligible","Not Eligible")</f>
        <v>Not Eligible</v>
      </c>
      <c r="V310" s="19" t="n">
        <f aca="false">IF(T310&lt;$H$3,0,IFERROR(T310/SUMIF($T$5:$T$999,"&gt;="&amp;$H$3),0))</f>
        <v>0</v>
      </c>
      <c r="W310" s="15" t="str">
        <f aca="false">IF(T310=0,"Win-Back","Active")</f>
        <v>Active</v>
      </c>
      <c r="X310" s="20" t="n">
        <f aca="false">IF(T310=0,0,IF(T310&gt;=$H$3,ROUND(T310*$D$3/SUMIF($T$5:$T$999,"&gt;="&amp;$H$3),0),ROUNDUP(T310*$D$3/SUMIF($T$5:$T$999,"&gt;="&amp;$H$3),0)))</f>
        <v>1</v>
      </c>
      <c r="Y310" s="21"/>
      <c r="Z310" s="16" t="n">
        <f aca="false">IF(X310=0,"",X310-Y310)</f>
        <v>1</v>
      </c>
      <c r="AA310" s="22" t="n">
        <f aca="false">IFERROR(Y310/X310,"")</f>
        <v>0</v>
      </c>
      <c r="AB310" s="16" t="n">
        <v>0</v>
      </c>
      <c r="AC310" s="21"/>
    </row>
    <row r="311" customFormat="false" ht="15" hidden="false" customHeight="true" outlineLevel="0" collapsed="false">
      <c r="A311" s="15" t="s">
        <v>3274</v>
      </c>
      <c r="B311" s="15" t="s">
        <v>3275</v>
      </c>
      <c r="C311" s="15" t="s">
        <v>3276</v>
      </c>
      <c r="D311" s="15" t="s">
        <v>3277</v>
      </c>
      <c r="E311" s="15" t="s">
        <v>3278</v>
      </c>
      <c r="F311" s="15" t="s">
        <v>3279</v>
      </c>
      <c r="G311" s="15" t="s">
        <v>3280</v>
      </c>
      <c r="H311" s="15" t="s">
        <v>3281</v>
      </c>
      <c r="I311" s="15"/>
      <c r="J311" s="15" t="s">
        <v>3282</v>
      </c>
      <c r="K311" s="15" t="s">
        <v>402</v>
      </c>
      <c r="L311" s="15" t="s">
        <v>3283</v>
      </c>
      <c r="M311" s="15" t="s">
        <v>3284</v>
      </c>
      <c r="N311" s="15" t="s">
        <v>73</v>
      </c>
      <c r="O311" s="16" t="n">
        <v>0</v>
      </c>
      <c r="P311" s="16" t="n">
        <v>0</v>
      </c>
      <c r="Q311" s="16" t="n">
        <v>2</v>
      </c>
      <c r="R311" s="16" t="n">
        <v>0</v>
      </c>
      <c r="S311" s="16" t="n">
        <v>2</v>
      </c>
      <c r="T311" s="17" t="n">
        <f aca="false">AVERAGE(O311:Q311)</f>
        <v>0.666666666666667</v>
      </c>
      <c r="U311" s="18" t="str">
        <f aca="false">IF(T311&gt;=$H$3,"Eligible","Not Eligible")</f>
        <v>Not Eligible</v>
      </c>
      <c r="V311" s="19" t="n">
        <f aca="false">IF(T311&lt;$H$3,0,IFERROR(T311/SUMIF($T$5:$T$999,"&gt;="&amp;$H$3),0))</f>
        <v>0</v>
      </c>
      <c r="W311" s="15" t="str">
        <f aca="false">IF(T311=0,"Win-Back","Active")</f>
        <v>Active</v>
      </c>
      <c r="X311" s="20" t="n">
        <f aca="false">IF(T311=0,0,IF(T311&gt;=$H$3,ROUND(T311*$D$3/SUMIF($T$5:$T$999,"&gt;="&amp;$H$3),0),ROUNDUP(T311*$D$3/SUMIF($T$5:$T$999,"&gt;="&amp;$H$3),0)))</f>
        <v>1</v>
      </c>
      <c r="Y311" s="21"/>
      <c r="Z311" s="16" t="n">
        <f aca="false">IF(X311=0,"",X311-Y311)</f>
        <v>1</v>
      </c>
      <c r="AA311" s="22" t="n">
        <f aca="false">IFERROR(Y311/X311,"")</f>
        <v>0</v>
      </c>
      <c r="AB311" s="16" t="n">
        <v>0</v>
      </c>
      <c r="AC311" s="21"/>
    </row>
    <row r="312" customFormat="false" ht="15" hidden="false" customHeight="true" outlineLevel="0" collapsed="false">
      <c r="A312" s="15" t="s">
        <v>3285</v>
      </c>
      <c r="B312" s="15" t="s">
        <v>3286</v>
      </c>
      <c r="C312" s="15" t="s">
        <v>3287</v>
      </c>
      <c r="D312" s="15" t="s">
        <v>3288</v>
      </c>
      <c r="E312" s="15" t="s">
        <v>3289</v>
      </c>
      <c r="F312" s="15" t="s">
        <v>3290</v>
      </c>
      <c r="G312" s="15" t="s">
        <v>3291</v>
      </c>
      <c r="H312" s="15" t="s">
        <v>3292</v>
      </c>
      <c r="I312" s="15"/>
      <c r="J312" s="15" t="s">
        <v>297</v>
      </c>
      <c r="K312" s="15" t="s">
        <v>298</v>
      </c>
      <c r="L312" s="15" t="s">
        <v>3293</v>
      </c>
      <c r="M312" s="15" t="s">
        <v>3294</v>
      </c>
      <c r="N312" s="15" t="s">
        <v>73</v>
      </c>
      <c r="O312" s="16" t="n">
        <v>1</v>
      </c>
      <c r="P312" s="16" t="n">
        <v>1</v>
      </c>
      <c r="Q312" s="16" t="n">
        <v>0</v>
      </c>
      <c r="R312" s="16" t="n">
        <v>0</v>
      </c>
      <c r="S312" s="16" t="n">
        <v>2</v>
      </c>
      <c r="T312" s="17" t="n">
        <f aca="false">AVERAGE(O312:Q312)</f>
        <v>0.666666666666667</v>
      </c>
      <c r="U312" s="18" t="str">
        <f aca="false">IF(T312&gt;=$H$3,"Eligible","Not Eligible")</f>
        <v>Not Eligible</v>
      </c>
      <c r="V312" s="19" t="n">
        <f aca="false">IF(T312&lt;$H$3,0,IFERROR(T312/SUMIF($T$5:$T$999,"&gt;="&amp;$H$3),0))</f>
        <v>0</v>
      </c>
      <c r="W312" s="15" t="str">
        <f aca="false">IF(T312=0,"Win-Back","Active")</f>
        <v>Active</v>
      </c>
      <c r="X312" s="20" t="n">
        <f aca="false">IF(T312=0,0,IF(T312&gt;=$H$3,ROUND(T312*$D$3/SUMIF($T$5:$T$999,"&gt;="&amp;$H$3),0),ROUNDUP(T312*$D$3/SUMIF($T$5:$T$999,"&gt;="&amp;$H$3),0)))</f>
        <v>1</v>
      </c>
      <c r="Y312" s="21"/>
      <c r="Z312" s="16" t="n">
        <f aca="false">IF(X312=0,"",X312-Y312)</f>
        <v>1</v>
      </c>
      <c r="AA312" s="22" t="n">
        <f aca="false">IFERROR(Y312/X312,"")</f>
        <v>0</v>
      </c>
      <c r="AB312" s="16" t="n">
        <v>0</v>
      </c>
      <c r="AC312" s="21"/>
    </row>
    <row r="313" customFormat="false" ht="15" hidden="false" customHeight="true" outlineLevel="0" collapsed="false">
      <c r="A313" s="15" t="s">
        <v>3295</v>
      </c>
      <c r="B313" s="15" t="s">
        <v>3296</v>
      </c>
      <c r="C313" s="15" t="s">
        <v>3297</v>
      </c>
      <c r="D313" s="15" t="s">
        <v>3298</v>
      </c>
      <c r="E313" s="15" t="s">
        <v>3299</v>
      </c>
      <c r="F313" s="15" t="s">
        <v>3300</v>
      </c>
      <c r="G313" s="15" t="s">
        <v>3301</v>
      </c>
      <c r="H313" s="15" t="s">
        <v>3302</v>
      </c>
      <c r="I313" s="15"/>
      <c r="J313" s="15" t="s">
        <v>3303</v>
      </c>
      <c r="K313" s="15" t="s">
        <v>368</v>
      </c>
      <c r="L313" s="15" t="s">
        <v>3304</v>
      </c>
      <c r="M313" s="15" t="s">
        <v>3305</v>
      </c>
      <c r="N313" s="15" t="s">
        <v>73</v>
      </c>
      <c r="O313" s="16" t="n">
        <v>0</v>
      </c>
      <c r="P313" s="16" t="n">
        <v>1</v>
      </c>
      <c r="Q313" s="16" t="n">
        <v>1</v>
      </c>
      <c r="R313" s="16" t="n">
        <v>0</v>
      </c>
      <c r="S313" s="16" t="n">
        <v>2</v>
      </c>
      <c r="T313" s="17" t="n">
        <f aca="false">AVERAGE(O313:Q313)</f>
        <v>0.666666666666667</v>
      </c>
      <c r="U313" s="18" t="str">
        <f aca="false">IF(T313&gt;=$H$3,"Eligible","Not Eligible")</f>
        <v>Not Eligible</v>
      </c>
      <c r="V313" s="19" t="n">
        <f aca="false">IF(T313&lt;$H$3,0,IFERROR(T313/SUMIF($T$5:$T$999,"&gt;="&amp;$H$3),0))</f>
        <v>0</v>
      </c>
      <c r="W313" s="15" t="str">
        <f aca="false">IF(T313=0,"Win-Back","Active")</f>
        <v>Active</v>
      </c>
      <c r="X313" s="20" t="n">
        <f aca="false">IF(T313=0,0,IF(T313&gt;=$H$3,ROUND(T313*$D$3/SUMIF($T$5:$T$999,"&gt;="&amp;$H$3),0),ROUNDUP(T313*$D$3/SUMIF($T$5:$T$999,"&gt;="&amp;$H$3),0)))</f>
        <v>1</v>
      </c>
      <c r="Y313" s="21"/>
      <c r="Z313" s="16" t="n">
        <f aca="false">IF(X313=0,"",X313-Y313)</f>
        <v>1</v>
      </c>
      <c r="AA313" s="22" t="n">
        <f aca="false">IFERROR(Y313/X313,"")</f>
        <v>0</v>
      </c>
      <c r="AB313" s="16" t="n">
        <v>0</v>
      </c>
      <c r="AC313" s="21"/>
    </row>
    <row r="314" customFormat="false" ht="15" hidden="false" customHeight="true" outlineLevel="0" collapsed="false">
      <c r="A314" s="15" t="s">
        <v>3306</v>
      </c>
      <c r="B314" s="15" t="s">
        <v>3307</v>
      </c>
      <c r="C314" s="15" t="s">
        <v>3308</v>
      </c>
      <c r="D314" s="15" t="s">
        <v>3309</v>
      </c>
      <c r="E314" s="15" t="s">
        <v>3310</v>
      </c>
      <c r="F314" s="15" t="s">
        <v>3311</v>
      </c>
      <c r="G314" s="15" t="s">
        <v>3312</v>
      </c>
      <c r="H314" s="15" t="s">
        <v>3313</v>
      </c>
      <c r="I314" s="15" t="s">
        <v>3314</v>
      </c>
      <c r="J314" s="15" t="s">
        <v>3315</v>
      </c>
      <c r="K314" s="15" t="s">
        <v>2839</v>
      </c>
      <c r="L314" s="15" t="s">
        <v>3316</v>
      </c>
      <c r="M314" s="15" t="s">
        <v>3317</v>
      </c>
      <c r="N314" s="15" t="s">
        <v>73</v>
      </c>
      <c r="O314" s="16" t="n">
        <v>1</v>
      </c>
      <c r="P314" s="16" t="n">
        <v>1</v>
      </c>
      <c r="Q314" s="16" t="n">
        <v>0</v>
      </c>
      <c r="R314" s="16" t="n">
        <v>0</v>
      </c>
      <c r="S314" s="16" t="n">
        <v>2</v>
      </c>
      <c r="T314" s="17" t="n">
        <f aca="false">AVERAGE(O314:Q314)</f>
        <v>0.666666666666667</v>
      </c>
      <c r="U314" s="18" t="str">
        <f aca="false">IF(T314&gt;=$H$3,"Eligible","Not Eligible")</f>
        <v>Not Eligible</v>
      </c>
      <c r="V314" s="19" t="n">
        <f aca="false">IF(T314&lt;$H$3,0,IFERROR(T314/SUMIF($T$5:$T$999,"&gt;="&amp;$H$3),0))</f>
        <v>0</v>
      </c>
      <c r="W314" s="15" t="str">
        <f aca="false">IF(T314=0,"Win-Back","Active")</f>
        <v>Active</v>
      </c>
      <c r="X314" s="20" t="n">
        <f aca="false">IF(T314=0,0,IF(T314&gt;=$H$3,ROUND(T314*$D$3/SUMIF($T$5:$T$999,"&gt;="&amp;$H$3),0),ROUNDUP(T314*$D$3/SUMIF($T$5:$T$999,"&gt;="&amp;$H$3),0)))</f>
        <v>1</v>
      </c>
      <c r="Y314" s="21" t="n">
        <v>1</v>
      </c>
      <c r="Z314" s="16" t="n">
        <f aca="false">IF(X314=0,"",X314-Y314)</f>
        <v>0</v>
      </c>
      <c r="AA314" s="22" t="n">
        <f aca="false">IFERROR(Y314/X314,"")</f>
        <v>1</v>
      </c>
      <c r="AB314" s="16" t="n">
        <v>0</v>
      </c>
      <c r="AC314" s="21"/>
    </row>
    <row r="315" customFormat="false" ht="15" hidden="false" customHeight="true" outlineLevel="0" collapsed="false">
      <c r="A315" s="15" t="s">
        <v>3318</v>
      </c>
      <c r="B315" s="15" t="s">
        <v>3319</v>
      </c>
      <c r="C315" s="15" t="s">
        <v>3320</v>
      </c>
      <c r="D315" s="15" t="s">
        <v>3321</v>
      </c>
      <c r="E315" s="15" t="s">
        <v>3322</v>
      </c>
      <c r="F315" s="15" t="s">
        <v>3323</v>
      </c>
      <c r="G315" s="15" t="s">
        <v>3324</v>
      </c>
      <c r="H315" s="15" t="s">
        <v>3325</v>
      </c>
      <c r="I315" s="15"/>
      <c r="J315" s="15" t="s">
        <v>3326</v>
      </c>
      <c r="K315" s="15" t="s">
        <v>70</v>
      </c>
      <c r="L315" s="15" t="s">
        <v>3327</v>
      </c>
      <c r="M315" s="15" t="s">
        <v>3328</v>
      </c>
      <c r="N315" s="15" t="s">
        <v>73</v>
      </c>
      <c r="O315" s="16" t="n">
        <v>0</v>
      </c>
      <c r="P315" s="16" t="n">
        <v>2</v>
      </c>
      <c r="Q315" s="16" t="n">
        <v>0</v>
      </c>
      <c r="R315" s="16" t="n">
        <v>0</v>
      </c>
      <c r="S315" s="16" t="n">
        <v>2</v>
      </c>
      <c r="T315" s="17" t="n">
        <f aca="false">AVERAGE(O315:Q315)</f>
        <v>0.666666666666667</v>
      </c>
      <c r="U315" s="18" t="str">
        <f aca="false">IF(T315&gt;=$H$3,"Eligible","Not Eligible")</f>
        <v>Not Eligible</v>
      </c>
      <c r="V315" s="19" t="n">
        <f aca="false">IF(T315&lt;$H$3,0,IFERROR(T315/SUMIF($T$5:$T$999,"&gt;="&amp;$H$3),0))</f>
        <v>0</v>
      </c>
      <c r="W315" s="15" t="str">
        <f aca="false">IF(T315=0,"Win-Back","Active")</f>
        <v>Active</v>
      </c>
      <c r="X315" s="20" t="n">
        <f aca="false">IF(T315=0,0,IF(T315&gt;=$H$3,ROUND(T315*$D$3/SUMIF($T$5:$T$999,"&gt;="&amp;$H$3),0),ROUNDUP(T315*$D$3/SUMIF($T$5:$T$999,"&gt;="&amp;$H$3),0)))</f>
        <v>1</v>
      </c>
      <c r="Y315" s="21"/>
      <c r="Z315" s="16" t="n">
        <f aca="false">IF(X315=0,"",X315-Y315)</f>
        <v>1</v>
      </c>
      <c r="AA315" s="22" t="n">
        <f aca="false">IFERROR(Y315/X315,"")</f>
        <v>0</v>
      </c>
      <c r="AB315" s="16" t="n">
        <v>0</v>
      </c>
      <c r="AC315" s="21"/>
    </row>
    <row r="316" customFormat="false" ht="15" hidden="false" customHeight="true" outlineLevel="0" collapsed="false">
      <c r="A316" s="15" t="s">
        <v>3329</v>
      </c>
      <c r="B316" s="15" t="s">
        <v>3330</v>
      </c>
      <c r="C316" s="15" t="s">
        <v>3331</v>
      </c>
      <c r="D316" s="15" t="s">
        <v>3332</v>
      </c>
      <c r="E316" s="15" t="s">
        <v>3333</v>
      </c>
      <c r="F316" s="15" t="s">
        <v>3334</v>
      </c>
      <c r="G316" s="15" t="s">
        <v>3335</v>
      </c>
      <c r="H316" s="15" t="s">
        <v>3336</v>
      </c>
      <c r="I316" s="15"/>
      <c r="J316" s="15" t="s">
        <v>1300</v>
      </c>
      <c r="K316" s="15" t="s">
        <v>368</v>
      </c>
      <c r="L316" s="15" t="s">
        <v>3337</v>
      </c>
      <c r="M316" s="15" t="s">
        <v>3338</v>
      </c>
      <c r="N316" s="15" t="s">
        <v>73</v>
      </c>
      <c r="O316" s="16" t="n">
        <v>0</v>
      </c>
      <c r="P316" s="16" t="n">
        <v>2</v>
      </c>
      <c r="Q316" s="16" t="n">
        <v>0</v>
      </c>
      <c r="R316" s="16" t="n">
        <v>0</v>
      </c>
      <c r="S316" s="16" t="n">
        <v>2</v>
      </c>
      <c r="T316" s="17" t="n">
        <f aca="false">AVERAGE(O316:Q316)</f>
        <v>0.666666666666667</v>
      </c>
      <c r="U316" s="18" t="str">
        <f aca="false">IF(T316&gt;=$H$3,"Eligible","Not Eligible")</f>
        <v>Not Eligible</v>
      </c>
      <c r="V316" s="19" t="n">
        <f aca="false">IF(T316&lt;$H$3,0,IFERROR(T316/SUMIF($T$5:$T$999,"&gt;="&amp;$H$3),0))</f>
        <v>0</v>
      </c>
      <c r="W316" s="15" t="str">
        <f aca="false">IF(T316=0,"Win-Back","Active")</f>
        <v>Active</v>
      </c>
      <c r="X316" s="20" t="n">
        <f aca="false">IF(T316=0,0,IF(T316&gt;=$H$3,ROUND(T316*$D$3/SUMIF($T$5:$T$999,"&gt;="&amp;$H$3),0),ROUNDUP(T316*$D$3/SUMIF($T$5:$T$999,"&gt;="&amp;$H$3),0)))</f>
        <v>1</v>
      </c>
      <c r="Y316" s="21" t="n">
        <v>1</v>
      </c>
      <c r="Z316" s="16" t="n">
        <f aca="false">IF(X316=0,"",X316-Y316)</f>
        <v>0</v>
      </c>
      <c r="AA316" s="22" t="n">
        <f aca="false">IFERROR(Y316/X316,"")</f>
        <v>1</v>
      </c>
      <c r="AB316" s="16" t="n">
        <v>0</v>
      </c>
      <c r="AC316" s="21"/>
    </row>
    <row r="317" customFormat="false" ht="15" hidden="false" customHeight="true" outlineLevel="0" collapsed="false">
      <c r="A317" s="15" t="s">
        <v>3339</v>
      </c>
      <c r="B317" s="15" t="s">
        <v>3340</v>
      </c>
      <c r="C317" s="15" t="s">
        <v>3341</v>
      </c>
      <c r="D317" s="15" t="s">
        <v>3342</v>
      </c>
      <c r="E317" s="15" t="s">
        <v>3343</v>
      </c>
      <c r="F317" s="15" t="s">
        <v>3344</v>
      </c>
      <c r="G317" s="15" t="s">
        <v>3345</v>
      </c>
      <c r="H317" s="15" t="s">
        <v>3346</v>
      </c>
      <c r="I317" s="15"/>
      <c r="J317" s="15" t="s">
        <v>809</v>
      </c>
      <c r="K317" s="15" t="s">
        <v>735</v>
      </c>
      <c r="L317" s="15" t="s">
        <v>3347</v>
      </c>
      <c r="M317" s="15" t="s">
        <v>3348</v>
      </c>
      <c r="N317" s="15" t="s">
        <v>73</v>
      </c>
      <c r="O317" s="16" t="n">
        <v>2</v>
      </c>
      <c r="P317" s="16" t="n">
        <v>0</v>
      </c>
      <c r="Q317" s="16" t="n">
        <v>0</v>
      </c>
      <c r="R317" s="16" t="n">
        <v>0</v>
      </c>
      <c r="S317" s="16" t="n">
        <v>2</v>
      </c>
      <c r="T317" s="17" t="n">
        <f aca="false">AVERAGE(O317:Q317)</f>
        <v>0.666666666666667</v>
      </c>
      <c r="U317" s="18" t="str">
        <f aca="false">IF(T317&gt;=$H$3,"Eligible","Not Eligible")</f>
        <v>Not Eligible</v>
      </c>
      <c r="V317" s="19" t="n">
        <f aca="false">IF(T317&lt;$H$3,0,IFERROR(T317/SUMIF($T$5:$T$999,"&gt;="&amp;$H$3),0))</f>
        <v>0</v>
      </c>
      <c r="W317" s="15" t="str">
        <f aca="false">IF(T317=0,"Win-Back","Active")</f>
        <v>Active</v>
      </c>
      <c r="X317" s="20" t="n">
        <f aca="false">IF(T317=0,0,IF(T317&gt;=$H$3,ROUND(T317*$D$3/SUMIF($T$5:$T$999,"&gt;="&amp;$H$3),0),ROUNDUP(T317*$D$3/SUMIF($T$5:$T$999,"&gt;="&amp;$H$3),0)))</f>
        <v>1</v>
      </c>
      <c r="Y317" s="21"/>
      <c r="Z317" s="16" t="n">
        <f aca="false">IF(X317=0,"",X317-Y317)</f>
        <v>1</v>
      </c>
      <c r="AA317" s="22" t="n">
        <f aca="false">IFERROR(Y317/X317,"")</f>
        <v>0</v>
      </c>
      <c r="AB317" s="16" t="n">
        <v>0</v>
      </c>
      <c r="AC317" s="21"/>
    </row>
    <row r="318" customFormat="false" ht="15" hidden="false" customHeight="true" outlineLevel="0" collapsed="false">
      <c r="A318" s="15" t="s">
        <v>3349</v>
      </c>
      <c r="B318" s="15" t="s">
        <v>3350</v>
      </c>
      <c r="C318" s="15" t="s">
        <v>3351</v>
      </c>
      <c r="D318" s="15" t="s">
        <v>3352</v>
      </c>
      <c r="E318" s="15" t="s">
        <v>3353</v>
      </c>
      <c r="F318" s="15" t="s">
        <v>3354</v>
      </c>
      <c r="G318" s="15" t="s">
        <v>3355</v>
      </c>
      <c r="H318" s="15" t="s">
        <v>3356</v>
      </c>
      <c r="I318" s="15" t="s">
        <v>3357</v>
      </c>
      <c r="J318" s="15" t="s">
        <v>991</v>
      </c>
      <c r="K318" s="15" t="s">
        <v>368</v>
      </c>
      <c r="L318" s="15" t="s">
        <v>3358</v>
      </c>
      <c r="M318" s="15" t="s">
        <v>3359</v>
      </c>
      <c r="N318" s="15" t="s">
        <v>73</v>
      </c>
      <c r="O318" s="16" t="n">
        <v>0</v>
      </c>
      <c r="P318" s="16" t="n">
        <v>1</v>
      </c>
      <c r="Q318" s="16" t="n">
        <v>1</v>
      </c>
      <c r="R318" s="16" t="n">
        <v>0</v>
      </c>
      <c r="S318" s="16" t="n">
        <v>2</v>
      </c>
      <c r="T318" s="17" t="n">
        <f aca="false">AVERAGE(O318:Q318)</f>
        <v>0.666666666666667</v>
      </c>
      <c r="U318" s="18" t="str">
        <f aca="false">IF(T318&gt;=$H$3,"Eligible","Not Eligible")</f>
        <v>Not Eligible</v>
      </c>
      <c r="V318" s="19" t="n">
        <f aca="false">IF(T318&lt;$H$3,0,IFERROR(T318/SUMIF($T$5:$T$999,"&gt;="&amp;$H$3),0))</f>
        <v>0</v>
      </c>
      <c r="W318" s="15" t="str">
        <f aca="false">IF(T318=0,"Win-Back","Active")</f>
        <v>Active</v>
      </c>
      <c r="X318" s="20" t="n">
        <f aca="false">IF(T318=0,0,IF(T318&gt;=$H$3,ROUND(T318*$D$3/SUMIF($T$5:$T$999,"&gt;="&amp;$H$3),0),ROUNDUP(T318*$D$3/SUMIF($T$5:$T$999,"&gt;="&amp;$H$3),0)))</f>
        <v>1</v>
      </c>
      <c r="Y318" s="21" t="n">
        <v>1</v>
      </c>
      <c r="Z318" s="16" t="n">
        <f aca="false">IF(X318=0,"",X318-Y318)</f>
        <v>0</v>
      </c>
      <c r="AA318" s="22" t="n">
        <f aca="false">IFERROR(Y318/X318,"")</f>
        <v>1</v>
      </c>
      <c r="AB318" s="16" t="n">
        <v>0</v>
      </c>
      <c r="AC318" s="21"/>
    </row>
    <row r="319" customFormat="false" ht="15" hidden="false" customHeight="true" outlineLevel="0" collapsed="false">
      <c r="A319" s="15" t="s">
        <v>3360</v>
      </c>
      <c r="B319" s="15" t="s">
        <v>3361</v>
      </c>
      <c r="C319" s="15" t="s">
        <v>3362</v>
      </c>
      <c r="D319" s="15" t="s">
        <v>3363</v>
      </c>
      <c r="E319" s="15" t="s">
        <v>3364</v>
      </c>
      <c r="F319" s="15" t="s">
        <v>3365</v>
      </c>
      <c r="G319" s="15" t="s">
        <v>3366</v>
      </c>
      <c r="H319" s="15" t="s">
        <v>3367</v>
      </c>
      <c r="I319" s="15"/>
      <c r="J319" s="15" t="s">
        <v>3368</v>
      </c>
      <c r="K319" s="15" t="s">
        <v>1890</v>
      </c>
      <c r="L319" s="15" t="s">
        <v>3369</v>
      </c>
      <c r="M319" s="15" t="s">
        <v>3370</v>
      </c>
      <c r="N319" s="15" t="s">
        <v>73</v>
      </c>
      <c r="O319" s="16" t="n">
        <v>2</v>
      </c>
      <c r="P319" s="16" t="n">
        <v>0</v>
      </c>
      <c r="Q319" s="16" t="n">
        <v>0</v>
      </c>
      <c r="R319" s="16" t="n">
        <v>0</v>
      </c>
      <c r="S319" s="16" t="n">
        <v>2</v>
      </c>
      <c r="T319" s="17" t="n">
        <f aca="false">AVERAGE(O319:Q319)</f>
        <v>0.666666666666667</v>
      </c>
      <c r="U319" s="18" t="str">
        <f aca="false">IF(T319&gt;=$H$3,"Eligible","Not Eligible")</f>
        <v>Not Eligible</v>
      </c>
      <c r="V319" s="19" t="n">
        <f aca="false">IF(T319&lt;$H$3,0,IFERROR(T319/SUMIF($T$5:$T$999,"&gt;="&amp;$H$3),0))</f>
        <v>0</v>
      </c>
      <c r="W319" s="15" t="str">
        <f aca="false">IF(T319=0,"Win-Back","Active")</f>
        <v>Active</v>
      </c>
      <c r="X319" s="20" t="n">
        <f aca="false">IF(T319=0,0,IF(T319&gt;=$H$3,ROUND(T319*$D$3/SUMIF($T$5:$T$999,"&gt;="&amp;$H$3),0),ROUNDUP(T319*$D$3/SUMIF($T$5:$T$999,"&gt;="&amp;$H$3),0)))</f>
        <v>1</v>
      </c>
      <c r="Y319" s="21"/>
      <c r="Z319" s="16" t="n">
        <f aca="false">IF(X319=0,"",X319-Y319)</f>
        <v>1</v>
      </c>
      <c r="AA319" s="22" t="n">
        <f aca="false">IFERROR(Y319/X319,"")</f>
        <v>0</v>
      </c>
      <c r="AB319" s="16" t="n">
        <v>0</v>
      </c>
      <c r="AC319" s="21"/>
    </row>
    <row r="320" customFormat="false" ht="15" hidden="false" customHeight="true" outlineLevel="0" collapsed="false">
      <c r="A320" s="15" t="s">
        <v>3371</v>
      </c>
      <c r="B320" s="15" t="s">
        <v>3372</v>
      </c>
      <c r="C320" s="15" t="s">
        <v>3373</v>
      </c>
      <c r="D320" s="15" t="s">
        <v>1183</v>
      </c>
      <c r="E320" s="15" t="s">
        <v>3374</v>
      </c>
      <c r="F320" s="15" t="s">
        <v>1185</v>
      </c>
      <c r="G320" s="15" t="s">
        <v>1186</v>
      </c>
      <c r="H320" s="15" t="s">
        <v>3375</v>
      </c>
      <c r="I320" s="15" t="s">
        <v>3376</v>
      </c>
      <c r="J320" s="15" t="s">
        <v>3377</v>
      </c>
      <c r="K320" s="15" t="s">
        <v>615</v>
      </c>
      <c r="L320" s="15" t="s">
        <v>3378</v>
      </c>
      <c r="M320" s="15" t="s">
        <v>1190</v>
      </c>
      <c r="N320" s="15" t="s">
        <v>73</v>
      </c>
      <c r="O320" s="16" t="n">
        <v>0</v>
      </c>
      <c r="P320" s="16" t="n">
        <v>2</v>
      </c>
      <c r="Q320" s="16" t="n">
        <v>0</v>
      </c>
      <c r="R320" s="16" t="n">
        <v>0</v>
      </c>
      <c r="S320" s="16" t="n">
        <v>2</v>
      </c>
      <c r="T320" s="17" t="n">
        <f aca="false">AVERAGE(O320:Q320)</f>
        <v>0.666666666666667</v>
      </c>
      <c r="U320" s="18" t="str">
        <f aca="false">IF(T320&gt;=$H$3,"Eligible","Not Eligible")</f>
        <v>Not Eligible</v>
      </c>
      <c r="V320" s="19" t="n">
        <f aca="false">IF(T320&lt;$H$3,0,IFERROR(T320/SUMIF($T$5:$T$999,"&gt;="&amp;$H$3),0))</f>
        <v>0</v>
      </c>
      <c r="W320" s="15" t="str">
        <f aca="false">IF(T320=0,"Win-Back","Active")</f>
        <v>Active</v>
      </c>
      <c r="X320" s="20" t="n">
        <f aca="false">IF(T320=0,0,IF(T320&gt;=$H$3,ROUND(T320*$D$3/SUMIF($T$5:$T$999,"&gt;="&amp;$H$3),0),ROUNDUP(T320*$D$3/SUMIF($T$5:$T$999,"&gt;="&amp;$H$3),0)))</f>
        <v>1</v>
      </c>
      <c r="Y320" s="21"/>
      <c r="Z320" s="16" t="n">
        <f aca="false">IF(X320=0,"",X320-Y320)</f>
        <v>1</v>
      </c>
      <c r="AA320" s="22" t="n">
        <f aca="false">IFERROR(Y320/X320,"")</f>
        <v>0</v>
      </c>
      <c r="AB320" s="16" t="n">
        <v>0</v>
      </c>
      <c r="AC320" s="21"/>
    </row>
    <row r="321" customFormat="false" ht="15" hidden="false" customHeight="true" outlineLevel="0" collapsed="false">
      <c r="A321" s="15" t="s">
        <v>3379</v>
      </c>
      <c r="B321" s="15" t="s">
        <v>3380</v>
      </c>
      <c r="C321" s="15" t="s">
        <v>3381</v>
      </c>
      <c r="D321" s="15" t="s">
        <v>3382</v>
      </c>
      <c r="E321" s="15" t="s">
        <v>1726</v>
      </c>
      <c r="F321" s="15" t="s">
        <v>3383</v>
      </c>
      <c r="G321" s="15" t="s">
        <v>3384</v>
      </c>
      <c r="H321" s="15" t="s">
        <v>3385</v>
      </c>
      <c r="I321" s="15" t="s">
        <v>3386</v>
      </c>
      <c r="J321" s="15" t="s">
        <v>3387</v>
      </c>
      <c r="K321" s="15" t="s">
        <v>1255</v>
      </c>
      <c r="L321" s="15" t="s">
        <v>3388</v>
      </c>
      <c r="M321" s="15" t="s">
        <v>3389</v>
      </c>
      <c r="N321" s="15" t="s">
        <v>73</v>
      </c>
      <c r="O321" s="16" t="n">
        <v>0</v>
      </c>
      <c r="P321" s="16" t="n">
        <v>0</v>
      </c>
      <c r="Q321" s="16" t="n">
        <v>2</v>
      </c>
      <c r="R321" s="16" t="n">
        <v>0</v>
      </c>
      <c r="S321" s="16" t="n">
        <v>2</v>
      </c>
      <c r="T321" s="17" t="n">
        <f aca="false">AVERAGE(O321:Q321)</f>
        <v>0.666666666666667</v>
      </c>
      <c r="U321" s="18" t="str">
        <f aca="false">IF(T321&gt;=$H$3,"Eligible","Not Eligible")</f>
        <v>Not Eligible</v>
      </c>
      <c r="V321" s="19" t="n">
        <f aca="false">IF(T321&lt;$H$3,0,IFERROR(T321/SUMIF($T$5:$T$999,"&gt;="&amp;$H$3),0))</f>
        <v>0</v>
      </c>
      <c r="W321" s="15" t="str">
        <f aca="false">IF(T321=0,"Win-Back","Active")</f>
        <v>Active</v>
      </c>
      <c r="X321" s="20" t="n">
        <f aca="false">IF(T321=0,0,IF(T321&gt;=$H$3,ROUND(T321*$D$3/SUMIF($T$5:$T$999,"&gt;="&amp;$H$3),0),ROUNDUP(T321*$D$3/SUMIF($T$5:$T$999,"&gt;="&amp;$H$3),0)))</f>
        <v>1</v>
      </c>
      <c r="Y321" s="21"/>
      <c r="Z321" s="16" t="n">
        <f aca="false">IF(X321=0,"",X321-Y321)</f>
        <v>1</v>
      </c>
      <c r="AA321" s="22" t="n">
        <f aca="false">IFERROR(Y321/X321,"")</f>
        <v>0</v>
      </c>
      <c r="AB321" s="16" t="n">
        <v>0</v>
      </c>
      <c r="AC321" s="21"/>
    </row>
    <row r="322" customFormat="false" ht="15" hidden="false" customHeight="true" outlineLevel="0" collapsed="false">
      <c r="A322" s="15" t="s">
        <v>3390</v>
      </c>
      <c r="B322" s="15" t="s">
        <v>3391</v>
      </c>
      <c r="C322" s="15" t="s">
        <v>3392</v>
      </c>
      <c r="D322" s="15" t="s">
        <v>3393</v>
      </c>
      <c r="E322" s="15" t="s">
        <v>3393</v>
      </c>
      <c r="F322" s="15" t="s">
        <v>3394</v>
      </c>
      <c r="G322" s="15" t="s">
        <v>3395</v>
      </c>
      <c r="H322" s="15" t="s">
        <v>3396</v>
      </c>
      <c r="I322" s="15"/>
      <c r="J322" s="15" t="s">
        <v>46</v>
      </c>
      <c r="K322" s="15" t="s">
        <v>47</v>
      </c>
      <c r="L322" s="15" t="s">
        <v>3397</v>
      </c>
      <c r="M322" s="15" t="s">
        <v>3398</v>
      </c>
      <c r="N322" s="15" t="s">
        <v>73</v>
      </c>
      <c r="O322" s="16" t="n">
        <v>0</v>
      </c>
      <c r="P322" s="16" t="n">
        <v>2</v>
      </c>
      <c r="Q322" s="16" t="n">
        <v>0</v>
      </c>
      <c r="R322" s="16" t="n">
        <v>0</v>
      </c>
      <c r="S322" s="16" t="n">
        <v>2</v>
      </c>
      <c r="T322" s="17" t="n">
        <f aca="false">AVERAGE(O322:Q322)</f>
        <v>0.666666666666667</v>
      </c>
      <c r="U322" s="18" t="str">
        <f aca="false">IF(T322&gt;=$H$3,"Eligible","Not Eligible")</f>
        <v>Not Eligible</v>
      </c>
      <c r="V322" s="19" t="n">
        <f aca="false">IF(T322&lt;$H$3,0,IFERROR(T322/SUMIF($T$5:$T$999,"&gt;="&amp;$H$3),0))</f>
        <v>0</v>
      </c>
      <c r="W322" s="15" t="str">
        <f aca="false">IF(T322=0,"Win-Back","Active")</f>
        <v>Active</v>
      </c>
      <c r="X322" s="20" t="n">
        <f aca="false">IF(T322=0,0,IF(T322&gt;=$H$3,ROUND(T322*$D$3/SUMIF($T$5:$T$999,"&gt;="&amp;$H$3),0),ROUNDUP(T322*$D$3/SUMIF($T$5:$T$999,"&gt;="&amp;$H$3),0)))</f>
        <v>1</v>
      </c>
      <c r="Y322" s="21"/>
      <c r="Z322" s="16" t="n">
        <f aca="false">IF(X322=0,"",X322-Y322)</f>
        <v>1</v>
      </c>
      <c r="AA322" s="22" t="n">
        <f aca="false">IFERROR(Y322/X322,"")</f>
        <v>0</v>
      </c>
      <c r="AB322" s="16" t="n">
        <v>0</v>
      </c>
      <c r="AC322" s="21"/>
    </row>
    <row r="323" customFormat="false" ht="15" hidden="false" customHeight="true" outlineLevel="0" collapsed="false">
      <c r="A323" s="15" t="s">
        <v>3399</v>
      </c>
      <c r="B323" s="15" t="s">
        <v>3400</v>
      </c>
      <c r="C323" s="15" t="s">
        <v>3401</v>
      </c>
      <c r="D323" s="15" t="s">
        <v>3402</v>
      </c>
      <c r="E323" s="15" t="s">
        <v>3403</v>
      </c>
      <c r="F323" s="15" t="s">
        <v>3404</v>
      </c>
      <c r="G323" s="15" t="s">
        <v>3405</v>
      </c>
      <c r="H323" s="15" t="s">
        <v>3406</v>
      </c>
      <c r="I323" s="15" t="s">
        <v>3407</v>
      </c>
      <c r="J323" s="15" t="s">
        <v>3408</v>
      </c>
      <c r="K323" s="15" t="s">
        <v>1255</v>
      </c>
      <c r="L323" s="15" t="s">
        <v>3409</v>
      </c>
      <c r="M323" s="15" t="s">
        <v>3410</v>
      </c>
      <c r="N323" s="15" t="s">
        <v>73</v>
      </c>
      <c r="O323" s="16" t="n">
        <v>0</v>
      </c>
      <c r="P323" s="16" t="n">
        <v>0</v>
      </c>
      <c r="Q323" s="16" t="n">
        <v>2</v>
      </c>
      <c r="R323" s="16" t="n">
        <v>0</v>
      </c>
      <c r="S323" s="16" t="n">
        <v>2</v>
      </c>
      <c r="T323" s="17" t="n">
        <f aca="false">AVERAGE(O323:Q323)</f>
        <v>0.666666666666667</v>
      </c>
      <c r="U323" s="18" t="str">
        <f aca="false">IF(T323&gt;=$H$3,"Eligible","Not Eligible")</f>
        <v>Not Eligible</v>
      </c>
      <c r="V323" s="19" t="n">
        <f aca="false">IF(T323&lt;$H$3,0,IFERROR(T323/SUMIF($T$5:$T$999,"&gt;="&amp;$H$3),0))</f>
        <v>0</v>
      </c>
      <c r="W323" s="15" t="str">
        <f aca="false">IF(T323=0,"Win-Back","Active")</f>
        <v>Active</v>
      </c>
      <c r="X323" s="20" t="n">
        <f aca="false">IF(T323=0,0,IF(T323&gt;=$H$3,ROUND(T323*$D$3/SUMIF($T$5:$T$999,"&gt;="&amp;$H$3),0),ROUNDUP(T323*$D$3/SUMIF($T$5:$T$999,"&gt;="&amp;$H$3),0)))</f>
        <v>1</v>
      </c>
      <c r="Y323" s="21"/>
      <c r="Z323" s="16" t="n">
        <f aca="false">IF(X323=0,"",X323-Y323)</f>
        <v>1</v>
      </c>
      <c r="AA323" s="22" t="n">
        <f aca="false">IFERROR(Y323/X323,"")</f>
        <v>0</v>
      </c>
      <c r="AB323" s="16" t="n">
        <v>0</v>
      </c>
      <c r="AC323" s="21"/>
    </row>
    <row r="324" customFormat="false" ht="15" hidden="false" customHeight="true" outlineLevel="0" collapsed="false">
      <c r="A324" s="15" t="s">
        <v>3411</v>
      </c>
      <c r="B324" s="15" t="s">
        <v>3412</v>
      </c>
      <c r="C324" s="15" t="s">
        <v>3413</v>
      </c>
      <c r="D324" s="15" t="s">
        <v>3414</v>
      </c>
      <c r="E324" s="15" t="s">
        <v>3415</v>
      </c>
      <c r="F324" s="15" t="s">
        <v>3416</v>
      </c>
      <c r="G324" s="15" t="s">
        <v>3417</v>
      </c>
      <c r="H324" s="15" t="s">
        <v>3418</v>
      </c>
      <c r="I324" s="15"/>
      <c r="J324" s="15" t="s">
        <v>3419</v>
      </c>
      <c r="K324" s="15" t="s">
        <v>368</v>
      </c>
      <c r="L324" s="15" t="s">
        <v>369</v>
      </c>
      <c r="M324" s="15" t="s">
        <v>3420</v>
      </c>
      <c r="N324" s="15" t="s">
        <v>73</v>
      </c>
      <c r="O324" s="16" t="n">
        <v>0</v>
      </c>
      <c r="P324" s="16" t="n">
        <v>0</v>
      </c>
      <c r="Q324" s="16" t="n">
        <v>2</v>
      </c>
      <c r="R324" s="16" t="n">
        <v>0</v>
      </c>
      <c r="S324" s="16" t="n">
        <v>2</v>
      </c>
      <c r="T324" s="17" t="n">
        <f aca="false">AVERAGE(O324:Q324)</f>
        <v>0.666666666666667</v>
      </c>
      <c r="U324" s="18" t="str">
        <f aca="false">IF(T324&gt;=$H$3,"Eligible","Not Eligible")</f>
        <v>Not Eligible</v>
      </c>
      <c r="V324" s="19" t="n">
        <f aca="false">IF(T324&lt;$H$3,0,IFERROR(T324/SUMIF($T$5:$T$999,"&gt;="&amp;$H$3),0))</f>
        <v>0</v>
      </c>
      <c r="W324" s="15" t="str">
        <f aca="false">IF(T324=0,"Win-Back","Active")</f>
        <v>Active</v>
      </c>
      <c r="X324" s="20" t="n">
        <f aca="false">IF(T324=0,0,IF(T324&gt;=$H$3,ROUND(T324*$D$3/SUMIF($T$5:$T$999,"&gt;="&amp;$H$3),0),ROUNDUP(T324*$D$3/SUMIF($T$5:$T$999,"&gt;="&amp;$H$3),0)))</f>
        <v>1</v>
      </c>
      <c r="Y324" s="21" t="n">
        <v>1</v>
      </c>
      <c r="Z324" s="16" t="n">
        <f aca="false">IF(X324=0,"",X324-Y324)</f>
        <v>0</v>
      </c>
      <c r="AA324" s="22" t="n">
        <f aca="false">IFERROR(Y324/X324,"")</f>
        <v>1</v>
      </c>
      <c r="AB324" s="16" t="n">
        <v>0</v>
      </c>
      <c r="AC324" s="21"/>
    </row>
    <row r="325" customFormat="false" ht="15" hidden="false" customHeight="true" outlineLevel="0" collapsed="false">
      <c r="A325" s="15" t="s">
        <v>3421</v>
      </c>
      <c r="B325" s="15" t="s">
        <v>3422</v>
      </c>
      <c r="C325" s="15" t="s">
        <v>3423</v>
      </c>
      <c r="D325" s="15" t="s">
        <v>3424</v>
      </c>
      <c r="E325" s="15" t="s">
        <v>3425</v>
      </c>
      <c r="F325" s="15" t="s">
        <v>3426</v>
      </c>
      <c r="G325" s="15" t="s">
        <v>3427</v>
      </c>
      <c r="H325" s="15" t="s">
        <v>3428</v>
      </c>
      <c r="I325" s="15"/>
      <c r="J325" s="15" t="s">
        <v>367</v>
      </c>
      <c r="K325" s="15" t="s">
        <v>368</v>
      </c>
      <c r="L325" s="15" t="s">
        <v>369</v>
      </c>
      <c r="M325" s="15" t="s">
        <v>3429</v>
      </c>
      <c r="N325" s="15" t="s">
        <v>73</v>
      </c>
      <c r="O325" s="16" t="n">
        <v>2</v>
      </c>
      <c r="P325" s="16" t="n">
        <v>0</v>
      </c>
      <c r="Q325" s="16" t="n">
        <v>0</v>
      </c>
      <c r="R325" s="16" t="n">
        <v>0</v>
      </c>
      <c r="S325" s="16" t="n">
        <v>2</v>
      </c>
      <c r="T325" s="17" t="n">
        <f aca="false">AVERAGE(O325:Q325)</f>
        <v>0.666666666666667</v>
      </c>
      <c r="U325" s="18" t="str">
        <f aca="false">IF(T325&gt;=$H$3,"Eligible","Not Eligible")</f>
        <v>Not Eligible</v>
      </c>
      <c r="V325" s="19" t="n">
        <f aca="false">IF(T325&lt;$H$3,0,IFERROR(T325/SUMIF($T$5:$T$999,"&gt;="&amp;$H$3),0))</f>
        <v>0</v>
      </c>
      <c r="W325" s="15" t="str">
        <f aca="false">IF(T325=0,"Win-Back","Active")</f>
        <v>Active</v>
      </c>
      <c r="X325" s="20" t="n">
        <f aca="false">IF(T325=0,0,IF(T325&gt;=$H$3,ROUND(T325*$D$3/SUMIF($T$5:$T$999,"&gt;="&amp;$H$3),0),ROUNDUP(T325*$D$3/SUMIF($T$5:$T$999,"&gt;="&amp;$H$3),0)))</f>
        <v>1</v>
      </c>
      <c r="Y325" s="21" t="n">
        <v>1</v>
      </c>
      <c r="Z325" s="16" t="n">
        <f aca="false">IF(X325=0,"",X325-Y325)</f>
        <v>0</v>
      </c>
      <c r="AA325" s="22" t="n">
        <f aca="false">IFERROR(Y325/X325,"")</f>
        <v>1</v>
      </c>
      <c r="AB325" s="16" t="n">
        <v>0</v>
      </c>
      <c r="AC325" s="21"/>
    </row>
    <row r="326" customFormat="false" ht="15" hidden="false" customHeight="true" outlineLevel="0" collapsed="false">
      <c r="A326" s="15" t="s">
        <v>3430</v>
      </c>
      <c r="B326" s="15" t="s">
        <v>3431</v>
      </c>
      <c r="C326" s="15" t="s">
        <v>3432</v>
      </c>
      <c r="D326" s="15" t="s">
        <v>3433</v>
      </c>
      <c r="E326" s="15" t="s">
        <v>3434</v>
      </c>
      <c r="F326" s="15" t="s">
        <v>3435</v>
      </c>
      <c r="G326" s="15" t="s">
        <v>3436</v>
      </c>
      <c r="H326" s="15" t="s">
        <v>3437</v>
      </c>
      <c r="I326" s="15" t="s">
        <v>1997</v>
      </c>
      <c r="J326" s="15" t="s">
        <v>3438</v>
      </c>
      <c r="K326" s="15" t="s">
        <v>1418</v>
      </c>
      <c r="L326" s="15" t="s">
        <v>3439</v>
      </c>
      <c r="M326" s="15" t="s">
        <v>3440</v>
      </c>
      <c r="N326" s="15" t="s">
        <v>73</v>
      </c>
      <c r="O326" s="16" t="n">
        <v>1</v>
      </c>
      <c r="P326" s="16" t="n">
        <v>1</v>
      </c>
      <c r="Q326" s="16" t="n">
        <v>0</v>
      </c>
      <c r="R326" s="16" t="n">
        <v>0</v>
      </c>
      <c r="S326" s="16" t="n">
        <v>2</v>
      </c>
      <c r="T326" s="17" t="n">
        <f aca="false">AVERAGE(O326:Q326)</f>
        <v>0.666666666666667</v>
      </c>
      <c r="U326" s="18" t="str">
        <f aca="false">IF(T326&gt;=$H$3,"Eligible","Not Eligible")</f>
        <v>Not Eligible</v>
      </c>
      <c r="V326" s="19" t="n">
        <f aca="false">IF(T326&lt;$H$3,0,IFERROR(T326/SUMIF($T$5:$T$999,"&gt;="&amp;$H$3),0))</f>
        <v>0</v>
      </c>
      <c r="W326" s="15" t="str">
        <f aca="false">IF(T326=0,"Win-Back","Active")</f>
        <v>Active</v>
      </c>
      <c r="X326" s="20" t="n">
        <f aca="false">IF(T326=0,0,IF(T326&gt;=$H$3,ROUND(T326*$D$3/SUMIF($T$5:$T$999,"&gt;="&amp;$H$3),0),ROUNDUP(T326*$D$3/SUMIF($T$5:$T$999,"&gt;="&amp;$H$3),0)))</f>
        <v>1</v>
      </c>
      <c r="Y326" s="21" t="n">
        <v>2</v>
      </c>
      <c r="Z326" s="16" t="n">
        <f aca="false">IF(X326=0,"",X326-Y326)</f>
        <v>-1</v>
      </c>
      <c r="AA326" s="22" t="n">
        <f aca="false">IFERROR(Y326/X326,"")</f>
        <v>2</v>
      </c>
      <c r="AB326" s="16" t="n">
        <v>0</v>
      </c>
      <c r="AC326" s="21"/>
    </row>
    <row r="327" customFormat="false" ht="15" hidden="false" customHeight="true" outlineLevel="0" collapsed="false">
      <c r="A327" s="15" t="s">
        <v>3441</v>
      </c>
      <c r="B327" s="15" t="s">
        <v>3442</v>
      </c>
      <c r="C327" s="15" t="s">
        <v>3443</v>
      </c>
      <c r="D327" s="15" t="s">
        <v>3444</v>
      </c>
      <c r="E327" s="15" t="s">
        <v>3445</v>
      </c>
      <c r="F327" s="15" t="s">
        <v>3446</v>
      </c>
      <c r="G327" s="15" t="s">
        <v>3447</v>
      </c>
      <c r="H327" s="15" t="s">
        <v>3448</v>
      </c>
      <c r="I327" s="15" t="s">
        <v>3449</v>
      </c>
      <c r="J327" s="15" t="s">
        <v>3450</v>
      </c>
      <c r="K327" s="15" t="s">
        <v>343</v>
      </c>
      <c r="L327" s="15" t="s">
        <v>3451</v>
      </c>
      <c r="M327" s="15" t="s">
        <v>3452</v>
      </c>
      <c r="N327" s="15" t="s">
        <v>73</v>
      </c>
      <c r="O327" s="16" t="n">
        <v>0</v>
      </c>
      <c r="P327" s="16" t="n">
        <v>2</v>
      </c>
      <c r="Q327" s="16" t="n">
        <v>0</v>
      </c>
      <c r="R327" s="16" t="n">
        <v>0</v>
      </c>
      <c r="S327" s="16" t="n">
        <v>2</v>
      </c>
      <c r="T327" s="17" t="n">
        <f aca="false">AVERAGE(O327:Q327)</f>
        <v>0.666666666666667</v>
      </c>
      <c r="U327" s="18" t="str">
        <f aca="false">IF(T327&gt;=$H$3,"Eligible","Not Eligible")</f>
        <v>Not Eligible</v>
      </c>
      <c r="V327" s="19" t="n">
        <f aca="false">IF(T327&lt;$H$3,0,IFERROR(T327/SUMIF($T$5:$T$999,"&gt;="&amp;$H$3),0))</f>
        <v>0</v>
      </c>
      <c r="W327" s="15" t="str">
        <f aca="false">IF(T327=0,"Win-Back","Active")</f>
        <v>Active</v>
      </c>
      <c r="X327" s="20" t="n">
        <f aca="false">IF(T327=0,0,IF(T327&gt;=$H$3,ROUND(T327*$D$3/SUMIF($T$5:$T$999,"&gt;="&amp;$H$3),0),ROUNDUP(T327*$D$3/SUMIF($T$5:$T$999,"&gt;="&amp;$H$3),0)))</f>
        <v>1</v>
      </c>
      <c r="Y327" s="21" t="n">
        <v>1</v>
      </c>
      <c r="Z327" s="16" t="n">
        <f aca="false">IF(X327=0,"",X327-Y327)</f>
        <v>0</v>
      </c>
      <c r="AA327" s="22" t="n">
        <f aca="false">IFERROR(Y327/X327,"")</f>
        <v>1</v>
      </c>
      <c r="AB327" s="16" t="n">
        <v>0</v>
      </c>
      <c r="AC327" s="21" t="n">
        <v>2</v>
      </c>
    </row>
    <row r="328" customFormat="false" ht="15" hidden="false" customHeight="true" outlineLevel="0" collapsed="false">
      <c r="A328" s="15" t="s">
        <v>3453</v>
      </c>
      <c r="B328" s="15" t="s">
        <v>3454</v>
      </c>
      <c r="C328" s="15" t="s">
        <v>3455</v>
      </c>
      <c r="D328" s="15" t="s">
        <v>3456</v>
      </c>
      <c r="E328" s="15" t="s">
        <v>3457</v>
      </c>
      <c r="F328" s="15" t="s">
        <v>3458</v>
      </c>
      <c r="G328" s="15" t="s">
        <v>3459</v>
      </c>
      <c r="H328" s="15" t="s">
        <v>3460</v>
      </c>
      <c r="I328" s="15" t="s">
        <v>3461</v>
      </c>
      <c r="J328" s="15" t="s">
        <v>3462</v>
      </c>
      <c r="K328" s="15" t="s">
        <v>70</v>
      </c>
      <c r="L328" s="15" t="s">
        <v>3463</v>
      </c>
      <c r="M328" s="15" t="s">
        <v>3464</v>
      </c>
      <c r="N328" s="15" t="s">
        <v>73</v>
      </c>
      <c r="O328" s="16" t="n">
        <v>1</v>
      </c>
      <c r="P328" s="16" t="n">
        <v>0</v>
      </c>
      <c r="Q328" s="16" t="n">
        <v>1</v>
      </c>
      <c r="R328" s="16" t="n">
        <v>0</v>
      </c>
      <c r="S328" s="16" t="n">
        <v>2</v>
      </c>
      <c r="T328" s="17" t="n">
        <f aca="false">AVERAGE(O328:Q328)</f>
        <v>0.666666666666667</v>
      </c>
      <c r="U328" s="18" t="str">
        <f aca="false">IF(T328&gt;=$H$3,"Eligible","Not Eligible")</f>
        <v>Not Eligible</v>
      </c>
      <c r="V328" s="19" t="n">
        <f aca="false">IF(T328&lt;$H$3,0,IFERROR(T328/SUMIF($T$5:$T$999,"&gt;="&amp;$H$3),0))</f>
        <v>0</v>
      </c>
      <c r="W328" s="15" t="str">
        <f aca="false">IF(T328=0,"Win-Back","Active")</f>
        <v>Active</v>
      </c>
      <c r="X328" s="20" t="n">
        <f aca="false">IF(T328=0,0,IF(T328&gt;=$H$3,ROUND(T328*$D$3/SUMIF($T$5:$T$999,"&gt;="&amp;$H$3),0),ROUNDUP(T328*$D$3/SUMIF($T$5:$T$999,"&gt;="&amp;$H$3),0)))</f>
        <v>1</v>
      </c>
      <c r="Y328" s="21"/>
      <c r="Z328" s="16" t="n">
        <f aca="false">IF(X328=0,"",X328-Y328)</f>
        <v>1</v>
      </c>
      <c r="AA328" s="22" t="n">
        <f aca="false">IFERROR(Y328/X328,"")</f>
        <v>0</v>
      </c>
      <c r="AB328" s="16" t="n">
        <v>0</v>
      </c>
      <c r="AC328" s="21"/>
    </row>
    <row r="329" customFormat="false" ht="15" hidden="false" customHeight="true" outlineLevel="0" collapsed="false">
      <c r="A329" s="15" t="s">
        <v>3465</v>
      </c>
      <c r="B329" s="15" t="s">
        <v>3466</v>
      </c>
      <c r="C329" s="15" t="s">
        <v>3467</v>
      </c>
      <c r="D329" s="15" t="s">
        <v>3468</v>
      </c>
      <c r="E329" s="15" t="s">
        <v>3469</v>
      </c>
      <c r="F329" s="15" t="s">
        <v>3470</v>
      </c>
      <c r="G329" s="15" t="s">
        <v>3471</v>
      </c>
      <c r="H329" s="15" t="s">
        <v>3472</v>
      </c>
      <c r="I329" s="15" t="s">
        <v>3473</v>
      </c>
      <c r="J329" s="15" t="s">
        <v>3377</v>
      </c>
      <c r="K329" s="15" t="s">
        <v>615</v>
      </c>
      <c r="L329" s="15" t="s">
        <v>3378</v>
      </c>
      <c r="M329" s="15" t="s">
        <v>3474</v>
      </c>
      <c r="N329" s="15" t="s">
        <v>73</v>
      </c>
      <c r="O329" s="16" t="n">
        <v>0</v>
      </c>
      <c r="P329" s="16" t="n">
        <v>2</v>
      </c>
      <c r="Q329" s="16" t="n">
        <v>0</v>
      </c>
      <c r="R329" s="16" t="n">
        <v>0</v>
      </c>
      <c r="S329" s="16" t="n">
        <v>2</v>
      </c>
      <c r="T329" s="17" t="n">
        <f aca="false">AVERAGE(O329:Q329)</f>
        <v>0.666666666666667</v>
      </c>
      <c r="U329" s="18" t="str">
        <f aca="false">IF(T329&gt;=$H$3,"Eligible","Not Eligible")</f>
        <v>Not Eligible</v>
      </c>
      <c r="V329" s="19" t="n">
        <f aca="false">IF(T329&lt;$H$3,0,IFERROR(T329/SUMIF($T$5:$T$999,"&gt;="&amp;$H$3),0))</f>
        <v>0</v>
      </c>
      <c r="W329" s="15" t="str">
        <f aca="false">IF(T329=0,"Win-Back","Active")</f>
        <v>Active</v>
      </c>
      <c r="X329" s="20" t="n">
        <f aca="false">IF(T329=0,0,IF(T329&gt;=$H$3,ROUND(T329*$D$3/SUMIF($T$5:$T$999,"&gt;="&amp;$H$3),0),ROUNDUP(T329*$D$3/SUMIF($T$5:$T$999,"&gt;="&amp;$H$3),0)))</f>
        <v>1</v>
      </c>
      <c r="Y329" s="21"/>
      <c r="Z329" s="16" t="n">
        <f aca="false">IF(X329=0,"",X329-Y329)</f>
        <v>1</v>
      </c>
      <c r="AA329" s="22" t="n">
        <f aca="false">IFERROR(Y329/X329,"")</f>
        <v>0</v>
      </c>
      <c r="AB329" s="16" t="n">
        <v>0</v>
      </c>
      <c r="AC329" s="21"/>
    </row>
    <row r="330" customFormat="false" ht="15" hidden="false" customHeight="true" outlineLevel="0" collapsed="false">
      <c r="A330" s="15" t="s">
        <v>3475</v>
      </c>
      <c r="B330" s="15" t="s">
        <v>3476</v>
      </c>
      <c r="C330" s="15" t="s">
        <v>3477</v>
      </c>
      <c r="D330" s="15" t="s">
        <v>3478</v>
      </c>
      <c r="E330" s="15" t="s">
        <v>3479</v>
      </c>
      <c r="F330" s="15" t="s">
        <v>3480</v>
      </c>
      <c r="G330" s="15" t="s">
        <v>3481</v>
      </c>
      <c r="H330" s="15" t="s">
        <v>3482</v>
      </c>
      <c r="I330" s="15"/>
      <c r="J330" s="15" t="s">
        <v>2608</v>
      </c>
      <c r="K330" s="15" t="s">
        <v>70</v>
      </c>
      <c r="L330" s="15" t="s">
        <v>2609</v>
      </c>
      <c r="M330" s="15" t="s">
        <v>3483</v>
      </c>
      <c r="N330" s="15" t="s">
        <v>73</v>
      </c>
      <c r="O330" s="16" t="n">
        <v>1</v>
      </c>
      <c r="P330" s="16" t="n">
        <v>1</v>
      </c>
      <c r="Q330" s="16" t="n">
        <v>0</v>
      </c>
      <c r="R330" s="16" t="n">
        <v>0</v>
      </c>
      <c r="S330" s="16" t="n">
        <v>2</v>
      </c>
      <c r="T330" s="17" t="n">
        <f aca="false">AVERAGE(O330:Q330)</f>
        <v>0.666666666666667</v>
      </c>
      <c r="U330" s="18" t="str">
        <f aca="false">IF(T330&gt;=$H$3,"Eligible","Not Eligible")</f>
        <v>Not Eligible</v>
      </c>
      <c r="V330" s="19" t="n">
        <f aca="false">IF(T330&lt;$H$3,0,IFERROR(T330/SUMIF($T$5:$T$999,"&gt;="&amp;$H$3),0))</f>
        <v>0</v>
      </c>
      <c r="W330" s="15" t="str">
        <f aca="false">IF(T330=0,"Win-Back","Active")</f>
        <v>Active</v>
      </c>
      <c r="X330" s="20" t="n">
        <f aca="false">IF(T330=0,0,IF(T330&gt;=$H$3,ROUND(T330*$D$3/SUMIF($T$5:$T$999,"&gt;="&amp;$H$3),0),ROUNDUP(T330*$D$3/SUMIF($T$5:$T$999,"&gt;="&amp;$H$3),0)))</f>
        <v>1</v>
      </c>
      <c r="Y330" s="21" t="n">
        <v>2</v>
      </c>
      <c r="Z330" s="16" t="n">
        <f aca="false">IF(X330=0,"",X330-Y330)</f>
        <v>-1</v>
      </c>
      <c r="AA330" s="22" t="n">
        <f aca="false">IFERROR(Y330/X330,"")</f>
        <v>2</v>
      </c>
      <c r="AB330" s="16" t="n">
        <v>0</v>
      </c>
      <c r="AC330" s="21"/>
    </row>
    <row r="331" customFormat="false" ht="15" hidden="false" customHeight="true" outlineLevel="0" collapsed="false">
      <c r="A331" s="15" t="s">
        <v>3484</v>
      </c>
      <c r="B331" s="15" t="s">
        <v>3485</v>
      </c>
      <c r="C331" s="15" t="s">
        <v>3486</v>
      </c>
      <c r="D331" s="15" t="s">
        <v>3487</v>
      </c>
      <c r="E331" s="15" t="s">
        <v>3488</v>
      </c>
      <c r="F331" s="15" t="s">
        <v>3489</v>
      </c>
      <c r="G331" s="15" t="s">
        <v>3490</v>
      </c>
      <c r="H331" s="15" t="s">
        <v>3491</v>
      </c>
      <c r="I331" s="15" t="s">
        <v>3492</v>
      </c>
      <c r="J331" s="15" t="s">
        <v>3493</v>
      </c>
      <c r="K331" s="15" t="s">
        <v>368</v>
      </c>
      <c r="L331" s="15" t="s">
        <v>3494</v>
      </c>
      <c r="M331" s="15" t="s">
        <v>3495</v>
      </c>
      <c r="N331" s="15" t="s">
        <v>73</v>
      </c>
      <c r="O331" s="16" t="n">
        <v>1</v>
      </c>
      <c r="P331" s="16" t="n">
        <v>1</v>
      </c>
      <c r="Q331" s="16" t="n">
        <v>0</v>
      </c>
      <c r="R331" s="16" t="n">
        <v>0</v>
      </c>
      <c r="S331" s="16" t="n">
        <v>2</v>
      </c>
      <c r="T331" s="17" t="n">
        <f aca="false">AVERAGE(O331:Q331)</f>
        <v>0.666666666666667</v>
      </c>
      <c r="U331" s="18" t="str">
        <f aca="false">IF(T331&gt;=$H$3,"Eligible","Not Eligible")</f>
        <v>Not Eligible</v>
      </c>
      <c r="V331" s="19" t="n">
        <f aca="false">IF(T331&lt;$H$3,0,IFERROR(T331/SUMIF($T$5:$T$999,"&gt;="&amp;$H$3),0))</f>
        <v>0</v>
      </c>
      <c r="W331" s="15" t="str">
        <f aca="false">IF(T331=0,"Win-Back","Active")</f>
        <v>Active</v>
      </c>
      <c r="X331" s="20" t="n">
        <f aca="false">IF(T331=0,0,IF(T331&gt;=$H$3,ROUND(T331*$D$3/SUMIF($T$5:$T$999,"&gt;="&amp;$H$3),0),ROUNDUP(T331*$D$3/SUMIF($T$5:$T$999,"&gt;="&amp;$H$3),0)))</f>
        <v>1</v>
      </c>
      <c r="Y331" s="21"/>
      <c r="Z331" s="16" t="n">
        <f aca="false">IF(X331=0,"",X331-Y331)</f>
        <v>1</v>
      </c>
      <c r="AA331" s="22" t="n">
        <f aca="false">IFERROR(Y331/X331,"")</f>
        <v>0</v>
      </c>
      <c r="AB331" s="16" t="n">
        <v>0</v>
      </c>
      <c r="AC331" s="21"/>
    </row>
    <row r="332" customFormat="false" ht="15" hidden="false" customHeight="true" outlineLevel="0" collapsed="false">
      <c r="A332" s="15" t="s">
        <v>3496</v>
      </c>
      <c r="B332" s="15" t="s">
        <v>3497</v>
      </c>
      <c r="C332" s="15" t="s">
        <v>3498</v>
      </c>
      <c r="D332" s="15" t="s">
        <v>3499</v>
      </c>
      <c r="E332" s="15" t="s">
        <v>3500</v>
      </c>
      <c r="F332" s="15" t="s">
        <v>3501</v>
      </c>
      <c r="G332" s="15" t="s">
        <v>3502</v>
      </c>
      <c r="H332" s="15" t="s">
        <v>3503</v>
      </c>
      <c r="I332" s="15"/>
      <c r="J332" s="15" t="s">
        <v>379</v>
      </c>
      <c r="K332" s="15" t="s">
        <v>368</v>
      </c>
      <c r="L332" s="15" t="s">
        <v>3504</v>
      </c>
      <c r="M332" s="15" t="s">
        <v>3505</v>
      </c>
      <c r="N332" s="15" t="s">
        <v>73</v>
      </c>
      <c r="O332" s="16" t="n">
        <v>1</v>
      </c>
      <c r="P332" s="16" t="n">
        <v>0</v>
      </c>
      <c r="Q332" s="16" t="n">
        <v>1</v>
      </c>
      <c r="R332" s="16" t="n">
        <v>0</v>
      </c>
      <c r="S332" s="16" t="n">
        <v>2</v>
      </c>
      <c r="T332" s="17" t="n">
        <f aca="false">AVERAGE(O332:Q332)</f>
        <v>0.666666666666667</v>
      </c>
      <c r="U332" s="18" t="str">
        <f aca="false">IF(T332&gt;=$H$3,"Eligible","Not Eligible")</f>
        <v>Not Eligible</v>
      </c>
      <c r="V332" s="19" t="n">
        <f aca="false">IF(T332&lt;$H$3,0,IFERROR(T332/SUMIF($T$5:$T$999,"&gt;="&amp;$H$3),0))</f>
        <v>0</v>
      </c>
      <c r="W332" s="15" t="str">
        <f aca="false">IF(T332=0,"Win-Back","Active")</f>
        <v>Active</v>
      </c>
      <c r="X332" s="20" t="n">
        <f aca="false">IF(T332=0,0,IF(T332&gt;=$H$3,ROUND(T332*$D$3/SUMIF($T$5:$T$999,"&gt;="&amp;$H$3),0),ROUNDUP(T332*$D$3/SUMIF($T$5:$T$999,"&gt;="&amp;$H$3),0)))</f>
        <v>1</v>
      </c>
      <c r="Y332" s="21" t="n">
        <v>1</v>
      </c>
      <c r="Z332" s="16" t="n">
        <f aca="false">IF(X332=0,"",X332-Y332)</f>
        <v>0</v>
      </c>
      <c r="AA332" s="22" t="n">
        <f aca="false">IFERROR(Y332/X332,"")</f>
        <v>1</v>
      </c>
      <c r="AB332" s="16" t="n">
        <v>0</v>
      </c>
      <c r="AC332" s="21"/>
    </row>
    <row r="333" customFormat="false" ht="15" hidden="false" customHeight="true" outlineLevel="0" collapsed="false">
      <c r="A333" s="15" t="s">
        <v>3506</v>
      </c>
      <c r="B333" s="15" t="s">
        <v>3507</v>
      </c>
      <c r="C333" s="15" t="s">
        <v>3508</v>
      </c>
      <c r="D333" s="15" t="s">
        <v>3509</v>
      </c>
      <c r="E333" s="15" t="s">
        <v>3510</v>
      </c>
      <c r="F333" s="15" t="s">
        <v>3511</v>
      </c>
      <c r="G333" s="15" t="s">
        <v>3512</v>
      </c>
      <c r="H333" s="15" t="s">
        <v>3513</v>
      </c>
      <c r="I333" s="15"/>
      <c r="J333" s="15" t="s">
        <v>1771</v>
      </c>
      <c r="K333" s="15" t="s">
        <v>864</v>
      </c>
      <c r="L333" s="15" t="s">
        <v>3514</v>
      </c>
      <c r="M333" s="15" t="s">
        <v>3515</v>
      </c>
      <c r="N333" s="15" t="s">
        <v>73</v>
      </c>
      <c r="O333" s="16" t="n">
        <v>0</v>
      </c>
      <c r="P333" s="16" t="n">
        <v>1</v>
      </c>
      <c r="Q333" s="16" t="n">
        <v>1</v>
      </c>
      <c r="R333" s="16" t="n">
        <v>0</v>
      </c>
      <c r="S333" s="16" t="n">
        <v>2</v>
      </c>
      <c r="T333" s="17" t="n">
        <f aca="false">AVERAGE(O333:Q333)</f>
        <v>0.666666666666667</v>
      </c>
      <c r="U333" s="18" t="str">
        <f aca="false">IF(T333&gt;=$H$3,"Eligible","Not Eligible")</f>
        <v>Not Eligible</v>
      </c>
      <c r="V333" s="19" t="n">
        <f aca="false">IF(T333&lt;$H$3,0,IFERROR(T333/SUMIF($T$5:$T$999,"&gt;="&amp;$H$3),0))</f>
        <v>0</v>
      </c>
      <c r="W333" s="15" t="str">
        <f aca="false">IF(T333=0,"Win-Back","Active")</f>
        <v>Active</v>
      </c>
      <c r="X333" s="20" t="n">
        <f aca="false">IF(T333=0,0,IF(T333&gt;=$H$3,ROUND(T333*$D$3/SUMIF($T$5:$T$999,"&gt;="&amp;$H$3),0),ROUNDUP(T333*$D$3/SUMIF($T$5:$T$999,"&gt;="&amp;$H$3),0)))</f>
        <v>1</v>
      </c>
      <c r="Y333" s="21"/>
      <c r="Z333" s="16" t="n">
        <f aca="false">IF(X333=0,"",X333-Y333)</f>
        <v>1</v>
      </c>
      <c r="AA333" s="22" t="n">
        <f aca="false">IFERROR(Y333/X333,"")</f>
        <v>0</v>
      </c>
      <c r="AB333" s="16" t="n">
        <v>0</v>
      </c>
      <c r="AC333" s="21"/>
    </row>
    <row r="334" customFormat="false" ht="15" hidden="false" customHeight="true" outlineLevel="0" collapsed="false">
      <c r="A334" s="15" t="s">
        <v>3516</v>
      </c>
      <c r="B334" s="15" t="s">
        <v>3517</v>
      </c>
      <c r="C334" s="15" t="s">
        <v>3518</v>
      </c>
      <c r="D334" s="15" t="s">
        <v>3519</v>
      </c>
      <c r="E334" s="15" t="s">
        <v>3520</v>
      </c>
      <c r="F334" s="15" t="s">
        <v>3521</v>
      </c>
      <c r="G334" s="15" t="s">
        <v>3522</v>
      </c>
      <c r="H334" s="15" t="s">
        <v>3523</v>
      </c>
      <c r="I334" s="15"/>
      <c r="J334" s="15" t="s">
        <v>3524</v>
      </c>
      <c r="K334" s="15" t="s">
        <v>47</v>
      </c>
      <c r="L334" s="15" t="s">
        <v>3525</v>
      </c>
      <c r="M334" s="15" t="s">
        <v>3526</v>
      </c>
      <c r="N334" s="15" t="s">
        <v>73</v>
      </c>
      <c r="O334" s="16" t="n">
        <v>0</v>
      </c>
      <c r="P334" s="16" t="n">
        <v>2</v>
      </c>
      <c r="Q334" s="16" t="n">
        <v>0</v>
      </c>
      <c r="R334" s="16" t="n">
        <v>0</v>
      </c>
      <c r="S334" s="16" t="n">
        <v>2</v>
      </c>
      <c r="T334" s="17" t="n">
        <f aca="false">AVERAGE(O334:Q334)</f>
        <v>0.666666666666667</v>
      </c>
      <c r="U334" s="18" t="str">
        <f aca="false">IF(T334&gt;=$H$3,"Eligible","Not Eligible")</f>
        <v>Not Eligible</v>
      </c>
      <c r="V334" s="19" t="n">
        <f aca="false">IF(T334&lt;$H$3,0,IFERROR(T334/SUMIF($T$5:$T$999,"&gt;="&amp;$H$3),0))</f>
        <v>0</v>
      </c>
      <c r="W334" s="15" t="str">
        <f aca="false">IF(T334=0,"Win-Back","Active")</f>
        <v>Active</v>
      </c>
      <c r="X334" s="20" t="n">
        <f aca="false">IF(T334=0,0,IF(T334&gt;=$H$3,ROUND(T334*$D$3/SUMIF($T$5:$T$999,"&gt;="&amp;$H$3),0),ROUNDUP(T334*$D$3/SUMIF($T$5:$T$999,"&gt;="&amp;$H$3),0)))</f>
        <v>1</v>
      </c>
      <c r="Y334" s="21" t="n">
        <v>1</v>
      </c>
      <c r="Z334" s="16" t="n">
        <f aca="false">IF(X334=0,"",X334-Y334)</f>
        <v>0</v>
      </c>
      <c r="AA334" s="22" t="n">
        <f aca="false">IFERROR(Y334/X334,"")</f>
        <v>1</v>
      </c>
      <c r="AB334" s="16" t="n">
        <v>0</v>
      </c>
      <c r="AC334" s="21"/>
    </row>
    <row r="335" customFormat="false" ht="15" hidden="false" customHeight="true" outlineLevel="0" collapsed="false">
      <c r="A335" s="15" t="s">
        <v>3527</v>
      </c>
      <c r="B335" s="15" t="s">
        <v>3528</v>
      </c>
      <c r="C335" s="15" t="s">
        <v>3529</v>
      </c>
      <c r="D335" s="15" t="s">
        <v>3530</v>
      </c>
      <c r="E335" s="15" t="s">
        <v>3531</v>
      </c>
      <c r="F335" s="15" t="s">
        <v>3532</v>
      </c>
      <c r="G335" s="15" t="s">
        <v>3533</v>
      </c>
      <c r="H335" s="15" t="s">
        <v>3534</v>
      </c>
      <c r="I335" s="15" t="s">
        <v>3535</v>
      </c>
      <c r="J335" s="15" t="s">
        <v>3536</v>
      </c>
      <c r="K335" s="15" t="s">
        <v>70</v>
      </c>
      <c r="L335" s="15" t="s">
        <v>3537</v>
      </c>
      <c r="M335" s="15" t="s">
        <v>3538</v>
      </c>
      <c r="N335" s="15" t="s">
        <v>73</v>
      </c>
      <c r="O335" s="16" t="n">
        <v>0</v>
      </c>
      <c r="P335" s="16" t="n">
        <v>1</v>
      </c>
      <c r="Q335" s="16" t="n">
        <v>1</v>
      </c>
      <c r="R335" s="16" t="n">
        <v>0</v>
      </c>
      <c r="S335" s="16" t="n">
        <v>2</v>
      </c>
      <c r="T335" s="17" t="n">
        <f aca="false">AVERAGE(O335:Q335)</f>
        <v>0.666666666666667</v>
      </c>
      <c r="U335" s="18" t="str">
        <f aca="false">IF(T335&gt;=$H$3,"Eligible","Not Eligible")</f>
        <v>Not Eligible</v>
      </c>
      <c r="V335" s="19" t="n">
        <f aca="false">IF(T335&lt;$H$3,0,IFERROR(T335/SUMIF($T$5:$T$999,"&gt;="&amp;$H$3),0))</f>
        <v>0</v>
      </c>
      <c r="W335" s="15" t="str">
        <f aca="false">IF(T335=0,"Win-Back","Active")</f>
        <v>Active</v>
      </c>
      <c r="X335" s="20" t="n">
        <f aca="false">IF(T335=0,0,IF(T335&gt;=$H$3,ROUND(T335*$D$3/SUMIF($T$5:$T$999,"&gt;="&amp;$H$3),0),ROUNDUP(T335*$D$3/SUMIF($T$5:$T$999,"&gt;="&amp;$H$3),0)))</f>
        <v>1</v>
      </c>
      <c r="Y335" s="21" t="n">
        <v>3</v>
      </c>
      <c r="Z335" s="16" t="n">
        <f aca="false">IF(X335=0,"",X335-Y335)</f>
        <v>-2</v>
      </c>
      <c r="AA335" s="22" t="n">
        <f aca="false">IFERROR(Y335/X335,"")</f>
        <v>3</v>
      </c>
      <c r="AB335" s="16" t="n">
        <v>0</v>
      </c>
      <c r="AC335" s="21"/>
    </row>
    <row r="336" customFormat="false" ht="15" hidden="false" customHeight="true" outlineLevel="0" collapsed="false">
      <c r="A336" s="15" t="s">
        <v>3539</v>
      </c>
      <c r="B336" s="15" t="s">
        <v>3540</v>
      </c>
      <c r="C336" s="15" t="s">
        <v>3541</v>
      </c>
      <c r="D336" s="15" t="s">
        <v>3542</v>
      </c>
      <c r="E336" s="15" t="s">
        <v>3543</v>
      </c>
      <c r="F336" s="15" t="s">
        <v>3544</v>
      </c>
      <c r="G336" s="15" t="s">
        <v>3545</v>
      </c>
      <c r="H336" s="15" t="s">
        <v>3546</v>
      </c>
      <c r="I336" s="15"/>
      <c r="J336" s="15" t="s">
        <v>863</v>
      </c>
      <c r="K336" s="15" t="s">
        <v>864</v>
      </c>
      <c r="L336" s="15" t="s">
        <v>3547</v>
      </c>
      <c r="M336" s="15" t="s">
        <v>3548</v>
      </c>
      <c r="N336" s="15" t="s">
        <v>73</v>
      </c>
      <c r="O336" s="16" t="n">
        <v>0</v>
      </c>
      <c r="P336" s="16" t="n">
        <v>1</v>
      </c>
      <c r="Q336" s="16" t="n">
        <v>1</v>
      </c>
      <c r="R336" s="16" t="n">
        <v>0</v>
      </c>
      <c r="S336" s="16" t="n">
        <v>2</v>
      </c>
      <c r="T336" s="17" t="n">
        <f aca="false">AVERAGE(O336:Q336)</f>
        <v>0.666666666666667</v>
      </c>
      <c r="U336" s="18" t="str">
        <f aca="false">IF(T336&gt;=$H$3,"Eligible","Not Eligible")</f>
        <v>Not Eligible</v>
      </c>
      <c r="V336" s="19" t="n">
        <f aca="false">IF(T336&lt;$H$3,0,IFERROR(T336/SUMIF($T$5:$T$999,"&gt;="&amp;$H$3),0))</f>
        <v>0</v>
      </c>
      <c r="W336" s="15" t="str">
        <f aca="false">IF(T336=0,"Win-Back","Active")</f>
        <v>Active</v>
      </c>
      <c r="X336" s="20" t="n">
        <f aca="false">IF(T336=0,0,IF(T336&gt;=$H$3,ROUND(T336*$D$3/SUMIF($T$5:$T$999,"&gt;="&amp;$H$3),0),ROUNDUP(T336*$D$3/SUMIF($T$5:$T$999,"&gt;="&amp;$H$3),0)))</f>
        <v>1</v>
      </c>
      <c r="Y336" s="21"/>
      <c r="Z336" s="16" t="n">
        <f aca="false">IF(X336=0,"",X336-Y336)</f>
        <v>1</v>
      </c>
      <c r="AA336" s="22" t="n">
        <f aca="false">IFERROR(Y336/X336,"")</f>
        <v>0</v>
      </c>
      <c r="AB336" s="16" t="n">
        <v>0</v>
      </c>
      <c r="AC336" s="21"/>
    </row>
    <row r="337" customFormat="false" ht="15" hidden="false" customHeight="true" outlineLevel="0" collapsed="false">
      <c r="A337" s="15" t="s">
        <v>3549</v>
      </c>
      <c r="B337" s="15" t="s">
        <v>3550</v>
      </c>
      <c r="C337" s="15" t="s">
        <v>3551</v>
      </c>
      <c r="D337" s="15" t="s">
        <v>3552</v>
      </c>
      <c r="E337" s="15" t="s">
        <v>3553</v>
      </c>
      <c r="F337" s="15" t="s">
        <v>3554</v>
      </c>
      <c r="G337" s="15" t="s">
        <v>3555</v>
      </c>
      <c r="H337" s="15" t="s">
        <v>3556</v>
      </c>
      <c r="I337" s="15"/>
      <c r="J337" s="15" t="s">
        <v>3557</v>
      </c>
      <c r="K337" s="15" t="s">
        <v>70</v>
      </c>
      <c r="L337" s="15" t="s">
        <v>3558</v>
      </c>
      <c r="M337" s="15" t="s">
        <v>3559</v>
      </c>
      <c r="N337" s="15" t="s">
        <v>73</v>
      </c>
      <c r="O337" s="16" t="n">
        <v>0</v>
      </c>
      <c r="P337" s="16" t="n">
        <v>1</v>
      </c>
      <c r="Q337" s="16" t="n">
        <v>1</v>
      </c>
      <c r="R337" s="16" t="n">
        <v>0</v>
      </c>
      <c r="S337" s="16" t="n">
        <v>2</v>
      </c>
      <c r="T337" s="17" t="n">
        <f aca="false">AVERAGE(O337:Q337)</f>
        <v>0.666666666666667</v>
      </c>
      <c r="U337" s="18" t="str">
        <f aca="false">IF(T337&gt;=$H$3,"Eligible","Not Eligible")</f>
        <v>Not Eligible</v>
      </c>
      <c r="V337" s="19" t="n">
        <f aca="false">IF(T337&lt;$H$3,0,IFERROR(T337/SUMIF($T$5:$T$999,"&gt;="&amp;$H$3),0))</f>
        <v>0</v>
      </c>
      <c r="W337" s="15" t="str">
        <f aca="false">IF(T337=0,"Win-Back","Active")</f>
        <v>Active</v>
      </c>
      <c r="X337" s="20" t="n">
        <f aca="false">IF(T337=0,0,IF(T337&gt;=$H$3,ROUND(T337*$D$3/SUMIF($T$5:$T$999,"&gt;="&amp;$H$3),0),ROUNDUP(T337*$D$3/SUMIF($T$5:$T$999,"&gt;="&amp;$H$3),0)))</f>
        <v>1</v>
      </c>
      <c r="Y337" s="21" t="n">
        <v>2</v>
      </c>
      <c r="Z337" s="16" t="n">
        <f aca="false">IF(X337=0,"",X337-Y337)</f>
        <v>-1</v>
      </c>
      <c r="AA337" s="22" t="n">
        <f aca="false">IFERROR(Y337/X337,"")</f>
        <v>2</v>
      </c>
      <c r="AB337" s="16" t="n">
        <v>0</v>
      </c>
      <c r="AC337" s="21"/>
    </row>
    <row r="338" customFormat="false" ht="15" hidden="false" customHeight="true" outlineLevel="0" collapsed="false">
      <c r="A338" s="15" t="s">
        <v>3560</v>
      </c>
      <c r="B338" s="15" t="s">
        <v>3561</v>
      </c>
      <c r="C338" s="15" t="s">
        <v>3562</v>
      </c>
      <c r="D338" s="15" t="s">
        <v>3563</v>
      </c>
      <c r="E338" s="15" t="s">
        <v>3564</v>
      </c>
      <c r="F338" s="15" t="s">
        <v>3565</v>
      </c>
      <c r="G338" s="15" t="s">
        <v>3566</v>
      </c>
      <c r="H338" s="15" t="s">
        <v>3567</v>
      </c>
      <c r="I338" s="15"/>
      <c r="J338" s="15" t="s">
        <v>3568</v>
      </c>
      <c r="K338" s="15" t="s">
        <v>2839</v>
      </c>
      <c r="L338" s="15" t="s">
        <v>3569</v>
      </c>
      <c r="M338" s="15" t="s">
        <v>3570</v>
      </c>
      <c r="N338" s="15" t="s">
        <v>73</v>
      </c>
      <c r="O338" s="16" t="n">
        <v>0</v>
      </c>
      <c r="P338" s="16" t="n">
        <v>1</v>
      </c>
      <c r="Q338" s="16" t="n">
        <v>1</v>
      </c>
      <c r="R338" s="16" t="n">
        <v>0</v>
      </c>
      <c r="S338" s="16" t="n">
        <v>2</v>
      </c>
      <c r="T338" s="17" t="n">
        <f aca="false">AVERAGE(O338:Q338)</f>
        <v>0.666666666666667</v>
      </c>
      <c r="U338" s="18" t="str">
        <f aca="false">IF(T338&gt;=$H$3,"Eligible","Not Eligible")</f>
        <v>Not Eligible</v>
      </c>
      <c r="V338" s="19" t="n">
        <f aca="false">IF(T338&lt;$H$3,0,IFERROR(T338/SUMIF($T$5:$T$999,"&gt;="&amp;$H$3),0))</f>
        <v>0</v>
      </c>
      <c r="W338" s="15" t="str">
        <f aca="false">IF(T338=0,"Win-Back","Active")</f>
        <v>Active</v>
      </c>
      <c r="X338" s="20" t="n">
        <f aca="false">IF(T338=0,0,IF(T338&gt;=$H$3,ROUND(T338*$D$3/SUMIF($T$5:$T$999,"&gt;="&amp;$H$3),0),ROUNDUP(T338*$D$3/SUMIF($T$5:$T$999,"&gt;="&amp;$H$3),0)))</f>
        <v>1</v>
      </c>
      <c r="Y338" s="21"/>
      <c r="Z338" s="16" t="n">
        <f aca="false">IF(X338=0,"",X338-Y338)</f>
        <v>1</v>
      </c>
      <c r="AA338" s="22" t="n">
        <f aca="false">IFERROR(Y338/X338,"")</f>
        <v>0</v>
      </c>
      <c r="AB338" s="16" t="n">
        <v>0</v>
      </c>
      <c r="AC338" s="21"/>
    </row>
    <row r="339" customFormat="false" ht="15" hidden="false" customHeight="true" outlineLevel="0" collapsed="false">
      <c r="A339" s="15" t="s">
        <v>3571</v>
      </c>
      <c r="B339" s="15" t="s">
        <v>3572</v>
      </c>
      <c r="C339" s="15" t="s">
        <v>3573</v>
      </c>
      <c r="D339" s="15" t="s">
        <v>3574</v>
      </c>
      <c r="E339" s="15" t="s">
        <v>3575</v>
      </c>
      <c r="F339" s="15" t="s">
        <v>3576</v>
      </c>
      <c r="G339" s="15" t="s">
        <v>3577</v>
      </c>
      <c r="H339" s="15" t="s">
        <v>3578</v>
      </c>
      <c r="I339" s="15" t="s">
        <v>3579</v>
      </c>
      <c r="J339" s="15" t="s">
        <v>614</v>
      </c>
      <c r="K339" s="15" t="s">
        <v>615</v>
      </c>
      <c r="L339" s="15" t="s">
        <v>616</v>
      </c>
      <c r="M339" s="15" t="s">
        <v>3580</v>
      </c>
      <c r="N339" s="15" t="s">
        <v>73</v>
      </c>
      <c r="O339" s="16" t="n">
        <v>0</v>
      </c>
      <c r="P339" s="16" t="n">
        <v>2</v>
      </c>
      <c r="Q339" s="16" t="n">
        <v>0</v>
      </c>
      <c r="R339" s="16" t="n">
        <v>0</v>
      </c>
      <c r="S339" s="16" t="n">
        <v>2</v>
      </c>
      <c r="T339" s="17" t="n">
        <f aca="false">AVERAGE(O339:Q339)</f>
        <v>0.666666666666667</v>
      </c>
      <c r="U339" s="18" t="str">
        <f aca="false">IF(T339&gt;=$H$3,"Eligible","Not Eligible")</f>
        <v>Not Eligible</v>
      </c>
      <c r="V339" s="19" t="n">
        <f aca="false">IF(T339&lt;$H$3,0,IFERROR(T339/SUMIF($T$5:$T$999,"&gt;="&amp;$H$3),0))</f>
        <v>0</v>
      </c>
      <c r="W339" s="15" t="str">
        <f aca="false">IF(T339=0,"Win-Back","Active")</f>
        <v>Active</v>
      </c>
      <c r="X339" s="20" t="n">
        <f aca="false">IF(T339=0,0,IF(T339&gt;=$H$3,ROUND(T339*$D$3/SUMIF($T$5:$T$999,"&gt;="&amp;$H$3),0),ROUNDUP(T339*$D$3/SUMIF($T$5:$T$999,"&gt;="&amp;$H$3),0)))</f>
        <v>1</v>
      </c>
      <c r="Y339" s="21"/>
      <c r="Z339" s="16" t="n">
        <f aca="false">IF(X339=0,"",X339-Y339)</f>
        <v>1</v>
      </c>
      <c r="AA339" s="22" t="n">
        <f aca="false">IFERROR(Y339/X339,"")</f>
        <v>0</v>
      </c>
      <c r="AB339" s="16" t="n">
        <v>0</v>
      </c>
      <c r="AC339" s="21"/>
    </row>
    <row r="340" customFormat="false" ht="15" hidden="false" customHeight="true" outlineLevel="0" collapsed="false">
      <c r="A340" s="15" t="s">
        <v>3581</v>
      </c>
      <c r="B340" s="15" t="s">
        <v>3582</v>
      </c>
      <c r="C340" s="15" t="s">
        <v>3583</v>
      </c>
      <c r="D340" s="15" t="s">
        <v>3584</v>
      </c>
      <c r="E340" s="15" t="s">
        <v>3585</v>
      </c>
      <c r="F340" s="15" t="s">
        <v>3586</v>
      </c>
      <c r="G340" s="15" t="s">
        <v>3587</v>
      </c>
      <c r="H340" s="15" t="s">
        <v>3588</v>
      </c>
      <c r="I340" s="15"/>
      <c r="J340" s="15" t="s">
        <v>3589</v>
      </c>
      <c r="K340" s="15" t="s">
        <v>70</v>
      </c>
      <c r="L340" s="15" t="s">
        <v>3590</v>
      </c>
      <c r="M340" s="15" t="s">
        <v>3591</v>
      </c>
      <c r="N340" s="15" t="s">
        <v>73</v>
      </c>
      <c r="O340" s="16" t="n">
        <v>0</v>
      </c>
      <c r="P340" s="16" t="n">
        <v>0</v>
      </c>
      <c r="Q340" s="16" t="n">
        <v>2</v>
      </c>
      <c r="R340" s="16" t="n">
        <v>0</v>
      </c>
      <c r="S340" s="16" t="n">
        <v>2</v>
      </c>
      <c r="T340" s="17" t="n">
        <f aca="false">AVERAGE(O340:Q340)</f>
        <v>0.666666666666667</v>
      </c>
      <c r="U340" s="18" t="str">
        <f aca="false">IF(T340&gt;=$H$3,"Eligible","Not Eligible")</f>
        <v>Not Eligible</v>
      </c>
      <c r="V340" s="19" t="n">
        <f aca="false">IF(T340&lt;$H$3,0,IFERROR(T340/SUMIF($T$5:$T$999,"&gt;="&amp;$H$3),0))</f>
        <v>0</v>
      </c>
      <c r="W340" s="15" t="str">
        <f aca="false">IF(T340=0,"Win-Back","Active")</f>
        <v>Active</v>
      </c>
      <c r="X340" s="20" t="n">
        <f aca="false">IF(T340=0,0,IF(T340&gt;=$H$3,ROUND(T340*$D$3/SUMIF($T$5:$T$999,"&gt;="&amp;$H$3),0),ROUNDUP(T340*$D$3/SUMIF($T$5:$T$999,"&gt;="&amp;$H$3),0)))</f>
        <v>1</v>
      </c>
      <c r="Y340" s="21"/>
      <c r="Z340" s="16" t="n">
        <f aca="false">IF(X340=0,"",X340-Y340)</f>
        <v>1</v>
      </c>
      <c r="AA340" s="22" t="n">
        <f aca="false">IFERROR(Y340/X340,"")</f>
        <v>0</v>
      </c>
      <c r="AB340" s="16" t="n">
        <v>0</v>
      </c>
      <c r="AC340" s="21"/>
    </row>
    <row r="341" customFormat="false" ht="15" hidden="false" customHeight="true" outlineLevel="0" collapsed="false">
      <c r="A341" s="15" t="s">
        <v>3592</v>
      </c>
      <c r="B341" s="15" t="s">
        <v>3593</v>
      </c>
      <c r="C341" s="15" t="s">
        <v>3594</v>
      </c>
      <c r="D341" s="15" t="s">
        <v>3595</v>
      </c>
      <c r="E341" s="15" t="s">
        <v>3596</v>
      </c>
      <c r="F341" s="15" t="s">
        <v>3597</v>
      </c>
      <c r="G341" s="15" t="s">
        <v>3598</v>
      </c>
      <c r="H341" s="15" t="s">
        <v>3599</v>
      </c>
      <c r="I341" s="15"/>
      <c r="J341" s="15" t="s">
        <v>594</v>
      </c>
      <c r="K341" s="15" t="s">
        <v>368</v>
      </c>
      <c r="L341" s="15" t="s">
        <v>3600</v>
      </c>
      <c r="M341" s="15" t="s">
        <v>3601</v>
      </c>
      <c r="N341" s="15" t="s">
        <v>73</v>
      </c>
      <c r="O341" s="16" t="n">
        <v>0</v>
      </c>
      <c r="P341" s="16" t="n">
        <v>0</v>
      </c>
      <c r="Q341" s="16" t="n">
        <v>2</v>
      </c>
      <c r="R341" s="16" t="n">
        <v>0</v>
      </c>
      <c r="S341" s="16" t="n">
        <v>2</v>
      </c>
      <c r="T341" s="17" t="n">
        <f aca="false">AVERAGE(O341:Q341)</f>
        <v>0.666666666666667</v>
      </c>
      <c r="U341" s="18" t="str">
        <f aca="false">IF(T341&gt;=$H$3,"Eligible","Not Eligible")</f>
        <v>Not Eligible</v>
      </c>
      <c r="V341" s="19" t="n">
        <f aca="false">IF(T341&lt;$H$3,0,IFERROR(T341/SUMIF($T$5:$T$999,"&gt;="&amp;$H$3),0))</f>
        <v>0</v>
      </c>
      <c r="W341" s="15" t="str">
        <f aca="false">IF(T341=0,"Win-Back","Active")</f>
        <v>Active</v>
      </c>
      <c r="X341" s="20" t="n">
        <f aca="false">IF(T341=0,0,IF(T341&gt;=$H$3,ROUND(T341*$D$3/SUMIF($T$5:$T$999,"&gt;="&amp;$H$3),0),ROUNDUP(T341*$D$3/SUMIF($T$5:$T$999,"&gt;="&amp;$H$3),0)))</f>
        <v>1</v>
      </c>
      <c r="Y341" s="21"/>
      <c r="Z341" s="16" t="n">
        <f aca="false">IF(X341=0,"",X341-Y341)</f>
        <v>1</v>
      </c>
      <c r="AA341" s="22" t="n">
        <f aca="false">IFERROR(Y341/X341,"")</f>
        <v>0</v>
      </c>
      <c r="AB341" s="16" t="n">
        <v>0</v>
      </c>
      <c r="AC341" s="21"/>
    </row>
    <row r="342" customFormat="false" ht="15" hidden="false" customHeight="true" outlineLevel="0" collapsed="false">
      <c r="A342" s="15" t="s">
        <v>3602</v>
      </c>
      <c r="B342" s="15" t="s">
        <v>3603</v>
      </c>
      <c r="C342" s="15" t="s">
        <v>3604</v>
      </c>
      <c r="D342" s="15" t="s">
        <v>3605</v>
      </c>
      <c r="E342" s="15" t="s">
        <v>3606</v>
      </c>
      <c r="F342" s="15" t="s">
        <v>3607</v>
      </c>
      <c r="G342" s="15" t="s">
        <v>3608</v>
      </c>
      <c r="H342" s="15" t="s">
        <v>3609</v>
      </c>
      <c r="I342" s="15"/>
      <c r="J342" s="15" t="s">
        <v>2062</v>
      </c>
      <c r="K342" s="15" t="s">
        <v>70</v>
      </c>
      <c r="L342" s="15" t="s">
        <v>2063</v>
      </c>
      <c r="M342" s="15" t="s">
        <v>3610</v>
      </c>
      <c r="N342" s="15" t="s">
        <v>73</v>
      </c>
      <c r="O342" s="16" t="n">
        <v>0</v>
      </c>
      <c r="P342" s="16" t="n">
        <v>2</v>
      </c>
      <c r="Q342" s="16" t="n">
        <v>0</v>
      </c>
      <c r="R342" s="16" t="n">
        <v>0</v>
      </c>
      <c r="S342" s="16" t="n">
        <v>2</v>
      </c>
      <c r="T342" s="17" t="n">
        <f aca="false">AVERAGE(O342:Q342)</f>
        <v>0.666666666666667</v>
      </c>
      <c r="U342" s="18" t="str">
        <f aca="false">IF(T342&gt;=$H$3,"Eligible","Not Eligible")</f>
        <v>Not Eligible</v>
      </c>
      <c r="V342" s="19" t="n">
        <f aca="false">IF(T342&lt;$H$3,0,IFERROR(T342/SUMIF($T$5:$T$999,"&gt;="&amp;$H$3),0))</f>
        <v>0</v>
      </c>
      <c r="W342" s="15" t="str">
        <f aca="false">IF(T342=0,"Win-Back","Active")</f>
        <v>Active</v>
      </c>
      <c r="X342" s="20" t="n">
        <f aca="false">IF(T342=0,0,IF(T342&gt;=$H$3,ROUND(T342*$D$3/SUMIF($T$5:$T$999,"&gt;="&amp;$H$3),0),ROUNDUP(T342*$D$3/SUMIF($T$5:$T$999,"&gt;="&amp;$H$3),0)))</f>
        <v>1</v>
      </c>
      <c r="Y342" s="21" t="n">
        <v>1</v>
      </c>
      <c r="Z342" s="16" t="n">
        <f aca="false">IF(X342=0,"",X342-Y342)</f>
        <v>0</v>
      </c>
      <c r="AA342" s="22" t="n">
        <f aca="false">IFERROR(Y342/X342,"")</f>
        <v>1</v>
      </c>
      <c r="AB342" s="16" t="n">
        <v>0</v>
      </c>
      <c r="AC342" s="21"/>
    </row>
    <row r="343" customFormat="false" ht="15" hidden="false" customHeight="true" outlineLevel="0" collapsed="false">
      <c r="A343" s="15" t="s">
        <v>3611</v>
      </c>
      <c r="B343" s="15" t="s">
        <v>3612</v>
      </c>
      <c r="C343" s="15" t="s">
        <v>3613</v>
      </c>
      <c r="D343" s="15" t="s">
        <v>3614</v>
      </c>
      <c r="E343" s="15" t="s">
        <v>3615</v>
      </c>
      <c r="F343" s="15" t="s">
        <v>3616</v>
      </c>
      <c r="G343" s="15" t="s">
        <v>3617</v>
      </c>
      <c r="H343" s="15" t="s">
        <v>3618</v>
      </c>
      <c r="I343" s="15"/>
      <c r="J343" s="15" t="s">
        <v>777</v>
      </c>
      <c r="K343" s="15" t="s">
        <v>70</v>
      </c>
      <c r="L343" s="15" t="s">
        <v>1385</v>
      </c>
      <c r="M343" s="15" t="s">
        <v>3619</v>
      </c>
      <c r="N343" s="15" t="s">
        <v>73</v>
      </c>
      <c r="O343" s="16" t="n">
        <v>1</v>
      </c>
      <c r="P343" s="16" t="n">
        <v>1</v>
      </c>
      <c r="Q343" s="16" t="n">
        <v>0</v>
      </c>
      <c r="R343" s="16" t="n">
        <v>0</v>
      </c>
      <c r="S343" s="16" t="n">
        <v>2</v>
      </c>
      <c r="T343" s="17" t="n">
        <f aca="false">AVERAGE(O343:Q343)</f>
        <v>0.666666666666667</v>
      </c>
      <c r="U343" s="18" t="str">
        <f aca="false">IF(T343&gt;=$H$3,"Eligible","Not Eligible")</f>
        <v>Not Eligible</v>
      </c>
      <c r="V343" s="19" t="n">
        <f aca="false">IF(T343&lt;$H$3,0,IFERROR(T343/SUMIF($T$5:$T$999,"&gt;="&amp;$H$3),0))</f>
        <v>0</v>
      </c>
      <c r="W343" s="15" t="str">
        <f aca="false">IF(T343=0,"Win-Back","Active")</f>
        <v>Active</v>
      </c>
      <c r="X343" s="20" t="n">
        <f aca="false">IF(T343=0,0,IF(T343&gt;=$H$3,ROUND(T343*$D$3/SUMIF($T$5:$T$999,"&gt;="&amp;$H$3),0),ROUNDUP(T343*$D$3/SUMIF($T$5:$T$999,"&gt;="&amp;$H$3),0)))</f>
        <v>1</v>
      </c>
      <c r="Y343" s="21" t="n">
        <v>1</v>
      </c>
      <c r="Z343" s="16" t="n">
        <f aca="false">IF(X343=0,"",X343-Y343)</f>
        <v>0</v>
      </c>
      <c r="AA343" s="22" t="n">
        <f aca="false">IFERROR(Y343/X343,"")</f>
        <v>1</v>
      </c>
      <c r="AB343" s="16" t="n">
        <v>0</v>
      </c>
      <c r="AC343" s="21"/>
    </row>
    <row r="344" customFormat="false" ht="15" hidden="false" customHeight="true" outlineLevel="0" collapsed="false">
      <c r="A344" s="15" t="s">
        <v>3620</v>
      </c>
      <c r="B344" s="15" t="s">
        <v>3621</v>
      </c>
      <c r="C344" s="15" t="s">
        <v>3622</v>
      </c>
      <c r="D344" s="15" t="s">
        <v>3623</v>
      </c>
      <c r="E344" s="15" t="s">
        <v>3624</v>
      </c>
      <c r="F344" s="15" t="s">
        <v>3625</v>
      </c>
      <c r="G344" s="15" t="s">
        <v>3626</v>
      </c>
      <c r="H344" s="15" t="s">
        <v>3627</v>
      </c>
      <c r="I344" s="15"/>
      <c r="J344" s="15" t="s">
        <v>3628</v>
      </c>
      <c r="K344" s="15" t="s">
        <v>70</v>
      </c>
      <c r="L344" s="15" t="s">
        <v>3629</v>
      </c>
      <c r="M344" s="15" t="s">
        <v>3630</v>
      </c>
      <c r="N344" s="15" t="s">
        <v>73</v>
      </c>
      <c r="O344" s="16" t="n">
        <v>1</v>
      </c>
      <c r="P344" s="16" t="n">
        <v>0</v>
      </c>
      <c r="Q344" s="16" t="n">
        <v>1</v>
      </c>
      <c r="R344" s="16" t="n">
        <v>0</v>
      </c>
      <c r="S344" s="16" t="n">
        <v>2</v>
      </c>
      <c r="T344" s="17" t="n">
        <f aca="false">AVERAGE(O344:Q344)</f>
        <v>0.666666666666667</v>
      </c>
      <c r="U344" s="18" t="str">
        <f aca="false">IF(T344&gt;=$H$3,"Eligible","Not Eligible")</f>
        <v>Not Eligible</v>
      </c>
      <c r="V344" s="19" t="n">
        <f aca="false">IF(T344&lt;$H$3,0,IFERROR(T344/SUMIF($T$5:$T$999,"&gt;="&amp;$H$3),0))</f>
        <v>0</v>
      </c>
      <c r="W344" s="15" t="str">
        <f aca="false">IF(T344=0,"Win-Back","Active")</f>
        <v>Active</v>
      </c>
      <c r="X344" s="20" t="n">
        <f aca="false">IF(T344=0,0,IF(T344&gt;=$H$3,ROUND(T344*$D$3/SUMIF($T$5:$T$999,"&gt;="&amp;$H$3),0),ROUNDUP(T344*$D$3/SUMIF($T$5:$T$999,"&gt;="&amp;$H$3),0)))</f>
        <v>1</v>
      </c>
      <c r="Y344" s="21" t="n">
        <v>2</v>
      </c>
      <c r="Z344" s="16" t="n">
        <f aca="false">IF(X344=0,"",X344-Y344)</f>
        <v>-1</v>
      </c>
      <c r="AA344" s="22" t="n">
        <f aca="false">IFERROR(Y344/X344,"")</f>
        <v>2</v>
      </c>
      <c r="AB344" s="16" t="n">
        <v>0</v>
      </c>
      <c r="AC344" s="21"/>
    </row>
    <row r="345" customFormat="false" ht="15" hidden="false" customHeight="true" outlineLevel="0" collapsed="false">
      <c r="A345" s="15" t="s">
        <v>3631</v>
      </c>
      <c r="B345" s="15" t="s">
        <v>3632</v>
      </c>
      <c r="C345" s="15" t="s">
        <v>3633</v>
      </c>
      <c r="D345" s="15" t="s">
        <v>3634</v>
      </c>
      <c r="E345" s="15" t="s">
        <v>3635</v>
      </c>
      <c r="F345" s="15" t="s">
        <v>3636</v>
      </c>
      <c r="G345" s="15" t="s">
        <v>3637</v>
      </c>
      <c r="H345" s="15" t="s">
        <v>3638</v>
      </c>
      <c r="I345" s="15"/>
      <c r="J345" s="15" t="s">
        <v>367</v>
      </c>
      <c r="K345" s="15" t="s">
        <v>368</v>
      </c>
      <c r="L345" s="15" t="s">
        <v>369</v>
      </c>
      <c r="M345" s="15" t="s">
        <v>3639</v>
      </c>
      <c r="N345" s="15" t="s">
        <v>73</v>
      </c>
      <c r="O345" s="16" t="n">
        <v>0</v>
      </c>
      <c r="P345" s="16" t="n">
        <v>1</v>
      </c>
      <c r="Q345" s="16" t="n">
        <v>1</v>
      </c>
      <c r="R345" s="16" t="n">
        <v>0</v>
      </c>
      <c r="S345" s="16" t="n">
        <v>2</v>
      </c>
      <c r="T345" s="17" t="n">
        <f aca="false">AVERAGE(O345:Q345)</f>
        <v>0.666666666666667</v>
      </c>
      <c r="U345" s="18" t="str">
        <f aca="false">IF(T345&gt;=$H$3,"Eligible","Not Eligible")</f>
        <v>Not Eligible</v>
      </c>
      <c r="V345" s="19" t="n">
        <f aca="false">IF(T345&lt;$H$3,0,IFERROR(T345/SUMIF($T$5:$T$999,"&gt;="&amp;$H$3),0))</f>
        <v>0</v>
      </c>
      <c r="W345" s="15" t="str">
        <f aca="false">IF(T345=0,"Win-Back","Active")</f>
        <v>Active</v>
      </c>
      <c r="X345" s="20" t="n">
        <f aca="false">IF(T345=0,0,IF(T345&gt;=$H$3,ROUND(T345*$D$3/SUMIF($T$5:$T$999,"&gt;="&amp;$H$3),0),ROUNDUP(T345*$D$3/SUMIF($T$5:$T$999,"&gt;="&amp;$H$3),0)))</f>
        <v>1</v>
      </c>
      <c r="Y345" s="21" t="n">
        <v>1</v>
      </c>
      <c r="Z345" s="16" t="n">
        <f aca="false">IF(X345=0,"",X345-Y345)</f>
        <v>0</v>
      </c>
      <c r="AA345" s="22" t="n">
        <f aca="false">IFERROR(Y345/X345,"")</f>
        <v>1</v>
      </c>
      <c r="AB345" s="16" t="n">
        <v>0</v>
      </c>
      <c r="AC345" s="21"/>
    </row>
    <row r="346" customFormat="false" ht="15" hidden="false" customHeight="true" outlineLevel="0" collapsed="false">
      <c r="A346" s="15" t="s">
        <v>3640</v>
      </c>
      <c r="B346" s="15" t="s">
        <v>3641</v>
      </c>
      <c r="C346" s="15" t="s">
        <v>3642</v>
      </c>
      <c r="D346" s="15" t="s">
        <v>3643</v>
      </c>
      <c r="E346" s="15" t="s">
        <v>3644</v>
      </c>
      <c r="F346" s="15" t="s">
        <v>3645</v>
      </c>
      <c r="G346" s="15" t="s">
        <v>3646</v>
      </c>
      <c r="H346" s="15" t="s">
        <v>3647</v>
      </c>
      <c r="I346" s="15"/>
      <c r="J346" s="15" t="s">
        <v>2608</v>
      </c>
      <c r="K346" s="15" t="s">
        <v>70</v>
      </c>
      <c r="L346" s="15" t="s">
        <v>2609</v>
      </c>
      <c r="M346" s="15" t="s">
        <v>3648</v>
      </c>
      <c r="N346" s="15" t="s">
        <v>73</v>
      </c>
      <c r="O346" s="16" t="n">
        <v>0</v>
      </c>
      <c r="P346" s="16" t="n">
        <v>1</v>
      </c>
      <c r="Q346" s="16" t="n">
        <v>1</v>
      </c>
      <c r="R346" s="16" t="n">
        <v>0</v>
      </c>
      <c r="S346" s="16" t="n">
        <v>2</v>
      </c>
      <c r="T346" s="17" t="n">
        <f aca="false">AVERAGE(O346:Q346)</f>
        <v>0.666666666666667</v>
      </c>
      <c r="U346" s="18" t="str">
        <f aca="false">IF(T346&gt;=$H$3,"Eligible","Not Eligible")</f>
        <v>Not Eligible</v>
      </c>
      <c r="V346" s="19" t="n">
        <f aca="false">IF(T346&lt;$H$3,0,IFERROR(T346/SUMIF($T$5:$T$999,"&gt;="&amp;$H$3),0))</f>
        <v>0</v>
      </c>
      <c r="W346" s="15" t="str">
        <f aca="false">IF(T346=0,"Win-Back","Active")</f>
        <v>Active</v>
      </c>
      <c r="X346" s="20" t="n">
        <f aca="false">IF(T346=0,0,IF(T346&gt;=$H$3,ROUND(T346*$D$3/SUMIF($T$5:$T$999,"&gt;="&amp;$H$3),0),ROUNDUP(T346*$D$3/SUMIF($T$5:$T$999,"&gt;="&amp;$H$3),0)))</f>
        <v>1</v>
      </c>
      <c r="Y346" s="21" t="n">
        <v>1</v>
      </c>
      <c r="Z346" s="16" t="n">
        <f aca="false">IF(X346=0,"",X346-Y346)</f>
        <v>0</v>
      </c>
      <c r="AA346" s="22" t="n">
        <f aca="false">IFERROR(Y346/X346,"")</f>
        <v>1</v>
      </c>
      <c r="AB346" s="16" t="n">
        <v>0</v>
      </c>
      <c r="AC346" s="21"/>
    </row>
    <row r="347" customFormat="false" ht="15" hidden="false" customHeight="true" outlineLevel="0" collapsed="false">
      <c r="A347" s="15" t="s">
        <v>3649</v>
      </c>
      <c r="B347" s="15" t="s">
        <v>3650</v>
      </c>
      <c r="C347" s="15" t="s">
        <v>3651</v>
      </c>
      <c r="D347" s="15" t="s">
        <v>3652</v>
      </c>
      <c r="E347" s="15" t="s">
        <v>3653</v>
      </c>
      <c r="F347" s="15" t="s">
        <v>3654</v>
      </c>
      <c r="G347" s="15" t="s">
        <v>3655</v>
      </c>
      <c r="H347" s="15" t="s">
        <v>3656</v>
      </c>
      <c r="I347" s="15"/>
      <c r="J347" s="15" t="s">
        <v>3657</v>
      </c>
      <c r="K347" s="15" t="s">
        <v>1200</v>
      </c>
      <c r="L347" s="15" t="s">
        <v>3658</v>
      </c>
      <c r="M347" s="15" t="s">
        <v>3659</v>
      </c>
      <c r="N347" s="15" t="s">
        <v>73</v>
      </c>
      <c r="O347" s="16" t="n">
        <v>0</v>
      </c>
      <c r="P347" s="16" t="n">
        <v>0</v>
      </c>
      <c r="Q347" s="16" t="n">
        <v>1</v>
      </c>
      <c r="R347" s="16" t="n">
        <v>1</v>
      </c>
      <c r="S347" s="16" t="n">
        <v>2</v>
      </c>
      <c r="T347" s="17" t="n">
        <f aca="false">AVERAGE(O347:Q347)</f>
        <v>0.333333333333333</v>
      </c>
      <c r="U347" s="18" t="str">
        <f aca="false">IF(T347&gt;=$H$3,"Eligible","Not Eligible")</f>
        <v>Not Eligible</v>
      </c>
      <c r="V347" s="19" t="n">
        <f aca="false">IF(T347&lt;$H$3,0,IFERROR(T347/SUMIF($T$5:$T$999,"&gt;="&amp;$H$3),0))</f>
        <v>0</v>
      </c>
      <c r="W347" s="15" t="str">
        <f aca="false">IF(T347=0,"Win-Back","Active")</f>
        <v>Active</v>
      </c>
      <c r="X347" s="20" t="n">
        <f aca="false">IF(T347=0,0,IF(T347&gt;=$H$3,ROUND(T347*$D$3/SUMIF($T$5:$T$999,"&gt;="&amp;$H$3),0),ROUNDUP(T347*$D$3/SUMIF($T$5:$T$999,"&gt;="&amp;$H$3),0)))</f>
        <v>1</v>
      </c>
      <c r="Y347" s="21"/>
      <c r="Z347" s="16" t="n">
        <f aca="false">IF(X347=0,"",X347-Y347)</f>
        <v>1</v>
      </c>
      <c r="AA347" s="22" t="n">
        <f aca="false">IFERROR(Y347/X347,"")</f>
        <v>0</v>
      </c>
      <c r="AB347" s="16" t="n">
        <v>0</v>
      </c>
      <c r="AC347" s="21"/>
    </row>
    <row r="348" customFormat="false" ht="15" hidden="false" customHeight="true" outlineLevel="0" collapsed="false">
      <c r="A348" s="15" t="s">
        <v>3660</v>
      </c>
      <c r="B348" s="15" t="s">
        <v>3661</v>
      </c>
      <c r="C348" s="15" t="s">
        <v>3662</v>
      </c>
      <c r="D348" s="15" t="s">
        <v>3663</v>
      </c>
      <c r="E348" s="15" t="s">
        <v>3664</v>
      </c>
      <c r="F348" s="15" t="s">
        <v>3665</v>
      </c>
      <c r="G348" s="15" t="s">
        <v>2290</v>
      </c>
      <c r="H348" s="15" t="s">
        <v>3666</v>
      </c>
      <c r="I348" s="15" t="s">
        <v>3667</v>
      </c>
      <c r="J348" s="15" t="s">
        <v>3668</v>
      </c>
      <c r="K348" s="15" t="s">
        <v>3669</v>
      </c>
      <c r="L348" s="15" t="s">
        <v>3670</v>
      </c>
      <c r="M348" s="15" t="s">
        <v>3671</v>
      </c>
      <c r="N348" s="15" t="s">
        <v>73</v>
      </c>
      <c r="O348" s="16" t="n">
        <v>0</v>
      </c>
      <c r="P348" s="16" t="n">
        <v>0</v>
      </c>
      <c r="Q348" s="16" t="n">
        <v>1</v>
      </c>
      <c r="R348" s="16" t="n">
        <v>1</v>
      </c>
      <c r="S348" s="16" t="n">
        <v>2</v>
      </c>
      <c r="T348" s="17" t="n">
        <f aca="false">AVERAGE(O348:Q348)</f>
        <v>0.333333333333333</v>
      </c>
      <c r="U348" s="18" t="str">
        <f aca="false">IF(T348&gt;=$H$3,"Eligible","Not Eligible")</f>
        <v>Not Eligible</v>
      </c>
      <c r="V348" s="19" t="n">
        <f aca="false">IF(T348&lt;$H$3,0,IFERROR(T348/SUMIF($T$5:$T$999,"&gt;="&amp;$H$3),0))</f>
        <v>0</v>
      </c>
      <c r="W348" s="15" t="str">
        <f aca="false">IF(T348=0,"Win-Back","Active")</f>
        <v>Active</v>
      </c>
      <c r="X348" s="20" t="n">
        <f aca="false">IF(T348=0,0,IF(T348&gt;=$H$3,ROUND(T348*$D$3/SUMIF($T$5:$T$999,"&gt;="&amp;$H$3),0),ROUNDUP(T348*$D$3/SUMIF($T$5:$T$999,"&gt;="&amp;$H$3),0)))</f>
        <v>1</v>
      </c>
      <c r="Y348" s="21"/>
      <c r="Z348" s="16" t="n">
        <f aca="false">IF(X348=0,"",X348-Y348)</f>
        <v>1</v>
      </c>
      <c r="AA348" s="22" t="n">
        <f aca="false">IFERROR(Y348/X348,"")</f>
        <v>0</v>
      </c>
      <c r="AB348" s="16" t="n">
        <v>0</v>
      </c>
      <c r="AC348" s="21"/>
    </row>
    <row r="349" customFormat="false" ht="15" hidden="false" customHeight="true" outlineLevel="0" collapsed="false">
      <c r="A349" s="15" t="s">
        <v>3672</v>
      </c>
      <c r="B349" s="15" t="s">
        <v>3673</v>
      </c>
      <c r="C349" s="15" t="s">
        <v>3674</v>
      </c>
      <c r="D349" s="15" t="s">
        <v>3675</v>
      </c>
      <c r="E349" s="15" t="s">
        <v>3676</v>
      </c>
      <c r="F349" s="15" t="s">
        <v>3677</v>
      </c>
      <c r="G349" s="15" t="s">
        <v>3678</v>
      </c>
      <c r="H349" s="15" t="s">
        <v>3679</v>
      </c>
      <c r="I349" s="15"/>
      <c r="J349" s="15" t="s">
        <v>3680</v>
      </c>
      <c r="K349" s="15" t="s">
        <v>1255</v>
      </c>
      <c r="L349" s="15" t="s">
        <v>3681</v>
      </c>
      <c r="M349" s="15" t="s">
        <v>3682</v>
      </c>
      <c r="N349" s="15" t="s">
        <v>73</v>
      </c>
      <c r="O349" s="16" t="n">
        <v>0</v>
      </c>
      <c r="P349" s="16" t="n">
        <v>1</v>
      </c>
      <c r="Q349" s="16" t="n">
        <v>0</v>
      </c>
      <c r="R349" s="16" t="n">
        <v>1</v>
      </c>
      <c r="S349" s="16" t="n">
        <v>2</v>
      </c>
      <c r="T349" s="17" t="n">
        <f aca="false">AVERAGE(O349:Q349)</f>
        <v>0.333333333333333</v>
      </c>
      <c r="U349" s="18" t="str">
        <f aca="false">IF(T349&gt;=$H$3,"Eligible","Not Eligible")</f>
        <v>Not Eligible</v>
      </c>
      <c r="V349" s="19" t="n">
        <f aca="false">IF(T349&lt;$H$3,0,IFERROR(T349/SUMIF($T$5:$T$999,"&gt;="&amp;$H$3),0))</f>
        <v>0</v>
      </c>
      <c r="W349" s="15" t="str">
        <f aca="false">IF(T349=0,"Win-Back","Active")</f>
        <v>Active</v>
      </c>
      <c r="X349" s="20" t="n">
        <f aca="false">IF(T349=0,0,IF(T349&gt;=$H$3,ROUND(T349*$D$3/SUMIF($T$5:$T$999,"&gt;="&amp;$H$3),0),ROUNDUP(T349*$D$3/SUMIF($T$5:$T$999,"&gt;="&amp;$H$3),0)))</f>
        <v>1</v>
      </c>
      <c r="Y349" s="21"/>
      <c r="Z349" s="16" t="n">
        <f aca="false">IF(X349=0,"",X349-Y349)</f>
        <v>1</v>
      </c>
      <c r="AA349" s="22" t="n">
        <f aca="false">IFERROR(Y349/X349,"")</f>
        <v>0</v>
      </c>
      <c r="AB349" s="16" t="n">
        <v>0</v>
      </c>
      <c r="AC349" s="21"/>
    </row>
    <row r="350" customFormat="false" ht="15" hidden="false" customHeight="true" outlineLevel="0" collapsed="false">
      <c r="A350" s="15" t="s">
        <v>3683</v>
      </c>
      <c r="B350" s="15" t="s">
        <v>3684</v>
      </c>
      <c r="C350" s="15" t="s">
        <v>3685</v>
      </c>
      <c r="D350" s="15" t="s">
        <v>3686</v>
      </c>
      <c r="E350" s="15" t="s">
        <v>3687</v>
      </c>
      <c r="F350" s="15" t="s">
        <v>3688</v>
      </c>
      <c r="G350" s="15" t="s">
        <v>3689</v>
      </c>
      <c r="H350" s="15" t="s">
        <v>3690</v>
      </c>
      <c r="I350" s="15" t="s">
        <v>3691</v>
      </c>
      <c r="J350" s="15" t="s">
        <v>82</v>
      </c>
      <c r="K350" s="15" t="s">
        <v>47</v>
      </c>
      <c r="L350" s="15" t="s">
        <v>83</v>
      </c>
      <c r="M350" s="15" t="s">
        <v>3692</v>
      </c>
      <c r="N350" s="15" t="s">
        <v>73</v>
      </c>
      <c r="O350" s="16" t="n">
        <v>0</v>
      </c>
      <c r="P350" s="16" t="n">
        <v>0</v>
      </c>
      <c r="Q350" s="16" t="n">
        <v>1</v>
      </c>
      <c r="R350" s="16" t="n">
        <v>1</v>
      </c>
      <c r="S350" s="16" t="n">
        <v>2</v>
      </c>
      <c r="T350" s="17" t="n">
        <f aca="false">AVERAGE(O350:Q350)</f>
        <v>0.333333333333333</v>
      </c>
      <c r="U350" s="18" t="str">
        <f aca="false">IF(T350&gt;=$H$3,"Eligible","Not Eligible")</f>
        <v>Not Eligible</v>
      </c>
      <c r="V350" s="19" t="n">
        <f aca="false">IF(T350&lt;$H$3,0,IFERROR(T350/SUMIF($T$5:$T$999,"&gt;="&amp;$H$3),0))</f>
        <v>0</v>
      </c>
      <c r="W350" s="15" t="str">
        <f aca="false">IF(T350=0,"Win-Back","Active")</f>
        <v>Active</v>
      </c>
      <c r="X350" s="20" t="n">
        <f aca="false">IF(T350=0,0,IF(T350&gt;=$H$3,ROUND(T350*$D$3/SUMIF($T$5:$T$999,"&gt;="&amp;$H$3),0),ROUNDUP(T350*$D$3/SUMIF($T$5:$T$999,"&gt;="&amp;$H$3),0)))</f>
        <v>1</v>
      </c>
      <c r="Y350" s="21"/>
      <c r="Z350" s="16" t="n">
        <f aca="false">IF(X350=0,"",X350-Y350)</f>
        <v>1</v>
      </c>
      <c r="AA350" s="22" t="n">
        <f aca="false">IFERROR(Y350/X350,"")</f>
        <v>0</v>
      </c>
      <c r="AB350" s="16" t="n">
        <v>0</v>
      </c>
      <c r="AC350" s="21"/>
    </row>
    <row r="351" customFormat="false" ht="15" hidden="false" customHeight="true" outlineLevel="0" collapsed="false">
      <c r="A351" s="15" t="s">
        <v>3693</v>
      </c>
      <c r="B351" s="15" t="s">
        <v>3694</v>
      </c>
      <c r="C351" s="15" t="s">
        <v>3695</v>
      </c>
      <c r="D351" s="15" t="s">
        <v>3696</v>
      </c>
      <c r="E351" s="15" t="s">
        <v>3697</v>
      </c>
      <c r="F351" s="15" t="s">
        <v>3698</v>
      </c>
      <c r="G351" s="15" t="s">
        <v>3699</v>
      </c>
      <c r="H351" s="15" t="s">
        <v>3700</v>
      </c>
      <c r="I351" s="15"/>
      <c r="J351" s="15" t="s">
        <v>2973</v>
      </c>
      <c r="K351" s="15" t="s">
        <v>1139</v>
      </c>
      <c r="L351" s="15" t="s">
        <v>2974</v>
      </c>
      <c r="M351" s="15" t="s">
        <v>3701</v>
      </c>
      <c r="N351" s="15" t="s">
        <v>73</v>
      </c>
      <c r="O351" s="16" t="n">
        <v>0</v>
      </c>
      <c r="P351" s="16" t="n">
        <v>1</v>
      </c>
      <c r="Q351" s="16" t="n">
        <v>0</v>
      </c>
      <c r="R351" s="16" t="n">
        <v>1</v>
      </c>
      <c r="S351" s="16" t="n">
        <v>2</v>
      </c>
      <c r="T351" s="17" t="n">
        <f aca="false">AVERAGE(O351:Q351)</f>
        <v>0.333333333333333</v>
      </c>
      <c r="U351" s="18" t="str">
        <f aca="false">IF(T351&gt;=$H$3,"Eligible","Not Eligible")</f>
        <v>Not Eligible</v>
      </c>
      <c r="V351" s="19" t="n">
        <f aca="false">IF(T351&lt;$H$3,0,IFERROR(T351/SUMIF($T$5:$T$999,"&gt;="&amp;$H$3),0))</f>
        <v>0</v>
      </c>
      <c r="W351" s="15" t="str">
        <f aca="false">IF(T351=0,"Win-Back","Active")</f>
        <v>Active</v>
      </c>
      <c r="X351" s="20" t="n">
        <f aca="false">IF(T351=0,0,IF(T351&gt;=$H$3,ROUND(T351*$D$3/SUMIF($T$5:$T$999,"&gt;="&amp;$H$3),0),ROUNDUP(T351*$D$3/SUMIF($T$5:$T$999,"&gt;="&amp;$H$3),0)))</f>
        <v>1</v>
      </c>
      <c r="Y351" s="21"/>
      <c r="Z351" s="16" t="n">
        <f aca="false">IF(X351=0,"",X351-Y351)</f>
        <v>1</v>
      </c>
      <c r="AA351" s="22" t="n">
        <f aca="false">IFERROR(Y351/X351,"")</f>
        <v>0</v>
      </c>
      <c r="AB351" s="16" t="n">
        <v>0</v>
      </c>
      <c r="AC351" s="21"/>
    </row>
    <row r="352" customFormat="false" ht="15" hidden="false" customHeight="true" outlineLevel="0" collapsed="false">
      <c r="A352" s="15" t="s">
        <v>3702</v>
      </c>
      <c r="B352" s="15" t="s">
        <v>3703</v>
      </c>
      <c r="C352" s="15" t="s">
        <v>3704</v>
      </c>
      <c r="D352" s="15" t="s">
        <v>3705</v>
      </c>
      <c r="E352" s="15" t="s">
        <v>3706</v>
      </c>
      <c r="F352" s="15" t="s">
        <v>3707</v>
      </c>
      <c r="G352" s="15" t="s">
        <v>3708</v>
      </c>
      <c r="H352" s="15" t="s">
        <v>3709</v>
      </c>
      <c r="I352" s="15" t="s">
        <v>3710</v>
      </c>
      <c r="J352" s="15" t="s">
        <v>777</v>
      </c>
      <c r="K352" s="15" t="s">
        <v>70</v>
      </c>
      <c r="L352" s="15" t="s">
        <v>3711</v>
      </c>
      <c r="M352" s="15" t="s">
        <v>3712</v>
      </c>
      <c r="N352" s="15" t="s">
        <v>73</v>
      </c>
      <c r="O352" s="16" t="n">
        <v>0</v>
      </c>
      <c r="P352" s="16" t="n">
        <v>1</v>
      </c>
      <c r="Q352" s="16" t="n">
        <v>0</v>
      </c>
      <c r="R352" s="16" t="n">
        <v>1</v>
      </c>
      <c r="S352" s="16" t="n">
        <v>2</v>
      </c>
      <c r="T352" s="17" t="n">
        <f aca="false">AVERAGE(O352:Q352)</f>
        <v>0.333333333333333</v>
      </c>
      <c r="U352" s="18" t="str">
        <f aca="false">IF(T352&gt;=$H$3,"Eligible","Not Eligible")</f>
        <v>Not Eligible</v>
      </c>
      <c r="V352" s="19" t="n">
        <f aca="false">IF(T352&lt;$H$3,0,IFERROR(T352/SUMIF($T$5:$T$999,"&gt;="&amp;$H$3),0))</f>
        <v>0</v>
      </c>
      <c r="W352" s="15" t="str">
        <f aca="false">IF(T352=0,"Win-Back","Active")</f>
        <v>Active</v>
      </c>
      <c r="X352" s="20" t="n">
        <f aca="false">IF(T352=0,0,IF(T352&gt;=$H$3,ROUND(T352*$D$3/SUMIF($T$5:$T$999,"&gt;="&amp;$H$3),0),ROUNDUP(T352*$D$3/SUMIF($T$5:$T$999,"&gt;="&amp;$H$3),0)))</f>
        <v>1</v>
      </c>
      <c r="Y352" s="21"/>
      <c r="Z352" s="16" t="n">
        <f aca="false">IF(X352=0,"",X352-Y352)</f>
        <v>1</v>
      </c>
      <c r="AA352" s="22" t="n">
        <f aca="false">IFERROR(Y352/X352,"")</f>
        <v>0</v>
      </c>
      <c r="AB352" s="16" t="n">
        <v>0</v>
      </c>
      <c r="AC352" s="21"/>
    </row>
    <row r="353" customFormat="false" ht="15" hidden="false" customHeight="true" outlineLevel="0" collapsed="false">
      <c r="A353" s="15" t="s">
        <v>3713</v>
      </c>
      <c r="B353" s="15" t="s">
        <v>3714</v>
      </c>
      <c r="C353" s="15" t="s">
        <v>3715</v>
      </c>
      <c r="D353" s="15" t="s">
        <v>3716</v>
      </c>
      <c r="E353" s="15" t="s">
        <v>3717</v>
      </c>
      <c r="F353" s="15" t="s">
        <v>3718</v>
      </c>
      <c r="G353" s="15" t="s">
        <v>3719</v>
      </c>
      <c r="H353" s="15" t="s">
        <v>3720</v>
      </c>
      <c r="I353" s="15" t="s">
        <v>2206</v>
      </c>
      <c r="J353" s="15" t="s">
        <v>1921</v>
      </c>
      <c r="K353" s="15" t="s">
        <v>368</v>
      </c>
      <c r="L353" s="15" t="s">
        <v>1922</v>
      </c>
      <c r="M353" s="15" t="s">
        <v>3721</v>
      </c>
      <c r="N353" s="15" t="s">
        <v>73</v>
      </c>
      <c r="O353" s="16" t="n">
        <v>0</v>
      </c>
      <c r="P353" s="16" t="n">
        <v>0</v>
      </c>
      <c r="Q353" s="16" t="n">
        <v>1</v>
      </c>
      <c r="R353" s="16" t="n">
        <v>1</v>
      </c>
      <c r="S353" s="16" t="n">
        <v>2</v>
      </c>
      <c r="T353" s="17" t="n">
        <f aca="false">AVERAGE(O353:Q353)</f>
        <v>0.333333333333333</v>
      </c>
      <c r="U353" s="18" t="str">
        <f aca="false">IF(T353&gt;=$H$3,"Eligible","Not Eligible")</f>
        <v>Not Eligible</v>
      </c>
      <c r="V353" s="19" t="n">
        <f aca="false">IF(T353&lt;$H$3,0,IFERROR(T353/SUMIF($T$5:$T$999,"&gt;="&amp;$H$3),0))</f>
        <v>0</v>
      </c>
      <c r="W353" s="15" t="str">
        <f aca="false">IF(T353=0,"Win-Back","Active")</f>
        <v>Active</v>
      </c>
      <c r="X353" s="20" t="n">
        <f aca="false">IF(T353=0,0,IF(T353&gt;=$H$3,ROUND(T353*$D$3/SUMIF($T$5:$T$999,"&gt;="&amp;$H$3),0),ROUNDUP(T353*$D$3/SUMIF($T$5:$T$999,"&gt;="&amp;$H$3),0)))</f>
        <v>1</v>
      </c>
      <c r="Y353" s="21"/>
      <c r="Z353" s="16" t="n">
        <f aca="false">IF(X353=0,"",X353-Y353)</f>
        <v>1</v>
      </c>
      <c r="AA353" s="22" t="n">
        <f aca="false">IFERROR(Y353/X353,"")</f>
        <v>0</v>
      </c>
      <c r="AB353" s="16" t="n">
        <v>0</v>
      </c>
      <c r="AC353" s="21"/>
    </row>
    <row r="354" customFormat="false" ht="15" hidden="false" customHeight="true" outlineLevel="0" collapsed="false">
      <c r="A354" s="15" t="s">
        <v>3722</v>
      </c>
      <c r="B354" s="15" t="s">
        <v>3723</v>
      </c>
      <c r="C354" s="15" t="s">
        <v>3724</v>
      </c>
      <c r="D354" s="15" t="s">
        <v>3725</v>
      </c>
      <c r="E354" s="15" t="s">
        <v>3726</v>
      </c>
      <c r="F354" s="15" t="s">
        <v>3727</v>
      </c>
      <c r="G354" s="15" t="s">
        <v>3728</v>
      </c>
      <c r="H354" s="15" t="s">
        <v>3729</v>
      </c>
      <c r="I354" s="15"/>
      <c r="J354" s="15" t="s">
        <v>367</v>
      </c>
      <c r="K354" s="15" t="s">
        <v>368</v>
      </c>
      <c r="L354" s="15" t="s">
        <v>3730</v>
      </c>
      <c r="M354" s="15" t="s">
        <v>3731</v>
      </c>
      <c r="N354" s="15" t="s">
        <v>73</v>
      </c>
      <c r="O354" s="16" t="n">
        <v>0</v>
      </c>
      <c r="P354" s="16" t="n">
        <v>0</v>
      </c>
      <c r="Q354" s="16" t="n">
        <v>1</v>
      </c>
      <c r="R354" s="16" t="n">
        <v>1</v>
      </c>
      <c r="S354" s="16" t="n">
        <v>2</v>
      </c>
      <c r="T354" s="17" t="n">
        <f aca="false">AVERAGE(O354:Q354)</f>
        <v>0.333333333333333</v>
      </c>
      <c r="U354" s="18" t="str">
        <f aca="false">IF(T354&gt;=$H$3,"Eligible","Not Eligible")</f>
        <v>Not Eligible</v>
      </c>
      <c r="V354" s="19" t="n">
        <f aca="false">IF(T354&lt;$H$3,0,IFERROR(T354/SUMIF($T$5:$T$999,"&gt;="&amp;$H$3),0))</f>
        <v>0</v>
      </c>
      <c r="W354" s="15" t="str">
        <f aca="false">IF(T354=0,"Win-Back","Active")</f>
        <v>Active</v>
      </c>
      <c r="X354" s="20" t="n">
        <f aca="false">IF(T354=0,0,IF(T354&gt;=$H$3,ROUND(T354*$D$3/SUMIF($T$5:$T$999,"&gt;="&amp;$H$3),0),ROUNDUP(T354*$D$3/SUMIF($T$5:$T$999,"&gt;="&amp;$H$3),0)))</f>
        <v>1</v>
      </c>
      <c r="Y354" s="21"/>
      <c r="Z354" s="16" t="n">
        <f aca="false">IF(X354=0,"",X354-Y354)</f>
        <v>1</v>
      </c>
      <c r="AA354" s="22" t="n">
        <f aca="false">IFERROR(Y354/X354,"")</f>
        <v>0</v>
      </c>
      <c r="AB354" s="16" t="n">
        <v>0</v>
      </c>
      <c r="AC354" s="21"/>
    </row>
    <row r="355" customFormat="false" ht="15" hidden="false" customHeight="true" outlineLevel="0" collapsed="false">
      <c r="A355" s="15" t="s">
        <v>3732</v>
      </c>
      <c r="B355" s="15" t="s">
        <v>3733</v>
      </c>
      <c r="C355" s="15" t="s">
        <v>3734</v>
      </c>
      <c r="D355" s="15" t="s">
        <v>3735</v>
      </c>
      <c r="E355" s="15" t="s">
        <v>3736</v>
      </c>
      <c r="F355" s="15" t="s">
        <v>3737</v>
      </c>
      <c r="G355" s="15" t="s">
        <v>3738</v>
      </c>
      <c r="H355" s="15" t="s">
        <v>3739</v>
      </c>
      <c r="I355" s="15"/>
      <c r="J355" s="15" t="s">
        <v>3740</v>
      </c>
      <c r="K355" s="15" t="s">
        <v>368</v>
      </c>
      <c r="L355" s="15" t="s">
        <v>3741</v>
      </c>
      <c r="M355" s="15" t="s">
        <v>3742</v>
      </c>
      <c r="N355" s="15" t="s">
        <v>73</v>
      </c>
      <c r="O355" s="16" t="n">
        <v>0</v>
      </c>
      <c r="P355" s="16" t="n">
        <v>1</v>
      </c>
      <c r="Q355" s="16" t="n">
        <v>0</v>
      </c>
      <c r="R355" s="16" t="n">
        <v>1</v>
      </c>
      <c r="S355" s="16" t="n">
        <v>2</v>
      </c>
      <c r="T355" s="17" t="n">
        <f aca="false">AVERAGE(O355:Q355)</f>
        <v>0.333333333333333</v>
      </c>
      <c r="U355" s="18" t="str">
        <f aca="false">IF(T355&gt;=$H$3,"Eligible","Not Eligible")</f>
        <v>Not Eligible</v>
      </c>
      <c r="V355" s="19" t="n">
        <f aca="false">IF(T355&lt;$H$3,0,IFERROR(T355/SUMIF($T$5:$T$999,"&gt;="&amp;$H$3),0))</f>
        <v>0</v>
      </c>
      <c r="W355" s="15" t="str">
        <f aca="false">IF(T355=0,"Win-Back","Active")</f>
        <v>Active</v>
      </c>
      <c r="X355" s="20" t="n">
        <f aca="false">IF(T355=0,0,IF(T355&gt;=$H$3,ROUND(T355*$D$3/SUMIF($T$5:$T$999,"&gt;="&amp;$H$3),0),ROUNDUP(T355*$D$3/SUMIF($T$5:$T$999,"&gt;="&amp;$H$3),0)))</f>
        <v>1</v>
      </c>
      <c r="Y355" s="21" t="n">
        <v>2</v>
      </c>
      <c r="Z355" s="16" t="n">
        <f aca="false">IF(X355=0,"",X355-Y355)</f>
        <v>-1</v>
      </c>
      <c r="AA355" s="22" t="n">
        <f aca="false">IFERROR(Y355/X355,"")</f>
        <v>2</v>
      </c>
      <c r="AB355" s="16" t="n">
        <v>0</v>
      </c>
      <c r="AC355" s="21"/>
    </row>
    <row r="356" customFormat="false" ht="15" hidden="false" customHeight="true" outlineLevel="0" collapsed="false">
      <c r="A356" s="15" t="s">
        <v>3743</v>
      </c>
      <c r="B356" s="15" t="s">
        <v>3744</v>
      </c>
      <c r="C356" s="15" t="s">
        <v>3745</v>
      </c>
      <c r="D356" s="15" t="s">
        <v>3746</v>
      </c>
      <c r="E356" s="15" t="s">
        <v>3747</v>
      </c>
      <c r="F356" s="15" t="s">
        <v>3748</v>
      </c>
      <c r="G356" s="15" t="s">
        <v>3749</v>
      </c>
      <c r="H356" s="15" t="s">
        <v>3750</v>
      </c>
      <c r="I356" s="15" t="s">
        <v>3751</v>
      </c>
      <c r="J356" s="15" t="s">
        <v>3377</v>
      </c>
      <c r="K356" s="15" t="s">
        <v>615</v>
      </c>
      <c r="L356" s="15" t="s">
        <v>3752</v>
      </c>
      <c r="M356" s="15" t="s">
        <v>3753</v>
      </c>
      <c r="N356" s="15" t="s">
        <v>73</v>
      </c>
      <c r="O356" s="16" t="n">
        <v>0</v>
      </c>
      <c r="P356" s="16" t="n">
        <v>0</v>
      </c>
      <c r="Q356" s="16" t="n">
        <v>1</v>
      </c>
      <c r="R356" s="16" t="n">
        <v>1</v>
      </c>
      <c r="S356" s="16" t="n">
        <v>2</v>
      </c>
      <c r="T356" s="17" t="n">
        <f aca="false">AVERAGE(O356:Q356)</f>
        <v>0.333333333333333</v>
      </c>
      <c r="U356" s="18" t="str">
        <f aca="false">IF(T356&gt;=$H$3,"Eligible","Not Eligible")</f>
        <v>Not Eligible</v>
      </c>
      <c r="V356" s="19" t="n">
        <f aca="false">IF(T356&lt;$H$3,0,IFERROR(T356/SUMIF($T$5:$T$999,"&gt;="&amp;$H$3),0))</f>
        <v>0</v>
      </c>
      <c r="W356" s="15" t="str">
        <f aca="false">IF(T356=0,"Win-Back","Active")</f>
        <v>Active</v>
      </c>
      <c r="X356" s="20" t="n">
        <f aca="false">IF(T356=0,0,IF(T356&gt;=$H$3,ROUND(T356*$D$3/SUMIF($T$5:$T$999,"&gt;="&amp;$H$3),0),ROUNDUP(T356*$D$3/SUMIF($T$5:$T$999,"&gt;="&amp;$H$3),0)))</f>
        <v>1</v>
      </c>
      <c r="Y356" s="21"/>
      <c r="Z356" s="16" t="n">
        <f aca="false">IF(X356=0,"",X356-Y356)</f>
        <v>1</v>
      </c>
      <c r="AA356" s="22" t="n">
        <f aca="false">IFERROR(Y356/X356,"")</f>
        <v>0</v>
      </c>
      <c r="AB356" s="16" t="n">
        <v>0</v>
      </c>
      <c r="AC356" s="21"/>
    </row>
    <row r="357" customFormat="false" ht="15" hidden="false" customHeight="true" outlineLevel="0" collapsed="false">
      <c r="A357" s="15" t="s">
        <v>3754</v>
      </c>
      <c r="B357" s="15" t="s">
        <v>3755</v>
      </c>
      <c r="C357" s="15" t="s">
        <v>3756</v>
      </c>
      <c r="D357" s="15" t="s">
        <v>3757</v>
      </c>
      <c r="E357" s="15" t="s">
        <v>3758</v>
      </c>
      <c r="F357" s="15" t="s">
        <v>3759</v>
      </c>
      <c r="G357" s="15" t="s">
        <v>3760</v>
      </c>
      <c r="H357" s="15" t="s">
        <v>3761</v>
      </c>
      <c r="I357" s="15"/>
      <c r="J357" s="15" t="s">
        <v>1177</v>
      </c>
      <c r="K357" s="15" t="s">
        <v>47</v>
      </c>
      <c r="L357" s="15" t="s">
        <v>1178</v>
      </c>
      <c r="M357" s="15" t="s">
        <v>3762</v>
      </c>
      <c r="N357" s="15" t="s">
        <v>73</v>
      </c>
      <c r="O357" s="16" t="n">
        <v>0</v>
      </c>
      <c r="P357" s="16" t="n">
        <v>0</v>
      </c>
      <c r="Q357" s="16" t="n">
        <v>1</v>
      </c>
      <c r="R357" s="16" t="n">
        <v>0</v>
      </c>
      <c r="S357" s="16" t="n">
        <v>1</v>
      </c>
      <c r="T357" s="17" t="n">
        <f aca="false">AVERAGE(O357:Q357)</f>
        <v>0.333333333333333</v>
      </c>
      <c r="U357" s="18" t="str">
        <f aca="false">IF(T357&gt;=$H$3,"Eligible","Not Eligible")</f>
        <v>Not Eligible</v>
      </c>
      <c r="V357" s="19" t="n">
        <f aca="false">IF(T357&lt;$H$3,0,IFERROR(T357/SUMIF($T$5:$T$999,"&gt;="&amp;$H$3),0))</f>
        <v>0</v>
      </c>
      <c r="W357" s="15" t="str">
        <f aca="false">IF(T357=0,"Win-Back","Active")</f>
        <v>Active</v>
      </c>
      <c r="X357" s="20" t="n">
        <f aca="false">IF(T357=0,0,IF(T357&gt;=$H$3,ROUND(T357*$D$3/SUMIF($T$5:$T$999,"&gt;="&amp;$H$3),0),ROUNDUP(T357*$D$3/SUMIF($T$5:$T$999,"&gt;="&amp;$H$3),0)))</f>
        <v>1</v>
      </c>
      <c r="Y357" s="21"/>
      <c r="Z357" s="16" t="n">
        <f aca="false">IF(X357=0,"",X357-Y357)</f>
        <v>1</v>
      </c>
      <c r="AA357" s="22" t="n">
        <f aca="false">IFERROR(Y357/X357,"")</f>
        <v>0</v>
      </c>
      <c r="AB357" s="16" t="n">
        <v>0</v>
      </c>
      <c r="AC357" s="21"/>
    </row>
    <row r="358" customFormat="false" ht="15" hidden="false" customHeight="true" outlineLevel="0" collapsed="false">
      <c r="A358" s="15" t="s">
        <v>3763</v>
      </c>
      <c r="B358" s="15" t="s">
        <v>3764</v>
      </c>
      <c r="C358" s="15" t="s">
        <v>3765</v>
      </c>
      <c r="D358" s="15" t="s">
        <v>3766</v>
      </c>
      <c r="E358" s="15" t="s">
        <v>3767</v>
      </c>
      <c r="F358" s="15" t="s">
        <v>3768</v>
      </c>
      <c r="G358" s="15" t="s">
        <v>3769</v>
      </c>
      <c r="H358" s="15" t="s">
        <v>3770</v>
      </c>
      <c r="I358" s="15"/>
      <c r="J358" s="15" t="s">
        <v>3771</v>
      </c>
      <c r="K358" s="15" t="s">
        <v>70</v>
      </c>
      <c r="L358" s="15" t="s">
        <v>3772</v>
      </c>
      <c r="M358" s="15" t="s">
        <v>3773</v>
      </c>
      <c r="N358" s="15" t="s">
        <v>73</v>
      </c>
      <c r="O358" s="16" t="n">
        <v>0</v>
      </c>
      <c r="P358" s="16" t="n">
        <v>1</v>
      </c>
      <c r="Q358" s="16" t="n">
        <v>0</v>
      </c>
      <c r="R358" s="16" t="n">
        <v>0</v>
      </c>
      <c r="S358" s="16" t="n">
        <v>1</v>
      </c>
      <c r="T358" s="17" t="n">
        <f aca="false">AVERAGE(O358:Q358)</f>
        <v>0.333333333333333</v>
      </c>
      <c r="U358" s="18" t="str">
        <f aca="false">IF(T358&gt;=$H$3,"Eligible","Not Eligible")</f>
        <v>Not Eligible</v>
      </c>
      <c r="V358" s="19" t="n">
        <f aca="false">IF(T358&lt;$H$3,0,IFERROR(T358/SUMIF($T$5:$T$999,"&gt;="&amp;$H$3),0))</f>
        <v>0</v>
      </c>
      <c r="W358" s="15" t="str">
        <f aca="false">IF(T358=0,"Win-Back","Active")</f>
        <v>Active</v>
      </c>
      <c r="X358" s="20" t="n">
        <f aca="false">IF(T358=0,0,IF(T358&gt;=$H$3,ROUND(T358*$D$3/SUMIF($T$5:$T$999,"&gt;="&amp;$H$3),0),ROUNDUP(T358*$D$3/SUMIF($T$5:$T$999,"&gt;="&amp;$H$3),0)))</f>
        <v>1</v>
      </c>
      <c r="Y358" s="21" t="n">
        <v>1</v>
      </c>
      <c r="Z358" s="16" t="n">
        <f aca="false">IF(X358=0,"",X358-Y358)</f>
        <v>0</v>
      </c>
      <c r="AA358" s="22" t="n">
        <f aca="false">IFERROR(Y358/X358,"")</f>
        <v>1</v>
      </c>
      <c r="AB358" s="16" t="n">
        <v>0</v>
      </c>
      <c r="AC358" s="21"/>
    </row>
    <row r="359" customFormat="false" ht="15" hidden="false" customHeight="true" outlineLevel="0" collapsed="false">
      <c r="A359" s="15" t="s">
        <v>3774</v>
      </c>
      <c r="B359" s="15" t="s">
        <v>3775</v>
      </c>
      <c r="C359" s="15" t="s">
        <v>3776</v>
      </c>
      <c r="D359" s="15" t="s">
        <v>3777</v>
      </c>
      <c r="E359" s="15" t="s">
        <v>3778</v>
      </c>
      <c r="F359" s="15" t="s">
        <v>3779</v>
      </c>
      <c r="G359" s="15" t="s">
        <v>3780</v>
      </c>
      <c r="H359" s="15" t="s">
        <v>3781</v>
      </c>
      <c r="I359" s="15"/>
      <c r="J359" s="15" t="s">
        <v>677</v>
      </c>
      <c r="K359" s="15" t="s">
        <v>678</v>
      </c>
      <c r="L359" s="15" t="s">
        <v>3782</v>
      </c>
      <c r="M359" s="15" t="s">
        <v>3783</v>
      </c>
      <c r="N359" s="15" t="s">
        <v>73</v>
      </c>
      <c r="O359" s="16" t="n">
        <v>0</v>
      </c>
      <c r="P359" s="16" t="n">
        <v>0</v>
      </c>
      <c r="Q359" s="16" t="n">
        <v>1</v>
      </c>
      <c r="R359" s="16" t="n">
        <v>0</v>
      </c>
      <c r="S359" s="16" t="n">
        <v>1</v>
      </c>
      <c r="T359" s="17" t="n">
        <f aca="false">AVERAGE(O359:Q359)</f>
        <v>0.333333333333333</v>
      </c>
      <c r="U359" s="18" t="str">
        <f aca="false">IF(T359&gt;=$H$3,"Eligible","Not Eligible")</f>
        <v>Not Eligible</v>
      </c>
      <c r="V359" s="19" t="n">
        <f aca="false">IF(T359&lt;$H$3,0,IFERROR(T359/SUMIF($T$5:$T$999,"&gt;="&amp;$H$3),0))</f>
        <v>0</v>
      </c>
      <c r="W359" s="15" t="str">
        <f aca="false">IF(T359=0,"Win-Back","Active")</f>
        <v>Active</v>
      </c>
      <c r="X359" s="20" t="n">
        <f aca="false">IF(T359=0,0,IF(T359&gt;=$H$3,ROUND(T359*$D$3/SUMIF($T$5:$T$999,"&gt;="&amp;$H$3),0),ROUNDUP(T359*$D$3/SUMIF($T$5:$T$999,"&gt;="&amp;$H$3),0)))</f>
        <v>1</v>
      </c>
      <c r="Y359" s="21"/>
      <c r="Z359" s="16" t="n">
        <f aca="false">IF(X359=0,"",X359-Y359)</f>
        <v>1</v>
      </c>
      <c r="AA359" s="22" t="n">
        <f aca="false">IFERROR(Y359/X359,"")</f>
        <v>0</v>
      </c>
      <c r="AB359" s="16" t="n">
        <v>0</v>
      </c>
      <c r="AC359" s="21"/>
    </row>
    <row r="360" customFormat="false" ht="15" hidden="false" customHeight="true" outlineLevel="0" collapsed="false">
      <c r="A360" s="15" t="s">
        <v>3784</v>
      </c>
      <c r="B360" s="15" t="s">
        <v>3785</v>
      </c>
      <c r="C360" s="15" t="s">
        <v>3786</v>
      </c>
      <c r="D360" s="15" t="s">
        <v>3787</v>
      </c>
      <c r="E360" s="15" t="s">
        <v>3788</v>
      </c>
      <c r="F360" s="15" t="s">
        <v>3789</v>
      </c>
      <c r="G360" s="15" t="s">
        <v>3790</v>
      </c>
      <c r="H360" s="15" t="s">
        <v>3791</v>
      </c>
      <c r="I360" s="15" t="s">
        <v>3169</v>
      </c>
      <c r="J360" s="15" t="s">
        <v>3792</v>
      </c>
      <c r="K360" s="15" t="s">
        <v>3793</v>
      </c>
      <c r="L360" s="15" t="s">
        <v>3794</v>
      </c>
      <c r="M360" s="15" t="s">
        <v>3795</v>
      </c>
      <c r="N360" s="15" t="s">
        <v>73</v>
      </c>
      <c r="O360" s="16" t="n">
        <v>0</v>
      </c>
      <c r="P360" s="16" t="n">
        <v>0</v>
      </c>
      <c r="Q360" s="16" t="n">
        <v>1</v>
      </c>
      <c r="R360" s="16" t="n">
        <v>0</v>
      </c>
      <c r="S360" s="16" t="n">
        <v>1</v>
      </c>
      <c r="T360" s="17" t="n">
        <f aca="false">AVERAGE(O360:Q360)</f>
        <v>0.333333333333333</v>
      </c>
      <c r="U360" s="18" t="str">
        <f aca="false">IF(T360&gt;=$H$3,"Eligible","Not Eligible")</f>
        <v>Not Eligible</v>
      </c>
      <c r="V360" s="19" t="n">
        <f aca="false">IF(T360&lt;$H$3,0,IFERROR(T360/SUMIF($T$5:$T$999,"&gt;="&amp;$H$3),0))</f>
        <v>0</v>
      </c>
      <c r="W360" s="15" t="str">
        <f aca="false">IF(T360=0,"Win-Back","Active")</f>
        <v>Active</v>
      </c>
      <c r="X360" s="20" t="n">
        <f aca="false">IF(T360=0,0,IF(T360&gt;=$H$3,ROUND(T360*$D$3/SUMIF($T$5:$T$999,"&gt;="&amp;$H$3),0),ROUNDUP(T360*$D$3/SUMIF($T$5:$T$999,"&gt;="&amp;$H$3),0)))</f>
        <v>1</v>
      </c>
      <c r="Y360" s="21"/>
      <c r="Z360" s="16" t="n">
        <f aca="false">IF(X360=0,"",X360-Y360)</f>
        <v>1</v>
      </c>
      <c r="AA360" s="22" t="n">
        <f aca="false">IFERROR(Y360/X360,"")</f>
        <v>0</v>
      </c>
      <c r="AB360" s="16" t="n">
        <v>0</v>
      </c>
      <c r="AC360" s="21"/>
    </row>
    <row r="361" customFormat="false" ht="15" hidden="false" customHeight="true" outlineLevel="0" collapsed="false">
      <c r="A361" s="15" t="s">
        <v>3796</v>
      </c>
      <c r="B361" s="15" t="s">
        <v>3797</v>
      </c>
      <c r="C361" s="15" t="s">
        <v>3798</v>
      </c>
      <c r="D361" s="15" t="s">
        <v>3799</v>
      </c>
      <c r="E361" s="15" t="s">
        <v>3800</v>
      </c>
      <c r="F361" s="15" t="s">
        <v>3801</v>
      </c>
      <c r="G361" s="15" t="s">
        <v>3802</v>
      </c>
      <c r="H361" s="15" t="s">
        <v>3803</v>
      </c>
      <c r="I361" s="15"/>
      <c r="J361" s="15" t="s">
        <v>3804</v>
      </c>
      <c r="K361" s="15" t="s">
        <v>678</v>
      </c>
      <c r="L361" s="15" t="s">
        <v>3805</v>
      </c>
      <c r="M361" s="15" t="s">
        <v>3806</v>
      </c>
      <c r="N361" s="15" t="s">
        <v>73</v>
      </c>
      <c r="O361" s="16" t="n">
        <v>0</v>
      </c>
      <c r="P361" s="16" t="n">
        <v>0</v>
      </c>
      <c r="Q361" s="16" t="n">
        <v>1</v>
      </c>
      <c r="R361" s="16" t="n">
        <v>0</v>
      </c>
      <c r="S361" s="16" t="n">
        <v>1</v>
      </c>
      <c r="T361" s="17" t="n">
        <f aca="false">AVERAGE(O361:Q361)</f>
        <v>0.333333333333333</v>
      </c>
      <c r="U361" s="18" t="str">
        <f aca="false">IF(T361&gt;=$H$3,"Eligible","Not Eligible")</f>
        <v>Not Eligible</v>
      </c>
      <c r="V361" s="19" t="n">
        <f aca="false">IF(T361&lt;$H$3,0,IFERROR(T361/SUMIF($T$5:$T$999,"&gt;="&amp;$H$3),0))</f>
        <v>0</v>
      </c>
      <c r="W361" s="15" t="str">
        <f aca="false">IF(T361=0,"Win-Back","Active")</f>
        <v>Active</v>
      </c>
      <c r="X361" s="20" t="n">
        <f aca="false">IF(T361=0,0,IF(T361&gt;=$H$3,ROUND(T361*$D$3/SUMIF($T$5:$T$999,"&gt;="&amp;$H$3),0),ROUNDUP(T361*$D$3/SUMIF($T$5:$T$999,"&gt;="&amp;$H$3),0)))</f>
        <v>1</v>
      </c>
      <c r="Y361" s="21"/>
      <c r="Z361" s="16" t="n">
        <f aca="false">IF(X361=0,"",X361-Y361)</f>
        <v>1</v>
      </c>
      <c r="AA361" s="22" t="n">
        <f aca="false">IFERROR(Y361/X361,"")</f>
        <v>0</v>
      </c>
      <c r="AB361" s="16" t="n">
        <v>0</v>
      </c>
      <c r="AC361" s="21"/>
    </row>
    <row r="362" customFormat="false" ht="15" hidden="false" customHeight="true" outlineLevel="0" collapsed="false">
      <c r="A362" s="15" t="s">
        <v>3807</v>
      </c>
      <c r="B362" s="15" t="s">
        <v>3808</v>
      </c>
      <c r="C362" s="15" t="s">
        <v>3809</v>
      </c>
      <c r="D362" s="15" t="s">
        <v>3810</v>
      </c>
      <c r="E362" s="15" t="s">
        <v>3811</v>
      </c>
      <c r="F362" s="15" t="s">
        <v>3812</v>
      </c>
      <c r="G362" s="15" t="s">
        <v>3813</v>
      </c>
      <c r="H362" s="15" t="s">
        <v>3814</v>
      </c>
      <c r="I362" s="15"/>
      <c r="J362" s="15" t="s">
        <v>677</v>
      </c>
      <c r="K362" s="15" t="s">
        <v>678</v>
      </c>
      <c r="L362" s="15" t="s">
        <v>3815</v>
      </c>
      <c r="M362" s="15" t="s">
        <v>3816</v>
      </c>
      <c r="N362" s="15" t="s">
        <v>73</v>
      </c>
      <c r="O362" s="16" t="n">
        <v>1</v>
      </c>
      <c r="P362" s="16" t="n">
        <v>0</v>
      </c>
      <c r="Q362" s="16" t="n">
        <v>0</v>
      </c>
      <c r="R362" s="16" t="n">
        <v>0</v>
      </c>
      <c r="S362" s="16" t="n">
        <v>1</v>
      </c>
      <c r="T362" s="17" t="n">
        <f aca="false">AVERAGE(O362:Q362)</f>
        <v>0.333333333333333</v>
      </c>
      <c r="U362" s="18" t="str">
        <f aca="false">IF(T362&gt;=$H$3,"Eligible","Not Eligible")</f>
        <v>Not Eligible</v>
      </c>
      <c r="V362" s="19" t="n">
        <f aca="false">IF(T362&lt;$H$3,0,IFERROR(T362/SUMIF($T$5:$T$999,"&gt;="&amp;$H$3),0))</f>
        <v>0</v>
      </c>
      <c r="W362" s="15" t="str">
        <f aca="false">IF(T362=0,"Win-Back","Active")</f>
        <v>Active</v>
      </c>
      <c r="X362" s="20" t="n">
        <f aca="false">IF(T362=0,0,IF(T362&gt;=$H$3,ROUND(T362*$D$3/SUMIF($T$5:$T$999,"&gt;="&amp;$H$3),0),ROUNDUP(T362*$D$3/SUMIF($T$5:$T$999,"&gt;="&amp;$H$3),0)))</f>
        <v>1</v>
      </c>
      <c r="Y362" s="21" t="n">
        <v>4</v>
      </c>
      <c r="Z362" s="16" t="n">
        <f aca="false">IF(X362=0,"",X362-Y362)</f>
        <v>-3</v>
      </c>
      <c r="AA362" s="22" t="n">
        <f aca="false">IFERROR(Y362/X362,"")</f>
        <v>4</v>
      </c>
      <c r="AB362" s="16" t="n">
        <v>0</v>
      </c>
      <c r="AC362" s="21"/>
    </row>
    <row r="363" customFormat="false" ht="15" hidden="false" customHeight="true" outlineLevel="0" collapsed="false">
      <c r="A363" s="15" t="s">
        <v>3817</v>
      </c>
      <c r="B363" s="15" t="s">
        <v>3818</v>
      </c>
      <c r="C363" s="15" t="s">
        <v>3819</v>
      </c>
      <c r="D363" s="15" t="s">
        <v>3820</v>
      </c>
      <c r="E363" s="15" t="s">
        <v>3821</v>
      </c>
      <c r="F363" s="15" t="s">
        <v>3822</v>
      </c>
      <c r="G363" s="15" t="s">
        <v>3823</v>
      </c>
      <c r="H363" s="15" t="s">
        <v>3824</v>
      </c>
      <c r="I363" s="15" t="s">
        <v>3825</v>
      </c>
      <c r="J363" s="15" t="s">
        <v>1474</v>
      </c>
      <c r="K363" s="15" t="s">
        <v>368</v>
      </c>
      <c r="L363" s="15" t="s">
        <v>1475</v>
      </c>
      <c r="M363" s="15" t="s">
        <v>3826</v>
      </c>
      <c r="N363" s="15" t="s">
        <v>73</v>
      </c>
      <c r="O363" s="16" t="n">
        <v>1</v>
      </c>
      <c r="P363" s="16" t="n">
        <v>0</v>
      </c>
      <c r="Q363" s="16" t="n">
        <v>0</v>
      </c>
      <c r="R363" s="16" t="n">
        <v>0</v>
      </c>
      <c r="S363" s="16" t="n">
        <v>1</v>
      </c>
      <c r="T363" s="17" t="n">
        <f aca="false">AVERAGE(O363:Q363)</f>
        <v>0.333333333333333</v>
      </c>
      <c r="U363" s="18" t="str">
        <f aca="false">IF(T363&gt;=$H$3,"Eligible","Not Eligible")</f>
        <v>Not Eligible</v>
      </c>
      <c r="V363" s="19" t="n">
        <f aca="false">IF(T363&lt;$H$3,0,IFERROR(T363/SUMIF($T$5:$T$999,"&gt;="&amp;$H$3),0))</f>
        <v>0</v>
      </c>
      <c r="W363" s="15" t="str">
        <f aca="false">IF(T363=0,"Win-Back","Active")</f>
        <v>Active</v>
      </c>
      <c r="X363" s="20" t="n">
        <f aca="false">IF(T363=0,0,IF(T363&gt;=$H$3,ROUND(T363*$D$3/SUMIF($T$5:$T$999,"&gt;="&amp;$H$3),0),ROUNDUP(T363*$D$3/SUMIF($T$5:$T$999,"&gt;="&amp;$H$3),0)))</f>
        <v>1</v>
      </c>
      <c r="Y363" s="21"/>
      <c r="Z363" s="16" t="n">
        <f aca="false">IF(X363=0,"",X363-Y363)</f>
        <v>1</v>
      </c>
      <c r="AA363" s="22" t="n">
        <f aca="false">IFERROR(Y363/X363,"")</f>
        <v>0</v>
      </c>
      <c r="AB363" s="16" t="n">
        <v>0</v>
      </c>
      <c r="AC363" s="21"/>
    </row>
    <row r="364" customFormat="false" ht="15" hidden="false" customHeight="true" outlineLevel="0" collapsed="false">
      <c r="A364" s="15" t="s">
        <v>3827</v>
      </c>
      <c r="B364" s="15" t="s">
        <v>3828</v>
      </c>
      <c r="C364" s="15" t="s">
        <v>3829</v>
      </c>
      <c r="D364" s="15" t="s">
        <v>3830</v>
      </c>
      <c r="E364" s="15" t="s">
        <v>3831</v>
      </c>
      <c r="F364" s="15" t="s">
        <v>3832</v>
      </c>
      <c r="G364" s="15" t="s">
        <v>3833</v>
      </c>
      <c r="H364" s="15" t="s">
        <v>3834</v>
      </c>
      <c r="I364" s="15"/>
      <c r="J364" s="15" t="s">
        <v>3835</v>
      </c>
      <c r="K364" s="15" t="s">
        <v>70</v>
      </c>
      <c r="L364" s="15" t="s">
        <v>2420</v>
      </c>
      <c r="M364" s="15" t="s">
        <v>3836</v>
      </c>
      <c r="N364" s="15" t="s">
        <v>73</v>
      </c>
      <c r="O364" s="16" t="n">
        <v>0</v>
      </c>
      <c r="P364" s="16" t="n">
        <v>0</v>
      </c>
      <c r="Q364" s="16" t="n">
        <v>1</v>
      </c>
      <c r="R364" s="16" t="n">
        <v>0</v>
      </c>
      <c r="S364" s="16" t="n">
        <v>1</v>
      </c>
      <c r="T364" s="17" t="n">
        <f aca="false">AVERAGE(O364:Q364)</f>
        <v>0.333333333333333</v>
      </c>
      <c r="U364" s="18" t="str">
        <f aca="false">IF(T364&gt;=$H$3,"Eligible","Not Eligible")</f>
        <v>Not Eligible</v>
      </c>
      <c r="V364" s="19" t="n">
        <f aca="false">IF(T364&lt;$H$3,0,IFERROR(T364/SUMIF($T$5:$T$999,"&gt;="&amp;$H$3),0))</f>
        <v>0</v>
      </c>
      <c r="W364" s="15" t="str">
        <f aca="false">IF(T364=0,"Win-Back","Active")</f>
        <v>Active</v>
      </c>
      <c r="X364" s="20" t="n">
        <f aca="false">IF(T364=0,0,IF(T364&gt;=$H$3,ROUND(T364*$D$3/SUMIF($T$5:$T$999,"&gt;="&amp;$H$3),0),ROUNDUP(T364*$D$3/SUMIF($T$5:$T$999,"&gt;="&amp;$H$3),0)))</f>
        <v>1</v>
      </c>
      <c r="Y364" s="21"/>
      <c r="Z364" s="16" t="n">
        <f aca="false">IF(X364=0,"",X364-Y364)</f>
        <v>1</v>
      </c>
      <c r="AA364" s="22" t="n">
        <f aca="false">IFERROR(Y364/X364,"")</f>
        <v>0</v>
      </c>
      <c r="AB364" s="16" t="n">
        <v>0</v>
      </c>
      <c r="AC364" s="21"/>
    </row>
    <row r="365" customFormat="false" ht="15" hidden="false" customHeight="true" outlineLevel="0" collapsed="false">
      <c r="A365" s="15" t="s">
        <v>3837</v>
      </c>
      <c r="B365" s="15" t="s">
        <v>3838</v>
      </c>
      <c r="C365" s="15" t="s">
        <v>3839</v>
      </c>
      <c r="D365" s="15" t="s">
        <v>3840</v>
      </c>
      <c r="E365" s="15" t="s">
        <v>3841</v>
      </c>
      <c r="F365" s="15" t="s">
        <v>3842</v>
      </c>
      <c r="G365" s="15" t="s">
        <v>3843</v>
      </c>
      <c r="H365" s="15" t="s">
        <v>3844</v>
      </c>
      <c r="I365" s="15" t="s">
        <v>3845</v>
      </c>
      <c r="J365" s="15" t="s">
        <v>3846</v>
      </c>
      <c r="K365" s="15" t="s">
        <v>735</v>
      </c>
      <c r="L365" s="15" t="s">
        <v>3847</v>
      </c>
      <c r="M365" s="15" t="s">
        <v>3848</v>
      </c>
      <c r="N365" s="15" t="s">
        <v>73</v>
      </c>
      <c r="O365" s="16" t="n">
        <v>0</v>
      </c>
      <c r="P365" s="16" t="n">
        <v>1</v>
      </c>
      <c r="Q365" s="16" t="n">
        <v>0</v>
      </c>
      <c r="R365" s="16" t="n">
        <v>0</v>
      </c>
      <c r="S365" s="16" t="n">
        <v>1</v>
      </c>
      <c r="T365" s="17" t="n">
        <f aca="false">AVERAGE(O365:Q365)</f>
        <v>0.333333333333333</v>
      </c>
      <c r="U365" s="18" t="str">
        <f aca="false">IF(T365&gt;=$H$3,"Eligible","Not Eligible")</f>
        <v>Not Eligible</v>
      </c>
      <c r="V365" s="19" t="n">
        <f aca="false">IF(T365&lt;$H$3,0,IFERROR(T365/SUMIF($T$5:$T$999,"&gt;="&amp;$H$3),0))</f>
        <v>0</v>
      </c>
      <c r="W365" s="15" t="str">
        <f aca="false">IF(T365=0,"Win-Back","Active")</f>
        <v>Active</v>
      </c>
      <c r="X365" s="20" t="n">
        <f aca="false">IF(T365=0,0,IF(T365&gt;=$H$3,ROUND(T365*$D$3/SUMIF($T$5:$T$999,"&gt;="&amp;$H$3),0),ROUNDUP(T365*$D$3/SUMIF($T$5:$T$999,"&gt;="&amp;$H$3),0)))</f>
        <v>1</v>
      </c>
      <c r="Y365" s="21"/>
      <c r="Z365" s="16" t="n">
        <f aca="false">IF(X365=0,"",X365-Y365)</f>
        <v>1</v>
      </c>
      <c r="AA365" s="22" t="n">
        <f aca="false">IFERROR(Y365/X365,"")</f>
        <v>0</v>
      </c>
      <c r="AB365" s="16" t="n">
        <v>0</v>
      </c>
      <c r="AC365" s="21"/>
    </row>
    <row r="366" customFormat="false" ht="15" hidden="false" customHeight="true" outlineLevel="0" collapsed="false">
      <c r="A366" s="15" t="s">
        <v>3849</v>
      </c>
      <c r="B366" s="15" t="s">
        <v>3850</v>
      </c>
      <c r="C366" s="15" t="s">
        <v>3851</v>
      </c>
      <c r="D366" s="15" t="s">
        <v>3852</v>
      </c>
      <c r="E366" s="15" t="s">
        <v>3853</v>
      </c>
      <c r="F366" s="15" t="s">
        <v>3854</v>
      </c>
      <c r="G366" s="15" t="s">
        <v>3855</v>
      </c>
      <c r="H366" s="15" t="s">
        <v>3856</v>
      </c>
      <c r="I366" s="15"/>
      <c r="J366" s="15" t="s">
        <v>677</v>
      </c>
      <c r="K366" s="15" t="s">
        <v>678</v>
      </c>
      <c r="L366" s="15" t="s">
        <v>1828</v>
      </c>
      <c r="M366" s="15" t="s">
        <v>3857</v>
      </c>
      <c r="N366" s="15" t="s">
        <v>73</v>
      </c>
      <c r="O366" s="16" t="n">
        <v>0</v>
      </c>
      <c r="P366" s="16" t="n">
        <v>0</v>
      </c>
      <c r="Q366" s="16" t="n">
        <v>1</v>
      </c>
      <c r="R366" s="16" t="n">
        <v>0</v>
      </c>
      <c r="S366" s="16" t="n">
        <v>1</v>
      </c>
      <c r="T366" s="17" t="n">
        <f aca="false">AVERAGE(O366:Q366)</f>
        <v>0.333333333333333</v>
      </c>
      <c r="U366" s="18" t="str">
        <f aca="false">IF(T366&gt;=$H$3,"Eligible","Not Eligible")</f>
        <v>Not Eligible</v>
      </c>
      <c r="V366" s="19" t="n">
        <f aca="false">IF(T366&lt;$H$3,0,IFERROR(T366/SUMIF($T$5:$T$999,"&gt;="&amp;$H$3),0))</f>
        <v>0</v>
      </c>
      <c r="W366" s="15" t="str">
        <f aca="false">IF(T366=0,"Win-Back","Active")</f>
        <v>Active</v>
      </c>
      <c r="X366" s="20" t="n">
        <f aca="false">IF(T366=0,0,IF(T366&gt;=$H$3,ROUND(T366*$D$3/SUMIF($T$5:$T$999,"&gt;="&amp;$H$3),0),ROUNDUP(T366*$D$3/SUMIF($T$5:$T$999,"&gt;="&amp;$H$3),0)))</f>
        <v>1</v>
      </c>
      <c r="Y366" s="21"/>
      <c r="Z366" s="16" t="n">
        <f aca="false">IF(X366=0,"",X366-Y366)</f>
        <v>1</v>
      </c>
      <c r="AA366" s="22" t="n">
        <f aca="false">IFERROR(Y366/X366,"")</f>
        <v>0</v>
      </c>
      <c r="AB366" s="16" t="n">
        <v>0</v>
      </c>
      <c r="AC366" s="21"/>
    </row>
    <row r="367" customFormat="false" ht="15" hidden="false" customHeight="true" outlineLevel="0" collapsed="false">
      <c r="A367" s="15" t="s">
        <v>3858</v>
      </c>
      <c r="B367" s="15" t="s">
        <v>3859</v>
      </c>
      <c r="C367" s="15" t="s">
        <v>3860</v>
      </c>
      <c r="D367" s="15" t="s">
        <v>3861</v>
      </c>
      <c r="E367" s="15" t="s">
        <v>3862</v>
      </c>
      <c r="F367" s="15" t="s">
        <v>3863</v>
      </c>
      <c r="G367" s="15" t="s">
        <v>3864</v>
      </c>
      <c r="H367" s="15" t="s">
        <v>3865</v>
      </c>
      <c r="I367" s="15"/>
      <c r="J367" s="15" t="s">
        <v>3866</v>
      </c>
      <c r="K367" s="15" t="s">
        <v>70</v>
      </c>
      <c r="L367" s="15" t="s">
        <v>3867</v>
      </c>
      <c r="M367" s="15" t="s">
        <v>3868</v>
      </c>
      <c r="N367" s="15" t="s">
        <v>73</v>
      </c>
      <c r="O367" s="16" t="n">
        <v>0</v>
      </c>
      <c r="P367" s="16" t="n">
        <v>1</v>
      </c>
      <c r="Q367" s="16" t="n">
        <v>0</v>
      </c>
      <c r="R367" s="16" t="n">
        <v>0</v>
      </c>
      <c r="S367" s="16" t="n">
        <v>1</v>
      </c>
      <c r="T367" s="17" t="n">
        <f aca="false">AVERAGE(O367:Q367)</f>
        <v>0.333333333333333</v>
      </c>
      <c r="U367" s="18" t="str">
        <f aca="false">IF(T367&gt;=$H$3,"Eligible","Not Eligible")</f>
        <v>Not Eligible</v>
      </c>
      <c r="V367" s="19" t="n">
        <f aca="false">IF(T367&lt;$H$3,0,IFERROR(T367/SUMIF($T$5:$T$999,"&gt;="&amp;$H$3),0))</f>
        <v>0</v>
      </c>
      <c r="W367" s="15" t="str">
        <f aca="false">IF(T367=0,"Win-Back","Active")</f>
        <v>Active</v>
      </c>
      <c r="X367" s="20" t="n">
        <f aca="false">IF(T367=0,0,IF(T367&gt;=$H$3,ROUND(T367*$D$3/SUMIF($T$5:$T$999,"&gt;="&amp;$H$3),0),ROUNDUP(T367*$D$3/SUMIF($T$5:$T$999,"&gt;="&amp;$H$3),0)))</f>
        <v>1</v>
      </c>
      <c r="Y367" s="21"/>
      <c r="Z367" s="16" t="n">
        <f aca="false">IF(X367=0,"",X367-Y367)</f>
        <v>1</v>
      </c>
      <c r="AA367" s="22" t="n">
        <f aca="false">IFERROR(Y367/X367,"")</f>
        <v>0</v>
      </c>
      <c r="AB367" s="16" t="n">
        <v>0</v>
      </c>
      <c r="AC367" s="21"/>
    </row>
    <row r="368" customFormat="false" ht="15" hidden="false" customHeight="true" outlineLevel="0" collapsed="false">
      <c r="A368" s="15" t="s">
        <v>3869</v>
      </c>
      <c r="B368" s="15" t="s">
        <v>3870</v>
      </c>
      <c r="C368" s="15" t="s">
        <v>3871</v>
      </c>
      <c r="D368" s="15" t="s">
        <v>3872</v>
      </c>
      <c r="E368" s="15" t="s">
        <v>3873</v>
      </c>
      <c r="F368" s="15" t="s">
        <v>3874</v>
      </c>
      <c r="G368" s="15" t="s">
        <v>3875</v>
      </c>
      <c r="H368" s="15" t="s">
        <v>3876</v>
      </c>
      <c r="I368" s="15"/>
      <c r="J368" s="15" t="s">
        <v>1588</v>
      </c>
      <c r="K368" s="15" t="s">
        <v>47</v>
      </c>
      <c r="L368" s="15" t="s">
        <v>1589</v>
      </c>
      <c r="M368" s="15" t="s">
        <v>3877</v>
      </c>
      <c r="N368" s="15" t="s">
        <v>73</v>
      </c>
      <c r="O368" s="16" t="n">
        <v>0</v>
      </c>
      <c r="P368" s="16" t="n">
        <v>0</v>
      </c>
      <c r="Q368" s="16" t="n">
        <v>1</v>
      </c>
      <c r="R368" s="16" t="n">
        <v>0</v>
      </c>
      <c r="S368" s="16" t="n">
        <v>1</v>
      </c>
      <c r="T368" s="17" t="n">
        <f aca="false">AVERAGE(O368:Q368)</f>
        <v>0.333333333333333</v>
      </c>
      <c r="U368" s="18" t="str">
        <f aca="false">IF(T368&gt;=$H$3,"Eligible","Not Eligible")</f>
        <v>Not Eligible</v>
      </c>
      <c r="V368" s="19" t="n">
        <f aca="false">IF(T368&lt;$H$3,0,IFERROR(T368/SUMIF($T$5:$T$999,"&gt;="&amp;$H$3),0))</f>
        <v>0</v>
      </c>
      <c r="W368" s="15" t="str">
        <f aca="false">IF(T368=0,"Win-Back","Active")</f>
        <v>Active</v>
      </c>
      <c r="X368" s="20" t="n">
        <f aca="false">IF(T368=0,0,IF(T368&gt;=$H$3,ROUND(T368*$D$3/SUMIF($T$5:$T$999,"&gt;="&amp;$H$3),0),ROUNDUP(T368*$D$3/SUMIF($T$5:$T$999,"&gt;="&amp;$H$3),0)))</f>
        <v>1</v>
      </c>
      <c r="Y368" s="21"/>
      <c r="Z368" s="16" t="n">
        <f aca="false">IF(X368=0,"",X368-Y368)</f>
        <v>1</v>
      </c>
      <c r="AA368" s="22" t="n">
        <f aca="false">IFERROR(Y368/X368,"")</f>
        <v>0</v>
      </c>
      <c r="AB368" s="16" t="n">
        <v>0</v>
      </c>
      <c r="AC368" s="21"/>
    </row>
    <row r="369" customFormat="false" ht="15" hidden="false" customHeight="true" outlineLevel="0" collapsed="false">
      <c r="A369" s="15" t="s">
        <v>3878</v>
      </c>
      <c r="B369" s="15" t="s">
        <v>3879</v>
      </c>
      <c r="C369" s="15" t="s">
        <v>3880</v>
      </c>
      <c r="D369" s="15" t="s">
        <v>3881</v>
      </c>
      <c r="E369" s="15" t="s">
        <v>3882</v>
      </c>
      <c r="F369" s="15" t="s">
        <v>3883</v>
      </c>
      <c r="G369" s="15" t="s">
        <v>3884</v>
      </c>
      <c r="H369" s="15" t="s">
        <v>3885</v>
      </c>
      <c r="I369" s="15"/>
      <c r="J369" s="15" t="s">
        <v>3886</v>
      </c>
      <c r="K369" s="15" t="s">
        <v>1418</v>
      </c>
      <c r="L369" s="15" t="s">
        <v>3887</v>
      </c>
      <c r="M369" s="15" t="s">
        <v>3888</v>
      </c>
      <c r="N369" s="15" t="s">
        <v>73</v>
      </c>
      <c r="O369" s="16" t="n">
        <v>1</v>
      </c>
      <c r="P369" s="16" t="n">
        <v>0</v>
      </c>
      <c r="Q369" s="16" t="n">
        <v>0</v>
      </c>
      <c r="R369" s="16" t="n">
        <v>0</v>
      </c>
      <c r="S369" s="16" t="n">
        <v>1</v>
      </c>
      <c r="T369" s="17" t="n">
        <f aca="false">AVERAGE(O369:Q369)</f>
        <v>0.333333333333333</v>
      </c>
      <c r="U369" s="18" t="str">
        <f aca="false">IF(T369&gt;=$H$3,"Eligible","Not Eligible")</f>
        <v>Not Eligible</v>
      </c>
      <c r="V369" s="19" t="n">
        <f aca="false">IF(T369&lt;$H$3,0,IFERROR(T369/SUMIF($T$5:$T$999,"&gt;="&amp;$H$3),0))</f>
        <v>0</v>
      </c>
      <c r="W369" s="15" t="str">
        <f aca="false">IF(T369=0,"Win-Back","Active")</f>
        <v>Active</v>
      </c>
      <c r="X369" s="20" t="n">
        <f aca="false">IF(T369=0,0,IF(T369&gt;=$H$3,ROUND(T369*$D$3/SUMIF($T$5:$T$999,"&gt;="&amp;$H$3),0),ROUNDUP(T369*$D$3/SUMIF($T$5:$T$999,"&gt;="&amp;$H$3),0)))</f>
        <v>1</v>
      </c>
      <c r="Y369" s="21" t="n">
        <v>3</v>
      </c>
      <c r="Z369" s="16" t="n">
        <f aca="false">IF(X369=0,"",X369-Y369)</f>
        <v>-2</v>
      </c>
      <c r="AA369" s="22" t="n">
        <f aca="false">IFERROR(Y369/X369,"")</f>
        <v>3</v>
      </c>
      <c r="AB369" s="16" t="n">
        <v>0</v>
      </c>
      <c r="AC369" s="21"/>
    </row>
    <row r="370" customFormat="false" ht="15" hidden="false" customHeight="true" outlineLevel="0" collapsed="false">
      <c r="A370" s="15" t="s">
        <v>3889</v>
      </c>
      <c r="B370" s="15" t="s">
        <v>3890</v>
      </c>
      <c r="C370" s="15" t="s">
        <v>3891</v>
      </c>
      <c r="D370" s="15" t="s">
        <v>3892</v>
      </c>
      <c r="E370" s="15" t="s">
        <v>3893</v>
      </c>
      <c r="F370" s="15" t="s">
        <v>3894</v>
      </c>
      <c r="G370" s="15" t="s">
        <v>3895</v>
      </c>
      <c r="H370" s="15" t="s">
        <v>3896</v>
      </c>
      <c r="I370" s="15"/>
      <c r="J370" s="15" t="s">
        <v>2062</v>
      </c>
      <c r="K370" s="15" t="s">
        <v>70</v>
      </c>
      <c r="L370" s="15" t="s">
        <v>2063</v>
      </c>
      <c r="M370" s="15" t="s">
        <v>3897</v>
      </c>
      <c r="N370" s="15" t="s">
        <v>73</v>
      </c>
      <c r="O370" s="16" t="n">
        <v>0</v>
      </c>
      <c r="P370" s="16" t="n">
        <v>0</v>
      </c>
      <c r="Q370" s="16" t="n">
        <v>1</v>
      </c>
      <c r="R370" s="16" t="n">
        <v>0</v>
      </c>
      <c r="S370" s="16" t="n">
        <v>1</v>
      </c>
      <c r="T370" s="17" t="n">
        <f aca="false">AVERAGE(O370:Q370)</f>
        <v>0.333333333333333</v>
      </c>
      <c r="U370" s="18" t="str">
        <f aca="false">IF(T370&gt;=$H$3,"Eligible","Not Eligible")</f>
        <v>Not Eligible</v>
      </c>
      <c r="V370" s="19" t="n">
        <f aca="false">IF(T370&lt;$H$3,0,IFERROR(T370/SUMIF($T$5:$T$999,"&gt;="&amp;$H$3),0))</f>
        <v>0</v>
      </c>
      <c r="W370" s="15" t="str">
        <f aca="false">IF(T370=0,"Win-Back","Active")</f>
        <v>Active</v>
      </c>
      <c r="X370" s="20" t="n">
        <f aca="false">IF(T370=0,0,IF(T370&gt;=$H$3,ROUND(T370*$D$3/SUMIF($T$5:$T$999,"&gt;="&amp;$H$3),0),ROUNDUP(T370*$D$3/SUMIF($T$5:$T$999,"&gt;="&amp;$H$3),0)))</f>
        <v>1</v>
      </c>
      <c r="Y370" s="21"/>
      <c r="Z370" s="16" t="n">
        <f aca="false">IF(X370=0,"",X370-Y370)</f>
        <v>1</v>
      </c>
      <c r="AA370" s="22" t="n">
        <f aca="false">IFERROR(Y370/X370,"")</f>
        <v>0</v>
      </c>
      <c r="AB370" s="16" t="n">
        <v>0</v>
      </c>
      <c r="AC370" s="21"/>
    </row>
    <row r="371" customFormat="false" ht="15" hidden="false" customHeight="true" outlineLevel="0" collapsed="false">
      <c r="A371" s="15" t="s">
        <v>3898</v>
      </c>
      <c r="B371" s="15" t="s">
        <v>3899</v>
      </c>
      <c r="C371" s="15" t="s">
        <v>3900</v>
      </c>
      <c r="D371" s="15" t="s">
        <v>3901</v>
      </c>
      <c r="E371" s="15" t="s">
        <v>3902</v>
      </c>
      <c r="F371" s="15" t="s">
        <v>3903</v>
      </c>
      <c r="G371" s="15" t="s">
        <v>3904</v>
      </c>
      <c r="H371" s="15" t="s">
        <v>3905</v>
      </c>
      <c r="I371" s="15"/>
      <c r="J371" s="15" t="s">
        <v>1374</v>
      </c>
      <c r="K371" s="15" t="s">
        <v>47</v>
      </c>
      <c r="L371" s="15" t="s">
        <v>1375</v>
      </c>
      <c r="M371" s="15" t="s">
        <v>3906</v>
      </c>
      <c r="N371" s="15" t="s">
        <v>73</v>
      </c>
      <c r="O371" s="16" t="n">
        <v>0</v>
      </c>
      <c r="P371" s="16" t="n">
        <v>1</v>
      </c>
      <c r="Q371" s="16" t="n">
        <v>0</v>
      </c>
      <c r="R371" s="16" t="n">
        <v>0</v>
      </c>
      <c r="S371" s="16" t="n">
        <v>1</v>
      </c>
      <c r="T371" s="17" t="n">
        <f aca="false">AVERAGE(O371:Q371)</f>
        <v>0.333333333333333</v>
      </c>
      <c r="U371" s="18" t="str">
        <f aca="false">IF(T371&gt;=$H$3,"Eligible","Not Eligible")</f>
        <v>Not Eligible</v>
      </c>
      <c r="V371" s="19" t="n">
        <f aca="false">IF(T371&lt;$H$3,0,IFERROR(T371/SUMIF($T$5:$T$999,"&gt;="&amp;$H$3),0))</f>
        <v>0</v>
      </c>
      <c r="W371" s="15" t="str">
        <f aca="false">IF(T371=0,"Win-Back","Active")</f>
        <v>Active</v>
      </c>
      <c r="X371" s="20" t="n">
        <f aca="false">IF(T371=0,0,IF(T371&gt;=$H$3,ROUND(T371*$D$3/SUMIF($T$5:$T$999,"&gt;="&amp;$H$3),0),ROUNDUP(T371*$D$3/SUMIF($T$5:$T$999,"&gt;="&amp;$H$3),0)))</f>
        <v>1</v>
      </c>
      <c r="Y371" s="21"/>
      <c r="Z371" s="16" t="n">
        <f aca="false">IF(X371=0,"",X371-Y371)</f>
        <v>1</v>
      </c>
      <c r="AA371" s="22" t="n">
        <f aca="false">IFERROR(Y371/X371,"")</f>
        <v>0</v>
      </c>
      <c r="AB371" s="16" t="n">
        <v>0</v>
      </c>
      <c r="AC371" s="21"/>
    </row>
    <row r="372" customFormat="false" ht="15" hidden="false" customHeight="true" outlineLevel="0" collapsed="false">
      <c r="A372" s="15" t="s">
        <v>3907</v>
      </c>
      <c r="B372" s="15" t="s">
        <v>3908</v>
      </c>
      <c r="C372" s="15" t="s">
        <v>3909</v>
      </c>
      <c r="D372" s="15" t="s">
        <v>3910</v>
      </c>
      <c r="E372" s="15" t="s">
        <v>3911</v>
      </c>
      <c r="F372" s="15" t="s">
        <v>3912</v>
      </c>
      <c r="G372" s="15" t="s">
        <v>3913</v>
      </c>
      <c r="H372" s="15" t="s">
        <v>3914</v>
      </c>
      <c r="I372" s="15"/>
      <c r="J372" s="15" t="s">
        <v>766</v>
      </c>
      <c r="K372" s="15" t="s">
        <v>402</v>
      </c>
      <c r="L372" s="15" t="s">
        <v>3915</v>
      </c>
      <c r="M372" s="15" t="s">
        <v>3916</v>
      </c>
      <c r="N372" s="15" t="s">
        <v>73</v>
      </c>
      <c r="O372" s="16" t="n">
        <v>1</v>
      </c>
      <c r="P372" s="16" t="n">
        <v>0</v>
      </c>
      <c r="Q372" s="16" t="n">
        <v>0</v>
      </c>
      <c r="R372" s="16" t="n">
        <v>0</v>
      </c>
      <c r="S372" s="16" t="n">
        <v>1</v>
      </c>
      <c r="T372" s="17" t="n">
        <f aca="false">AVERAGE(O372:Q372)</f>
        <v>0.333333333333333</v>
      </c>
      <c r="U372" s="18" t="str">
        <f aca="false">IF(T372&gt;=$H$3,"Eligible","Not Eligible")</f>
        <v>Not Eligible</v>
      </c>
      <c r="V372" s="19" t="n">
        <f aca="false">IF(T372&lt;$H$3,0,IFERROR(T372/SUMIF($T$5:$T$999,"&gt;="&amp;$H$3),0))</f>
        <v>0</v>
      </c>
      <c r="W372" s="15" t="str">
        <f aca="false">IF(T372=0,"Win-Back","Active")</f>
        <v>Active</v>
      </c>
      <c r="X372" s="20" t="n">
        <f aca="false">IF(T372=0,0,IF(T372&gt;=$H$3,ROUND(T372*$D$3/SUMIF($T$5:$T$999,"&gt;="&amp;$H$3),0),ROUNDUP(T372*$D$3/SUMIF($T$5:$T$999,"&gt;="&amp;$H$3),0)))</f>
        <v>1</v>
      </c>
      <c r="Y372" s="21" t="n">
        <v>2</v>
      </c>
      <c r="Z372" s="16" t="n">
        <f aca="false">IF(X372=0,"",X372-Y372)</f>
        <v>-1</v>
      </c>
      <c r="AA372" s="22" t="n">
        <f aca="false">IFERROR(Y372/X372,"")</f>
        <v>2</v>
      </c>
      <c r="AB372" s="16" t="n">
        <v>0</v>
      </c>
      <c r="AC372" s="21"/>
    </row>
    <row r="373" customFormat="false" ht="15" hidden="false" customHeight="true" outlineLevel="0" collapsed="false">
      <c r="A373" s="15" t="s">
        <v>3917</v>
      </c>
      <c r="B373" s="15" t="s">
        <v>3918</v>
      </c>
      <c r="C373" s="15" t="s">
        <v>3919</v>
      </c>
      <c r="D373" s="15" t="s">
        <v>3920</v>
      </c>
      <c r="E373" s="15" t="s">
        <v>3921</v>
      </c>
      <c r="F373" s="15" t="s">
        <v>3922</v>
      </c>
      <c r="G373" s="15" t="s">
        <v>3923</v>
      </c>
      <c r="H373" s="15" t="s">
        <v>3924</v>
      </c>
      <c r="I373" s="15"/>
      <c r="J373" s="15" t="s">
        <v>1053</v>
      </c>
      <c r="K373" s="15" t="s">
        <v>47</v>
      </c>
      <c r="L373" s="15" t="s">
        <v>3925</v>
      </c>
      <c r="M373" s="15" t="s">
        <v>3926</v>
      </c>
      <c r="N373" s="15" t="s">
        <v>73</v>
      </c>
      <c r="O373" s="16" t="n">
        <v>0</v>
      </c>
      <c r="P373" s="16" t="n">
        <v>1</v>
      </c>
      <c r="Q373" s="16" t="n">
        <v>0</v>
      </c>
      <c r="R373" s="16" t="n">
        <v>0</v>
      </c>
      <c r="S373" s="16" t="n">
        <v>1</v>
      </c>
      <c r="T373" s="17" t="n">
        <f aca="false">AVERAGE(O373:Q373)</f>
        <v>0.333333333333333</v>
      </c>
      <c r="U373" s="18" t="str">
        <f aca="false">IF(T373&gt;=$H$3,"Eligible","Not Eligible")</f>
        <v>Not Eligible</v>
      </c>
      <c r="V373" s="19" t="n">
        <f aca="false">IF(T373&lt;$H$3,0,IFERROR(T373/SUMIF($T$5:$T$999,"&gt;="&amp;$H$3),0))</f>
        <v>0</v>
      </c>
      <c r="W373" s="15" t="str">
        <f aca="false">IF(T373=0,"Win-Back","Active")</f>
        <v>Active</v>
      </c>
      <c r="X373" s="20" t="n">
        <f aca="false">IF(T373=0,0,IF(T373&gt;=$H$3,ROUND(T373*$D$3/SUMIF($T$5:$T$999,"&gt;="&amp;$H$3),0),ROUNDUP(T373*$D$3/SUMIF($T$5:$T$999,"&gt;="&amp;$H$3),0)))</f>
        <v>1</v>
      </c>
      <c r="Y373" s="21"/>
      <c r="Z373" s="16" t="n">
        <f aca="false">IF(X373=0,"",X373-Y373)</f>
        <v>1</v>
      </c>
      <c r="AA373" s="22" t="n">
        <f aca="false">IFERROR(Y373/X373,"")</f>
        <v>0</v>
      </c>
      <c r="AB373" s="16" t="n">
        <v>0</v>
      </c>
      <c r="AC373" s="21"/>
    </row>
    <row r="374" customFormat="false" ht="15" hidden="false" customHeight="true" outlineLevel="0" collapsed="false">
      <c r="A374" s="15" t="s">
        <v>3927</v>
      </c>
      <c r="B374" s="15" t="s">
        <v>3928</v>
      </c>
      <c r="C374" s="15" t="s">
        <v>3929</v>
      </c>
      <c r="D374" s="15" t="s">
        <v>3930</v>
      </c>
      <c r="E374" s="15" t="s">
        <v>3931</v>
      </c>
      <c r="F374" s="15" t="s">
        <v>3932</v>
      </c>
      <c r="G374" s="15" t="s">
        <v>3933</v>
      </c>
      <c r="H374" s="15" t="s">
        <v>3934</v>
      </c>
      <c r="I374" s="15"/>
      <c r="J374" s="15" t="s">
        <v>3935</v>
      </c>
      <c r="K374" s="15" t="s">
        <v>1222</v>
      </c>
      <c r="L374" s="15" t="s">
        <v>3936</v>
      </c>
      <c r="M374" s="15" t="s">
        <v>3937</v>
      </c>
      <c r="N374" s="15" t="s">
        <v>73</v>
      </c>
      <c r="O374" s="16" t="n">
        <v>1</v>
      </c>
      <c r="P374" s="16" t="n">
        <v>0</v>
      </c>
      <c r="Q374" s="16" t="n">
        <v>0</v>
      </c>
      <c r="R374" s="16" t="n">
        <v>0</v>
      </c>
      <c r="S374" s="16" t="n">
        <v>1</v>
      </c>
      <c r="T374" s="17" t="n">
        <f aca="false">AVERAGE(O374:Q374)</f>
        <v>0.333333333333333</v>
      </c>
      <c r="U374" s="18" t="str">
        <f aca="false">IF(T374&gt;=$H$3,"Eligible","Not Eligible")</f>
        <v>Not Eligible</v>
      </c>
      <c r="V374" s="19" t="n">
        <f aca="false">IF(T374&lt;$H$3,0,IFERROR(T374/SUMIF($T$5:$T$999,"&gt;="&amp;$H$3),0))</f>
        <v>0</v>
      </c>
      <c r="W374" s="15" t="str">
        <f aca="false">IF(T374=0,"Win-Back","Active")</f>
        <v>Active</v>
      </c>
      <c r="X374" s="20" t="n">
        <f aca="false">IF(T374=0,0,IF(T374&gt;=$H$3,ROUND(T374*$D$3/SUMIF($T$5:$T$999,"&gt;="&amp;$H$3),0),ROUNDUP(T374*$D$3/SUMIF($T$5:$T$999,"&gt;="&amp;$H$3),0)))</f>
        <v>1</v>
      </c>
      <c r="Y374" s="21" t="n">
        <v>1</v>
      </c>
      <c r="Z374" s="16" t="n">
        <f aca="false">IF(X374=0,"",X374-Y374)</f>
        <v>0</v>
      </c>
      <c r="AA374" s="22" t="n">
        <f aca="false">IFERROR(Y374/X374,"")</f>
        <v>1</v>
      </c>
      <c r="AB374" s="16" t="n">
        <v>0</v>
      </c>
      <c r="AC374" s="21"/>
    </row>
    <row r="375" customFormat="false" ht="15" hidden="false" customHeight="true" outlineLevel="0" collapsed="false">
      <c r="A375" s="15" t="s">
        <v>3938</v>
      </c>
      <c r="B375" s="15" t="s">
        <v>3939</v>
      </c>
      <c r="C375" s="15" t="s">
        <v>3940</v>
      </c>
      <c r="D375" s="15" t="s">
        <v>3941</v>
      </c>
      <c r="E375" s="15" t="s">
        <v>3942</v>
      </c>
      <c r="F375" s="15" t="s">
        <v>3943</v>
      </c>
      <c r="G375" s="15" t="s">
        <v>3944</v>
      </c>
      <c r="H375" s="15" t="s">
        <v>3945</v>
      </c>
      <c r="I375" s="15"/>
      <c r="J375" s="15" t="s">
        <v>3202</v>
      </c>
      <c r="K375" s="15" t="s">
        <v>3203</v>
      </c>
      <c r="L375" s="15" t="s">
        <v>3946</v>
      </c>
      <c r="M375" s="15" t="s">
        <v>3947</v>
      </c>
      <c r="N375" s="15" t="s">
        <v>73</v>
      </c>
      <c r="O375" s="16" t="n">
        <v>0</v>
      </c>
      <c r="P375" s="16" t="n">
        <v>1</v>
      </c>
      <c r="Q375" s="16" t="n">
        <v>0</v>
      </c>
      <c r="R375" s="16" t="n">
        <v>0</v>
      </c>
      <c r="S375" s="16" t="n">
        <v>1</v>
      </c>
      <c r="T375" s="17" t="n">
        <f aca="false">AVERAGE(O375:Q375)</f>
        <v>0.333333333333333</v>
      </c>
      <c r="U375" s="18" t="str">
        <f aca="false">IF(T375&gt;=$H$3,"Eligible","Not Eligible")</f>
        <v>Not Eligible</v>
      </c>
      <c r="V375" s="19" t="n">
        <f aca="false">IF(T375&lt;$H$3,0,IFERROR(T375/SUMIF($T$5:$T$999,"&gt;="&amp;$H$3),0))</f>
        <v>0</v>
      </c>
      <c r="W375" s="15" t="str">
        <f aca="false">IF(T375=0,"Win-Back","Active")</f>
        <v>Active</v>
      </c>
      <c r="X375" s="20" t="n">
        <f aca="false">IF(T375=0,0,IF(T375&gt;=$H$3,ROUND(T375*$D$3/SUMIF($T$5:$T$999,"&gt;="&amp;$H$3),0),ROUNDUP(T375*$D$3/SUMIF($T$5:$T$999,"&gt;="&amp;$H$3),0)))</f>
        <v>1</v>
      </c>
      <c r="Y375" s="21"/>
      <c r="Z375" s="16" t="n">
        <f aca="false">IF(X375=0,"",X375-Y375)</f>
        <v>1</v>
      </c>
      <c r="AA375" s="22" t="n">
        <f aca="false">IFERROR(Y375/X375,"")</f>
        <v>0</v>
      </c>
      <c r="AB375" s="16" t="n">
        <v>0</v>
      </c>
      <c r="AC375" s="21"/>
    </row>
    <row r="376" customFormat="false" ht="15" hidden="false" customHeight="true" outlineLevel="0" collapsed="false">
      <c r="A376" s="15" t="s">
        <v>3948</v>
      </c>
      <c r="B376" s="15" t="s">
        <v>3949</v>
      </c>
      <c r="C376" s="15" t="s">
        <v>3950</v>
      </c>
      <c r="D376" s="15" t="s">
        <v>3951</v>
      </c>
      <c r="E376" s="15" t="s">
        <v>3952</v>
      </c>
      <c r="F376" s="15" t="s">
        <v>3953</v>
      </c>
      <c r="G376" s="15" t="s">
        <v>3954</v>
      </c>
      <c r="H376" s="15" t="s">
        <v>3955</v>
      </c>
      <c r="I376" s="15"/>
      <c r="J376" s="15" t="s">
        <v>3792</v>
      </c>
      <c r="K376" s="15" t="s">
        <v>3793</v>
      </c>
      <c r="L376" s="15" t="s">
        <v>3956</v>
      </c>
      <c r="M376" s="15" t="s">
        <v>3957</v>
      </c>
      <c r="N376" s="15" t="s">
        <v>73</v>
      </c>
      <c r="O376" s="16" t="n">
        <v>0</v>
      </c>
      <c r="P376" s="16" t="n">
        <v>0</v>
      </c>
      <c r="Q376" s="16" t="n">
        <v>1</v>
      </c>
      <c r="R376" s="16" t="n">
        <v>0</v>
      </c>
      <c r="S376" s="16" t="n">
        <v>1</v>
      </c>
      <c r="T376" s="17" t="n">
        <f aca="false">AVERAGE(O376:Q376)</f>
        <v>0.333333333333333</v>
      </c>
      <c r="U376" s="18" t="str">
        <f aca="false">IF(T376&gt;=$H$3,"Eligible","Not Eligible")</f>
        <v>Not Eligible</v>
      </c>
      <c r="V376" s="19" t="n">
        <f aca="false">IF(T376&lt;$H$3,0,IFERROR(T376/SUMIF($T$5:$T$999,"&gt;="&amp;$H$3),0))</f>
        <v>0</v>
      </c>
      <c r="W376" s="15" t="str">
        <f aca="false">IF(T376=0,"Win-Back","Active")</f>
        <v>Active</v>
      </c>
      <c r="X376" s="20" t="n">
        <f aca="false">IF(T376=0,0,IF(T376&gt;=$H$3,ROUND(T376*$D$3/SUMIF($T$5:$T$999,"&gt;="&amp;$H$3),0),ROUNDUP(T376*$D$3/SUMIF($T$5:$T$999,"&gt;="&amp;$H$3),0)))</f>
        <v>1</v>
      </c>
      <c r="Y376" s="21"/>
      <c r="Z376" s="16" t="n">
        <f aca="false">IF(X376=0,"",X376-Y376)</f>
        <v>1</v>
      </c>
      <c r="AA376" s="22" t="n">
        <f aca="false">IFERROR(Y376/X376,"")</f>
        <v>0</v>
      </c>
      <c r="AB376" s="16" t="n">
        <v>0</v>
      </c>
      <c r="AC376" s="21"/>
    </row>
    <row r="377" customFormat="false" ht="15" hidden="false" customHeight="true" outlineLevel="0" collapsed="false">
      <c r="A377" s="15" t="s">
        <v>3958</v>
      </c>
      <c r="B377" s="15" t="s">
        <v>3959</v>
      </c>
      <c r="C377" s="15" t="s">
        <v>3960</v>
      </c>
      <c r="D377" s="15" t="s">
        <v>3961</v>
      </c>
      <c r="E377" s="15" t="s">
        <v>3962</v>
      </c>
      <c r="F377" s="15" t="s">
        <v>3963</v>
      </c>
      <c r="G377" s="15" t="s">
        <v>3964</v>
      </c>
      <c r="H377" s="15" t="s">
        <v>3965</v>
      </c>
      <c r="I377" s="15"/>
      <c r="J377" s="15" t="s">
        <v>3966</v>
      </c>
      <c r="K377" s="15" t="s">
        <v>70</v>
      </c>
      <c r="L377" s="15" t="s">
        <v>3967</v>
      </c>
      <c r="M377" s="15" t="s">
        <v>3968</v>
      </c>
      <c r="N377" s="15" t="s">
        <v>73</v>
      </c>
      <c r="O377" s="16" t="n">
        <v>0</v>
      </c>
      <c r="P377" s="16" t="n">
        <v>1</v>
      </c>
      <c r="Q377" s="16" t="n">
        <v>0</v>
      </c>
      <c r="R377" s="16" t="n">
        <v>0</v>
      </c>
      <c r="S377" s="16" t="n">
        <v>1</v>
      </c>
      <c r="T377" s="17" t="n">
        <f aca="false">AVERAGE(O377:Q377)</f>
        <v>0.333333333333333</v>
      </c>
      <c r="U377" s="18" t="str">
        <f aca="false">IF(T377&gt;=$H$3,"Eligible","Not Eligible")</f>
        <v>Not Eligible</v>
      </c>
      <c r="V377" s="19" t="n">
        <f aca="false">IF(T377&lt;$H$3,0,IFERROR(T377/SUMIF($T$5:$T$999,"&gt;="&amp;$H$3),0))</f>
        <v>0</v>
      </c>
      <c r="W377" s="15" t="str">
        <f aca="false">IF(T377=0,"Win-Back","Active")</f>
        <v>Active</v>
      </c>
      <c r="X377" s="20" t="n">
        <f aca="false">IF(T377=0,0,IF(T377&gt;=$H$3,ROUND(T377*$D$3/SUMIF($T$5:$T$999,"&gt;="&amp;$H$3),0),ROUNDUP(T377*$D$3/SUMIF($T$5:$T$999,"&gt;="&amp;$H$3),0)))</f>
        <v>1</v>
      </c>
      <c r="Y377" s="21"/>
      <c r="Z377" s="16" t="n">
        <f aca="false">IF(X377=0,"",X377-Y377)</f>
        <v>1</v>
      </c>
      <c r="AA377" s="22" t="n">
        <f aca="false">IFERROR(Y377/X377,"")</f>
        <v>0</v>
      </c>
      <c r="AB377" s="16" t="n">
        <v>0</v>
      </c>
      <c r="AC377" s="21"/>
    </row>
    <row r="378" customFormat="false" ht="15" hidden="false" customHeight="true" outlineLevel="0" collapsed="false">
      <c r="A378" s="15" t="s">
        <v>3969</v>
      </c>
      <c r="B378" s="15" t="s">
        <v>3970</v>
      </c>
      <c r="C378" s="15" t="s">
        <v>3971</v>
      </c>
      <c r="D378" s="15" t="s">
        <v>3972</v>
      </c>
      <c r="E378" s="15" t="s">
        <v>3973</v>
      </c>
      <c r="F378" s="15" t="s">
        <v>3974</v>
      </c>
      <c r="G378" s="15" t="s">
        <v>3975</v>
      </c>
      <c r="H378" s="15" t="s">
        <v>3976</v>
      </c>
      <c r="I378" s="15" t="s">
        <v>3977</v>
      </c>
      <c r="J378" s="15" t="s">
        <v>3771</v>
      </c>
      <c r="K378" s="15" t="s">
        <v>70</v>
      </c>
      <c r="L378" s="15" t="s">
        <v>3978</v>
      </c>
      <c r="M378" s="15" t="s">
        <v>3979</v>
      </c>
      <c r="N378" s="15" t="s">
        <v>73</v>
      </c>
      <c r="O378" s="16" t="n">
        <v>0</v>
      </c>
      <c r="P378" s="16" t="n">
        <v>0</v>
      </c>
      <c r="Q378" s="16" t="n">
        <v>1</v>
      </c>
      <c r="R378" s="16" t="n">
        <v>0</v>
      </c>
      <c r="S378" s="16" t="n">
        <v>1</v>
      </c>
      <c r="T378" s="17" t="n">
        <f aca="false">AVERAGE(O378:Q378)</f>
        <v>0.333333333333333</v>
      </c>
      <c r="U378" s="18" t="str">
        <f aca="false">IF(T378&gt;=$H$3,"Eligible","Not Eligible")</f>
        <v>Not Eligible</v>
      </c>
      <c r="V378" s="19" t="n">
        <f aca="false">IF(T378&lt;$H$3,0,IFERROR(T378/SUMIF($T$5:$T$999,"&gt;="&amp;$H$3),0))</f>
        <v>0</v>
      </c>
      <c r="W378" s="15" t="str">
        <f aca="false">IF(T378=0,"Win-Back","Active")</f>
        <v>Active</v>
      </c>
      <c r="X378" s="20" t="n">
        <f aca="false">IF(T378=0,0,IF(T378&gt;=$H$3,ROUND(T378*$D$3/SUMIF($T$5:$T$999,"&gt;="&amp;$H$3),0),ROUNDUP(T378*$D$3/SUMIF($T$5:$T$999,"&gt;="&amp;$H$3),0)))</f>
        <v>1</v>
      </c>
      <c r="Y378" s="21" t="n">
        <v>2</v>
      </c>
      <c r="Z378" s="16" t="n">
        <f aca="false">IF(X378=0,"",X378-Y378)</f>
        <v>-1</v>
      </c>
      <c r="AA378" s="22" t="n">
        <f aca="false">IFERROR(Y378/X378,"")</f>
        <v>2</v>
      </c>
      <c r="AB378" s="16" t="n">
        <v>0</v>
      </c>
      <c r="AC378" s="21"/>
    </row>
    <row r="379" customFormat="false" ht="15" hidden="false" customHeight="true" outlineLevel="0" collapsed="false">
      <c r="A379" s="15" t="s">
        <v>3980</v>
      </c>
      <c r="B379" s="15" t="s">
        <v>3981</v>
      </c>
      <c r="C379" s="15" t="s">
        <v>3982</v>
      </c>
      <c r="D379" s="15" t="s">
        <v>3983</v>
      </c>
      <c r="E379" s="15" t="s">
        <v>3984</v>
      </c>
      <c r="F379" s="15" t="s">
        <v>3985</v>
      </c>
      <c r="G379" s="15" t="s">
        <v>3986</v>
      </c>
      <c r="H379" s="15" t="s">
        <v>3987</v>
      </c>
      <c r="I379" s="15"/>
      <c r="J379" s="15" t="s">
        <v>3988</v>
      </c>
      <c r="K379" s="15" t="s">
        <v>368</v>
      </c>
      <c r="L379" s="15" t="s">
        <v>3989</v>
      </c>
      <c r="M379" s="15" t="s">
        <v>3990</v>
      </c>
      <c r="N379" s="15" t="s">
        <v>73</v>
      </c>
      <c r="O379" s="16" t="n">
        <v>0</v>
      </c>
      <c r="P379" s="16" t="n">
        <v>0</v>
      </c>
      <c r="Q379" s="16" t="n">
        <v>1</v>
      </c>
      <c r="R379" s="16" t="n">
        <v>0</v>
      </c>
      <c r="S379" s="16" t="n">
        <v>1</v>
      </c>
      <c r="T379" s="17" t="n">
        <f aca="false">AVERAGE(O379:Q379)</f>
        <v>0.333333333333333</v>
      </c>
      <c r="U379" s="18" t="str">
        <f aca="false">IF(T379&gt;=$H$3,"Eligible","Not Eligible")</f>
        <v>Not Eligible</v>
      </c>
      <c r="V379" s="19" t="n">
        <f aca="false">IF(T379&lt;$H$3,0,IFERROR(T379/SUMIF($T$5:$T$999,"&gt;="&amp;$H$3),0))</f>
        <v>0</v>
      </c>
      <c r="W379" s="15" t="str">
        <f aca="false">IF(T379=0,"Win-Back","Active")</f>
        <v>Active</v>
      </c>
      <c r="X379" s="20" t="n">
        <f aca="false">IF(T379=0,0,IF(T379&gt;=$H$3,ROUND(T379*$D$3/SUMIF($T$5:$T$999,"&gt;="&amp;$H$3),0),ROUNDUP(T379*$D$3/SUMIF($T$5:$T$999,"&gt;="&amp;$H$3),0)))</f>
        <v>1</v>
      </c>
      <c r="Y379" s="21"/>
      <c r="Z379" s="16" t="n">
        <f aca="false">IF(X379=0,"",X379-Y379)</f>
        <v>1</v>
      </c>
      <c r="AA379" s="22" t="n">
        <f aca="false">IFERROR(Y379/X379,"")</f>
        <v>0</v>
      </c>
      <c r="AB379" s="16" t="n">
        <v>0</v>
      </c>
      <c r="AC379" s="21"/>
    </row>
    <row r="380" customFormat="false" ht="15" hidden="false" customHeight="true" outlineLevel="0" collapsed="false">
      <c r="A380" s="15" t="s">
        <v>3991</v>
      </c>
      <c r="B380" s="15" t="s">
        <v>3992</v>
      </c>
      <c r="C380" s="15" t="s">
        <v>3993</v>
      </c>
      <c r="D380" s="15" t="s">
        <v>3994</v>
      </c>
      <c r="E380" s="15" t="s">
        <v>3995</v>
      </c>
      <c r="F380" s="15" t="s">
        <v>3996</v>
      </c>
      <c r="G380" s="15" t="s">
        <v>3997</v>
      </c>
      <c r="H380" s="15" t="s">
        <v>3998</v>
      </c>
      <c r="I380" s="15"/>
      <c r="J380" s="15" t="s">
        <v>3999</v>
      </c>
      <c r="K380" s="15" t="s">
        <v>1255</v>
      </c>
      <c r="L380" s="15" t="s">
        <v>4000</v>
      </c>
      <c r="M380" s="15" t="s">
        <v>4001</v>
      </c>
      <c r="N380" s="15" t="s">
        <v>73</v>
      </c>
      <c r="O380" s="16" t="n">
        <v>1</v>
      </c>
      <c r="P380" s="16" t="n">
        <v>0</v>
      </c>
      <c r="Q380" s="16" t="n">
        <v>0</v>
      </c>
      <c r="R380" s="16" t="n">
        <v>0</v>
      </c>
      <c r="S380" s="16" t="n">
        <v>1</v>
      </c>
      <c r="T380" s="17" t="n">
        <f aca="false">AVERAGE(O380:Q380)</f>
        <v>0.333333333333333</v>
      </c>
      <c r="U380" s="18" t="str">
        <f aca="false">IF(T380&gt;=$H$3,"Eligible","Not Eligible")</f>
        <v>Not Eligible</v>
      </c>
      <c r="V380" s="19" t="n">
        <f aca="false">IF(T380&lt;$H$3,0,IFERROR(T380/SUMIF($T$5:$T$999,"&gt;="&amp;$H$3),0))</f>
        <v>0</v>
      </c>
      <c r="W380" s="15" t="str">
        <f aca="false">IF(T380=0,"Win-Back","Active")</f>
        <v>Active</v>
      </c>
      <c r="X380" s="20" t="n">
        <f aca="false">IF(T380=0,0,IF(T380&gt;=$H$3,ROUND(T380*$D$3/SUMIF($T$5:$T$999,"&gt;="&amp;$H$3),0),ROUNDUP(T380*$D$3/SUMIF($T$5:$T$999,"&gt;="&amp;$H$3),0)))</f>
        <v>1</v>
      </c>
      <c r="Y380" s="21"/>
      <c r="Z380" s="16" t="n">
        <f aca="false">IF(X380=0,"",X380-Y380)</f>
        <v>1</v>
      </c>
      <c r="AA380" s="22" t="n">
        <f aca="false">IFERROR(Y380/X380,"")</f>
        <v>0</v>
      </c>
      <c r="AB380" s="16" t="n">
        <v>0</v>
      </c>
      <c r="AC380" s="21"/>
    </row>
    <row r="381" customFormat="false" ht="15" hidden="false" customHeight="true" outlineLevel="0" collapsed="false">
      <c r="A381" s="15" t="s">
        <v>4002</v>
      </c>
      <c r="B381" s="15" t="s">
        <v>4003</v>
      </c>
      <c r="C381" s="15" t="s">
        <v>4004</v>
      </c>
      <c r="D381" s="15" t="s">
        <v>4005</v>
      </c>
      <c r="E381" s="15" t="s">
        <v>4006</v>
      </c>
      <c r="F381" s="15" t="s">
        <v>4007</v>
      </c>
      <c r="G381" s="15" t="s">
        <v>4008</v>
      </c>
      <c r="H381" s="15" t="s">
        <v>4009</v>
      </c>
      <c r="I381" s="15"/>
      <c r="J381" s="15" t="s">
        <v>3668</v>
      </c>
      <c r="K381" s="15" t="s">
        <v>3669</v>
      </c>
      <c r="L381" s="15" t="s">
        <v>4010</v>
      </c>
      <c r="M381" s="15" t="s">
        <v>4011</v>
      </c>
      <c r="N381" s="15" t="s">
        <v>73</v>
      </c>
      <c r="O381" s="16" t="n">
        <v>0</v>
      </c>
      <c r="P381" s="16" t="n">
        <v>0</v>
      </c>
      <c r="Q381" s="16" t="n">
        <v>1</v>
      </c>
      <c r="R381" s="16" t="n">
        <v>0</v>
      </c>
      <c r="S381" s="16" t="n">
        <v>1</v>
      </c>
      <c r="T381" s="17" t="n">
        <f aca="false">AVERAGE(O381:Q381)</f>
        <v>0.333333333333333</v>
      </c>
      <c r="U381" s="18" t="str">
        <f aca="false">IF(T381&gt;=$H$3,"Eligible","Not Eligible")</f>
        <v>Not Eligible</v>
      </c>
      <c r="V381" s="19" t="n">
        <f aca="false">IF(T381&lt;$H$3,0,IFERROR(T381/SUMIF($T$5:$T$999,"&gt;="&amp;$H$3),0))</f>
        <v>0</v>
      </c>
      <c r="W381" s="15" t="str">
        <f aca="false">IF(T381=0,"Win-Back","Active")</f>
        <v>Active</v>
      </c>
      <c r="X381" s="20" t="n">
        <f aca="false">IF(T381=0,0,IF(T381&gt;=$H$3,ROUND(T381*$D$3/SUMIF($T$5:$T$999,"&gt;="&amp;$H$3),0),ROUNDUP(T381*$D$3/SUMIF($T$5:$T$999,"&gt;="&amp;$H$3),0)))</f>
        <v>1</v>
      </c>
      <c r="Y381" s="21" t="n">
        <v>5</v>
      </c>
      <c r="Z381" s="16" t="n">
        <f aca="false">IF(X381=0,"",X381-Y381)</f>
        <v>-4</v>
      </c>
      <c r="AA381" s="22" t="n">
        <f aca="false">IFERROR(Y381/X381,"")</f>
        <v>5</v>
      </c>
      <c r="AB381" s="16" t="n">
        <v>0</v>
      </c>
      <c r="AC381" s="21"/>
    </row>
    <row r="382" customFormat="false" ht="15" hidden="false" customHeight="true" outlineLevel="0" collapsed="false">
      <c r="A382" s="15" t="s">
        <v>4012</v>
      </c>
      <c r="B382" s="15" t="s">
        <v>4013</v>
      </c>
      <c r="C382" s="15" t="s">
        <v>4014</v>
      </c>
      <c r="D382" s="15" t="s">
        <v>4015</v>
      </c>
      <c r="E382" s="15" t="s">
        <v>4016</v>
      </c>
      <c r="F382" s="15" t="s">
        <v>4017</v>
      </c>
      <c r="G382" s="15" t="s">
        <v>4018</v>
      </c>
      <c r="H382" s="15" t="s">
        <v>4019</v>
      </c>
      <c r="I382" s="15" t="s">
        <v>148</v>
      </c>
      <c r="J382" s="15" t="s">
        <v>367</v>
      </c>
      <c r="K382" s="15" t="s">
        <v>368</v>
      </c>
      <c r="L382" s="15" t="s">
        <v>4020</v>
      </c>
      <c r="M382" s="15" t="s">
        <v>4021</v>
      </c>
      <c r="N382" s="15" t="s">
        <v>73</v>
      </c>
      <c r="O382" s="16" t="n">
        <v>1</v>
      </c>
      <c r="P382" s="16" t="n">
        <v>0</v>
      </c>
      <c r="Q382" s="16" t="n">
        <v>0</v>
      </c>
      <c r="R382" s="16" t="n">
        <v>0</v>
      </c>
      <c r="S382" s="16" t="n">
        <v>1</v>
      </c>
      <c r="T382" s="17" t="n">
        <f aca="false">AVERAGE(O382:Q382)</f>
        <v>0.333333333333333</v>
      </c>
      <c r="U382" s="18" t="str">
        <f aca="false">IF(T382&gt;=$H$3,"Eligible","Not Eligible")</f>
        <v>Not Eligible</v>
      </c>
      <c r="V382" s="19" t="n">
        <f aca="false">IF(T382&lt;$H$3,0,IFERROR(T382/SUMIF($T$5:$T$999,"&gt;="&amp;$H$3),0))</f>
        <v>0</v>
      </c>
      <c r="W382" s="15" t="str">
        <f aca="false">IF(T382=0,"Win-Back","Active")</f>
        <v>Active</v>
      </c>
      <c r="X382" s="20" t="n">
        <f aca="false">IF(T382=0,0,IF(T382&gt;=$H$3,ROUND(T382*$D$3/SUMIF($T$5:$T$999,"&gt;="&amp;$H$3),0),ROUNDUP(T382*$D$3/SUMIF($T$5:$T$999,"&gt;="&amp;$H$3),0)))</f>
        <v>1</v>
      </c>
      <c r="Y382" s="21"/>
      <c r="Z382" s="16" t="n">
        <f aca="false">IF(X382=0,"",X382-Y382)</f>
        <v>1</v>
      </c>
      <c r="AA382" s="22" t="n">
        <f aca="false">IFERROR(Y382/X382,"")</f>
        <v>0</v>
      </c>
      <c r="AB382" s="16" t="n">
        <v>0</v>
      </c>
      <c r="AC382" s="21"/>
    </row>
    <row r="383" customFormat="false" ht="15" hidden="false" customHeight="true" outlineLevel="0" collapsed="false">
      <c r="A383" s="15" t="s">
        <v>4022</v>
      </c>
      <c r="B383" s="15" t="s">
        <v>4023</v>
      </c>
      <c r="C383" s="15" t="s">
        <v>4024</v>
      </c>
      <c r="D383" s="15" t="s">
        <v>2395</v>
      </c>
      <c r="E383" s="15" t="s">
        <v>4025</v>
      </c>
      <c r="F383" s="15" t="s">
        <v>4026</v>
      </c>
      <c r="G383" s="15" t="s">
        <v>4027</v>
      </c>
      <c r="H383" s="15" t="s">
        <v>4028</v>
      </c>
      <c r="I383" s="15" t="s">
        <v>4029</v>
      </c>
      <c r="J383" s="15" t="s">
        <v>4030</v>
      </c>
      <c r="K383" s="15" t="s">
        <v>2143</v>
      </c>
      <c r="L383" s="15" t="s">
        <v>4031</v>
      </c>
      <c r="M383" s="15" t="s">
        <v>4032</v>
      </c>
      <c r="N383" s="15" t="s">
        <v>73</v>
      </c>
      <c r="O383" s="16" t="n">
        <v>1</v>
      </c>
      <c r="P383" s="16" t="n">
        <v>0</v>
      </c>
      <c r="Q383" s="16" t="n">
        <v>0</v>
      </c>
      <c r="R383" s="16" t="n">
        <v>0</v>
      </c>
      <c r="S383" s="16" t="n">
        <v>1</v>
      </c>
      <c r="T383" s="17" t="n">
        <f aca="false">AVERAGE(O383:Q383)</f>
        <v>0.333333333333333</v>
      </c>
      <c r="U383" s="18" t="str">
        <f aca="false">IF(T383&gt;=$H$3,"Eligible","Not Eligible")</f>
        <v>Not Eligible</v>
      </c>
      <c r="V383" s="19" t="n">
        <f aca="false">IF(T383&lt;$H$3,0,IFERROR(T383/SUMIF($T$5:$T$999,"&gt;="&amp;$H$3),0))</f>
        <v>0</v>
      </c>
      <c r="W383" s="15" t="str">
        <f aca="false">IF(T383=0,"Win-Back","Active")</f>
        <v>Active</v>
      </c>
      <c r="X383" s="20" t="n">
        <f aca="false">IF(T383=0,0,IF(T383&gt;=$H$3,ROUND(T383*$D$3/SUMIF($T$5:$T$999,"&gt;="&amp;$H$3),0),ROUNDUP(T383*$D$3/SUMIF($T$5:$T$999,"&gt;="&amp;$H$3),0)))</f>
        <v>1</v>
      </c>
      <c r="Y383" s="21"/>
      <c r="Z383" s="16" t="n">
        <f aca="false">IF(X383=0,"",X383-Y383)</f>
        <v>1</v>
      </c>
      <c r="AA383" s="22" t="n">
        <f aca="false">IFERROR(Y383/X383,"")</f>
        <v>0</v>
      </c>
      <c r="AB383" s="16" t="n">
        <v>0</v>
      </c>
      <c r="AC383" s="21"/>
    </row>
    <row r="384" customFormat="false" ht="15" hidden="false" customHeight="true" outlineLevel="0" collapsed="false">
      <c r="A384" s="15" t="s">
        <v>4033</v>
      </c>
      <c r="B384" s="15" t="s">
        <v>4034</v>
      </c>
      <c r="C384" s="15" t="s">
        <v>4035</v>
      </c>
      <c r="D384" s="15" t="s">
        <v>4036</v>
      </c>
      <c r="E384" s="15" t="s">
        <v>4037</v>
      </c>
      <c r="F384" s="15" t="s">
        <v>4038</v>
      </c>
      <c r="G384" s="15" t="s">
        <v>4039</v>
      </c>
      <c r="H384" s="15" t="s">
        <v>4040</v>
      </c>
      <c r="I384" s="15" t="s">
        <v>148</v>
      </c>
      <c r="J384" s="15" t="s">
        <v>4041</v>
      </c>
      <c r="K384" s="15" t="s">
        <v>368</v>
      </c>
      <c r="L384" s="15" t="s">
        <v>4042</v>
      </c>
      <c r="M384" s="15" t="s">
        <v>4043</v>
      </c>
      <c r="N384" s="15" t="s">
        <v>73</v>
      </c>
      <c r="O384" s="16" t="n">
        <v>0</v>
      </c>
      <c r="P384" s="16" t="n">
        <v>1</v>
      </c>
      <c r="Q384" s="16" t="n">
        <v>0</v>
      </c>
      <c r="R384" s="16" t="n">
        <v>0</v>
      </c>
      <c r="S384" s="16" t="n">
        <v>1</v>
      </c>
      <c r="T384" s="17" t="n">
        <f aca="false">AVERAGE(O384:Q384)</f>
        <v>0.333333333333333</v>
      </c>
      <c r="U384" s="18" t="str">
        <f aca="false">IF(T384&gt;=$H$3,"Eligible","Not Eligible")</f>
        <v>Not Eligible</v>
      </c>
      <c r="V384" s="19" t="n">
        <f aca="false">IF(T384&lt;$H$3,0,IFERROR(T384/SUMIF($T$5:$T$999,"&gt;="&amp;$H$3),0))</f>
        <v>0</v>
      </c>
      <c r="W384" s="15" t="str">
        <f aca="false">IF(T384=0,"Win-Back","Active")</f>
        <v>Active</v>
      </c>
      <c r="X384" s="20" t="n">
        <f aca="false">IF(T384=0,0,IF(T384&gt;=$H$3,ROUND(T384*$D$3/SUMIF($T$5:$T$999,"&gt;="&amp;$H$3),0),ROUNDUP(T384*$D$3/SUMIF($T$5:$T$999,"&gt;="&amp;$H$3),0)))</f>
        <v>1</v>
      </c>
      <c r="Y384" s="21"/>
      <c r="Z384" s="16" t="n">
        <f aca="false">IF(X384=0,"",X384-Y384)</f>
        <v>1</v>
      </c>
      <c r="AA384" s="22" t="n">
        <f aca="false">IFERROR(Y384/X384,"")</f>
        <v>0</v>
      </c>
      <c r="AB384" s="16" t="n">
        <v>0</v>
      </c>
      <c r="AC384" s="21"/>
    </row>
    <row r="385" customFormat="false" ht="15" hidden="false" customHeight="true" outlineLevel="0" collapsed="false">
      <c r="A385" s="15" t="s">
        <v>4044</v>
      </c>
      <c r="B385" s="15" t="s">
        <v>4045</v>
      </c>
      <c r="C385" s="15" t="s">
        <v>4046</v>
      </c>
      <c r="D385" s="15" t="s">
        <v>4047</v>
      </c>
      <c r="E385" s="15" t="s">
        <v>4048</v>
      </c>
      <c r="F385" s="15" t="s">
        <v>4049</v>
      </c>
      <c r="G385" s="15" t="s">
        <v>4050</v>
      </c>
      <c r="H385" s="15" t="s">
        <v>4051</v>
      </c>
      <c r="I385" s="15"/>
      <c r="J385" s="15" t="s">
        <v>4052</v>
      </c>
      <c r="K385" s="15" t="s">
        <v>70</v>
      </c>
      <c r="L385" s="15" t="s">
        <v>4053</v>
      </c>
      <c r="M385" s="15" t="s">
        <v>4054</v>
      </c>
      <c r="N385" s="15" t="s">
        <v>73</v>
      </c>
      <c r="O385" s="16" t="n">
        <v>0</v>
      </c>
      <c r="P385" s="16" t="n">
        <v>0</v>
      </c>
      <c r="Q385" s="16" t="n">
        <v>1</v>
      </c>
      <c r="R385" s="16" t="n">
        <v>0</v>
      </c>
      <c r="S385" s="16" t="n">
        <v>1</v>
      </c>
      <c r="T385" s="17" t="n">
        <f aca="false">AVERAGE(O385:Q385)</f>
        <v>0.333333333333333</v>
      </c>
      <c r="U385" s="18" t="str">
        <f aca="false">IF(T385&gt;=$H$3,"Eligible","Not Eligible")</f>
        <v>Not Eligible</v>
      </c>
      <c r="V385" s="19" t="n">
        <f aca="false">IF(T385&lt;$H$3,0,IFERROR(T385/SUMIF($T$5:$T$999,"&gt;="&amp;$H$3),0))</f>
        <v>0</v>
      </c>
      <c r="W385" s="15" t="str">
        <f aca="false">IF(T385=0,"Win-Back","Active")</f>
        <v>Active</v>
      </c>
      <c r="X385" s="20" t="n">
        <f aca="false">IF(T385=0,0,IF(T385&gt;=$H$3,ROUND(T385*$D$3/SUMIF($T$5:$T$999,"&gt;="&amp;$H$3),0),ROUNDUP(T385*$D$3/SUMIF($T$5:$T$999,"&gt;="&amp;$H$3),0)))</f>
        <v>1</v>
      </c>
      <c r="Y385" s="21"/>
      <c r="Z385" s="16" t="n">
        <f aca="false">IF(X385=0,"",X385-Y385)</f>
        <v>1</v>
      </c>
      <c r="AA385" s="22" t="n">
        <f aca="false">IFERROR(Y385/X385,"")</f>
        <v>0</v>
      </c>
      <c r="AB385" s="16" t="n">
        <v>0</v>
      </c>
      <c r="AC385" s="21"/>
    </row>
    <row r="386" customFormat="false" ht="15" hidden="false" customHeight="true" outlineLevel="0" collapsed="false">
      <c r="A386" s="15" t="s">
        <v>4055</v>
      </c>
      <c r="B386" s="15" t="s">
        <v>4056</v>
      </c>
      <c r="C386" s="15" t="s">
        <v>4057</v>
      </c>
      <c r="D386" s="15" t="s">
        <v>4058</v>
      </c>
      <c r="E386" s="15" t="s">
        <v>4059</v>
      </c>
      <c r="F386" s="15" t="s">
        <v>4060</v>
      </c>
      <c r="G386" s="15" t="s">
        <v>4061</v>
      </c>
      <c r="H386" s="15" t="s">
        <v>4062</v>
      </c>
      <c r="I386" s="15" t="s">
        <v>186</v>
      </c>
      <c r="J386" s="15" t="s">
        <v>4063</v>
      </c>
      <c r="K386" s="15" t="s">
        <v>1418</v>
      </c>
      <c r="L386" s="15" t="s">
        <v>4064</v>
      </c>
      <c r="M386" s="15" t="s">
        <v>4065</v>
      </c>
      <c r="N386" s="15" t="s">
        <v>73</v>
      </c>
      <c r="O386" s="16" t="n">
        <v>1</v>
      </c>
      <c r="P386" s="16" t="n">
        <v>0</v>
      </c>
      <c r="Q386" s="16" t="n">
        <v>0</v>
      </c>
      <c r="R386" s="16" t="n">
        <v>0</v>
      </c>
      <c r="S386" s="16" t="n">
        <v>1</v>
      </c>
      <c r="T386" s="17" t="n">
        <f aca="false">AVERAGE(O386:Q386)</f>
        <v>0.333333333333333</v>
      </c>
      <c r="U386" s="18" t="str">
        <f aca="false">IF(T386&gt;=$H$3,"Eligible","Not Eligible")</f>
        <v>Not Eligible</v>
      </c>
      <c r="V386" s="19" t="n">
        <f aca="false">IF(T386&lt;$H$3,0,IFERROR(T386/SUMIF($T$5:$T$999,"&gt;="&amp;$H$3),0))</f>
        <v>0</v>
      </c>
      <c r="W386" s="15" t="str">
        <f aca="false">IF(T386=0,"Win-Back","Active")</f>
        <v>Active</v>
      </c>
      <c r="X386" s="20" t="n">
        <f aca="false">IF(T386=0,0,IF(T386&gt;=$H$3,ROUND(T386*$D$3/SUMIF($T$5:$T$999,"&gt;="&amp;$H$3),0),ROUNDUP(T386*$D$3/SUMIF($T$5:$T$999,"&gt;="&amp;$H$3),0)))</f>
        <v>1</v>
      </c>
      <c r="Y386" s="21" t="n">
        <v>4</v>
      </c>
      <c r="Z386" s="16" t="n">
        <f aca="false">IF(X386=0,"",X386-Y386)</f>
        <v>-3</v>
      </c>
      <c r="AA386" s="22" t="n">
        <f aca="false">IFERROR(Y386/X386,"")</f>
        <v>4</v>
      </c>
      <c r="AB386" s="16" t="n">
        <v>0</v>
      </c>
      <c r="AC386" s="21"/>
    </row>
    <row r="387" customFormat="false" ht="15" hidden="false" customHeight="true" outlineLevel="0" collapsed="false">
      <c r="A387" s="15" t="s">
        <v>4066</v>
      </c>
      <c r="B387" s="15" t="s">
        <v>4067</v>
      </c>
      <c r="C387" s="15" t="s">
        <v>4068</v>
      </c>
      <c r="D387" s="15" t="s">
        <v>4069</v>
      </c>
      <c r="E387" s="15" t="s">
        <v>4070</v>
      </c>
      <c r="F387" s="15" t="s">
        <v>4071</v>
      </c>
      <c r="G387" s="15" t="s">
        <v>4072</v>
      </c>
      <c r="H387" s="15" t="s">
        <v>4073</v>
      </c>
      <c r="I387" s="15"/>
      <c r="J387" s="15" t="s">
        <v>4074</v>
      </c>
      <c r="K387" s="15" t="s">
        <v>70</v>
      </c>
      <c r="L387" s="15" t="s">
        <v>1761</v>
      </c>
      <c r="M387" s="15" t="s">
        <v>4075</v>
      </c>
      <c r="N387" s="15" t="s">
        <v>73</v>
      </c>
      <c r="O387" s="16" t="n">
        <v>0</v>
      </c>
      <c r="P387" s="16" t="n">
        <v>1</v>
      </c>
      <c r="Q387" s="16" t="n">
        <v>0</v>
      </c>
      <c r="R387" s="16" t="n">
        <v>0</v>
      </c>
      <c r="S387" s="16" t="n">
        <v>1</v>
      </c>
      <c r="T387" s="17" t="n">
        <f aca="false">AVERAGE(O387:Q387)</f>
        <v>0.333333333333333</v>
      </c>
      <c r="U387" s="18" t="str">
        <f aca="false">IF(T387&gt;=$H$3,"Eligible","Not Eligible")</f>
        <v>Not Eligible</v>
      </c>
      <c r="V387" s="19" t="n">
        <f aca="false">IF(T387&lt;$H$3,0,IFERROR(T387/SUMIF($T$5:$T$999,"&gt;="&amp;$H$3),0))</f>
        <v>0</v>
      </c>
      <c r="W387" s="15" t="str">
        <f aca="false">IF(T387=0,"Win-Back","Active")</f>
        <v>Active</v>
      </c>
      <c r="X387" s="20" t="n">
        <f aca="false">IF(T387=0,0,IF(T387&gt;=$H$3,ROUND(T387*$D$3/SUMIF($T$5:$T$999,"&gt;="&amp;$H$3),0),ROUNDUP(T387*$D$3/SUMIF($T$5:$T$999,"&gt;="&amp;$H$3),0)))</f>
        <v>1</v>
      </c>
      <c r="Y387" s="21" t="n">
        <v>1</v>
      </c>
      <c r="Z387" s="16" t="n">
        <f aca="false">IF(X387=0,"",X387-Y387)</f>
        <v>0</v>
      </c>
      <c r="AA387" s="22" t="n">
        <f aca="false">IFERROR(Y387/X387,"")</f>
        <v>1</v>
      </c>
      <c r="AB387" s="16" t="n">
        <v>0</v>
      </c>
      <c r="AC387" s="21"/>
    </row>
    <row r="388" customFormat="false" ht="15" hidden="false" customHeight="true" outlineLevel="0" collapsed="false">
      <c r="A388" s="15" t="s">
        <v>4076</v>
      </c>
      <c r="B388" s="15" t="s">
        <v>4077</v>
      </c>
      <c r="C388" s="15" t="s">
        <v>4078</v>
      </c>
      <c r="D388" s="15" t="s">
        <v>4079</v>
      </c>
      <c r="E388" s="15" t="s">
        <v>4080</v>
      </c>
      <c r="F388" s="15" t="s">
        <v>4081</v>
      </c>
      <c r="G388" s="15" t="s">
        <v>4082</v>
      </c>
      <c r="H388" s="15" t="s">
        <v>4083</v>
      </c>
      <c r="I388" s="15"/>
      <c r="J388" s="15" t="s">
        <v>4084</v>
      </c>
      <c r="K388" s="15" t="s">
        <v>4085</v>
      </c>
      <c r="L388" s="15" t="s">
        <v>4086</v>
      </c>
      <c r="M388" s="15" t="s">
        <v>4087</v>
      </c>
      <c r="N388" s="15" t="s">
        <v>73</v>
      </c>
      <c r="O388" s="16" t="n">
        <v>0</v>
      </c>
      <c r="P388" s="16" t="n">
        <v>1</v>
      </c>
      <c r="Q388" s="16" t="n">
        <v>0</v>
      </c>
      <c r="R388" s="16" t="n">
        <v>0</v>
      </c>
      <c r="S388" s="16" t="n">
        <v>1</v>
      </c>
      <c r="T388" s="17" t="n">
        <f aca="false">AVERAGE(O388:Q388)</f>
        <v>0.333333333333333</v>
      </c>
      <c r="U388" s="18" t="str">
        <f aca="false">IF(T388&gt;=$H$3,"Eligible","Not Eligible")</f>
        <v>Not Eligible</v>
      </c>
      <c r="V388" s="19" t="n">
        <f aca="false">IF(T388&lt;$H$3,0,IFERROR(T388/SUMIF($T$5:$T$999,"&gt;="&amp;$H$3),0))</f>
        <v>0</v>
      </c>
      <c r="W388" s="15" t="str">
        <f aca="false">IF(T388=0,"Win-Back","Active")</f>
        <v>Active</v>
      </c>
      <c r="X388" s="20" t="n">
        <f aca="false">IF(T388=0,0,IF(T388&gt;=$H$3,ROUND(T388*$D$3/SUMIF($T$5:$T$999,"&gt;="&amp;$H$3),0),ROUNDUP(T388*$D$3/SUMIF($T$5:$T$999,"&gt;="&amp;$H$3),0)))</f>
        <v>1</v>
      </c>
      <c r="Y388" s="21" t="n">
        <v>1</v>
      </c>
      <c r="Z388" s="16" t="n">
        <f aca="false">IF(X388=0,"",X388-Y388)</f>
        <v>0</v>
      </c>
      <c r="AA388" s="22" t="n">
        <f aca="false">IFERROR(Y388/X388,"")</f>
        <v>1</v>
      </c>
      <c r="AB388" s="16" t="n">
        <v>0</v>
      </c>
      <c r="AC388" s="21"/>
    </row>
    <row r="389" customFormat="false" ht="15" hidden="false" customHeight="true" outlineLevel="0" collapsed="false">
      <c r="A389" s="15" t="s">
        <v>4088</v>
      </c>
      <c r="B389" s="15" t="s">
        <v>4089</v>
      </c>
      <c r="C389" s="15" t="s">
        <v>4090</v>
      </c>
      <c r="D389" s="15" t="s">
        <v>4091</v>
      </c>
      <c r="E389" s="15" t="s">
        <v>4092</v>
      </c>
      <c r="F389" s="15" t="s">
        <v>4093</v>
      </c>
      <c r="G389" s="15" t="s">
        <v>4094</v>
      </c>
      <c r="H389" s="15" t="s">
        <v>4095</v>
      </c>
      <c r="I389" s="15"/>
      <c r="J389" s="15" t="s">
        <v>4096</v>
      </c>
      <c r="K389" s="15" t="s">
        <v>70</v>
      </c>
      <c r="L389" s="15" t="s">
        <v>4097</v>
      </c>
      <c r="M389" s="15" t="s">
        <v>4098</v>
      </c>
      <c r="N389" s="15" t="s">
        <v>73</v>
      </c>
      <c r="O389" s="16" t="n">
        <v>1</v>
      </c>
      <c r="P389" s="16" t="n">
        <v>0</v>
      </c>
      <c r="Q389" s="16" t="n">
        <v>0</v>
      </c>
      <c r="R389" s="16" t="n">
        <v>0</v>
      </c>
      <c r="S389" s="16" t="n">
        <v>1</v>
      </c>
      <c r="T389" s="17" t="n">
        <f aca="false">AVERAGE(O389:Q389)</f>
        <v>0.333333333333333</v>
      </c>
      <c r="U389" s="18" t="str">
        <f aca="false">IF(T389&gt;=$H$3,"Eligible","Not Eligible")</f>
        <v>Not Eligible</v>
      </c>
      <c r="V389" s="19" t="n">
        <f aca="false">IF(T389&lt;$H$3,0,IFERROR(T389/SUMIF($T$5:$T$999,"&gt;="&amp;$H$3),0))</f>
        <v>0</v>
      </c>
      <c r="W389" s="15" t="str">
        <f aca="false">IF(T389=0,"Win-Back","Active")</f>
        <v>Active</v>
      </c>
      <c r="X389" s="20" t="n">
        <f aca="false">IF(T389=0,0,IF(T389&gt;=$H$3,ROUND(T389*$D$3/SUMIF($T$5:$T$999,"&gt;="&amp;$H$3),0),ROUNDUP(T389*$D$3/SUMIF($T$5:$T$999,"&gt;="&amp;$H$3),0)))</f>
        <v>1</v>
      </c>
      <c r="Y389" s="21"/>
      <c r="Z389" s="16" t="n">
        <f aca="false">IF(X389=0,"",X389-Y389)</f>
        <v>1</v>
      </c>
      <c r="AA389" s="22" t="n">
        <f aca="false">IFERROR(Y389/X389,"")</f>
        <v>0</v>
      </c>
      <c r="AB389" s="16" t="n">
        <v>0</v>
      </c>
      <c r="AC389" s="21"/>
    </row>
    <row r="390" customFormat="false" ht="15" hidden="false" customHeight="true" outlineLevel="0" collapsed="false">
      <c r="A390" s="15" t="s">
        <v>4099</v>
      </c>
      <c r="B390" s="15" t="s">
        <v>4100</v>
      </c>
      <c r="C390" s="15" t="s">
        <v>4101</v>
      </c>
      <c r="D390" s="15" t="s">
        <v>4102</v>
      </c>
      <c r="E390" s="15" t="s">
        <v>4103</v>
      </c>
      <c r="F390" s="15" t="s">
        <v>4104</v>
      </c>
      <c r="G390" s="15" t="s">
        <v>4105</v>
      </c>
      <c r="H390" s="15" t="s">
        <v>4106</v>
      </c>
      <c r="I390" s="15"/>
      <c r="J390" s="15" t="s">
        <v>4107</v>
      </c>
      <c r="K390" s="15" t="s">
        <v>2557</v>
      </c>
      <c r="L390" s="15" t="s">
        <v>4108</v>
      </c>
      <c r="M390" s="15" t="s">
        <v>4109</v>
      </c>
      <c r="N390" s="15" t="s">
        <v>73</v>
      </c>
      <c r="O390" s="16" t="n">
        <v>0</v>
      </c>
      <c r="P390" s="16" t="n">
        <v>0</v>
      </c>
      <c r="Q390" s="16" t="n">
        <v>1</v>
      </c>
      <c r="R390" s="16" t="n">
        <v>0</v>
      </c>
      <c r="S390" s="16" t="n">
        <v>1</v>
      </c>
      <c r="T390" s="17" t="n">
        <f aca="false">AVERAGE(O390:Q390)</f>
        <v>0.333333333333333</v>
      </c>
      <c r="U390" s="18" t="str">
        <f aca="false">IF(T390&gt;=$H$3,"Eligible","Not Eligible")</f>
        <v>Not Eligible</v>
      </c>
      <c r="V390" s="19" t="n">
        <f aca="false">IF(T390&lt;$H$3,0,IFERROR(T390/SUMIF($T$5:$T$999,"&gt;="&amp;$H$3),0))</f>
        <v>0</v>
      </c>
      <c r="W390" s="15" t="str">
        <f aca="false">IF(T390=0,"Win-Back","Active")</f>
        <v>Active</v>
      </c>
      <c r="X390" s="20" t="n">
        <f aca="false">IF(T390=0,0,IF(T390&gt;=$H$3,ROUND(T390*$D$3/SUMIF($T$5:$T$999,"&gt;="&amp;$H$3),0),ROUNDUP(T390*$D$3/SUMIF($T$5:$T$999,"&gt;="&amp;$H$3),0)))</f>
        <v>1</v>
      </c>
      <c r="Y390" s="21"/>
      <c r="Z390" s="16" t="n">
        <f aca="false">IF(X390=0,"",X390-Y390)</f>
        <v>1</v>
      </c>
      <c r="AA390" s="22" t="n">
        <f aca="false">IFERROR(Y390/X390,"")</f>
        <v>0</v>
      </c>
      <c r="AB390" s="16" t="n">
        <v>0</v>
      </c>
      <c r="AC390" s="21"/>
    </row>
    <row r="391" customFormat="false" ht="15" hidden="false" customHeight="true" outlineLevel="0" collapsed="false">
      <c r="A391" s="15" t="s">
        <v>4110</v>
      </c>
      <c r="B391" s="15" t="s">
        <v>4111</v>
      </c>
      <c r="C391" s="15" t="s">
        <v>4112</v>
      </c>
      <c r="D391" s="15" t="s">
        <v>4113</v>
      </c>
      <c r="E391" s="15" t="s">
        <v>4114</v>
      </c>
      <c r="F391" s="15" t="s">
        <v>4115</v>
      </c>
      <c r="G391" s="15" t="s">
        <v>4116</v>
      </c>
      <c r="H391" s="15" t="s">
        <v>4117</v>
      </c>
      <c r="I391" s="15"/>
      <c r="J391" s="15" t="s">
        <v>4118</v>
      </c>
      <c r="K391" s="15" t="s">
        <v>615</v>
      </c>
      <c r="L391" s="15" t="s">
        <v>4119</v>
      </c>
      <c r="M391" s="15" t="s">
        <v>4120</v>
      </c>
      <c r="N391" s="15" t="s">
        <v>73</v>
      </c>
      <c r="O391" s="16" t="n">
        <v>0</v>
      </c>
      <c r="P391" s="16" t="n">
        <v>0</v>
      </c>
      <c r="Q391" s="16" t="n">
        <v>1</v>
      </c>
      <c r="R391" s="16" t="n">
        <v>0</v>
      </c>
      <c r="S391" s="16" t="n">
        <v>1</v>
      </c>
      <c r="T391" s="17" t="n">
        <f aca="false">AVERAGE(O391:Q391)</f>
        <v>0.333333333333333</v>
      </c>
      <c r="U391" s="18" t="str">
        <f aca="false">IF(T391&gt;=$H$3,"Eligible","Not Eligible")</f>
        <v>Not Eligible</v>
      </c>
      <c r="V391" s="19" t="n">
        <f aca="false">IF(T391&lt;$H$3,0,IFERROR(T391/SUMIF($T$5:$T$999,"&gt;="&amp;$H$3),0))</f>
        <v>0</v>
      </c>
      <c r="W391" s="15" t="str">
        <f aca="false">IF(T391=0,"Win-Back","Active")</f>
        <v>Active</v>
      </c>
      <c r="X391" s="20" t="n">
        <f aca="false">IF(T391=0,0,IF(T391&gt;=$H$3,ROUND(T391*$D$3/SUMIF($T$5:$T$999,"&gt;="&amp;$H$3),0),ROUNDUP(T391*$D$3/SUMIF($T$5:$T$999,"&gt;="&amp;$H$3),0)))</f>
        <v>1</v>
      </c>
      <c r="Y391" s="21"/>
      <c r="Z391" s="16" t="n">
        <f aca="false">IF(X391=0,"",X391-Y391)</f>
        <v>1</v>
      </c>
      <c r="AA391" s="22" t="n">
        <f aca="false">IFERROR(Y391/X391,"")</f>
        <v>0</v>
      </c>
      <c r="AB391" s="16" t="n">
        <v>0</v>
      </c>
      <c r="AC391" s="21"/>
    </row>
    <row r="392" customFormat="false" ht="15" hidden="false" customHeight="true" outlineLevel="0" collapsed="false">
      <c r="A392" s="15" t="s">
        <v>4121</v>
      </c>
      <c r="B392" s="15" t="s">
        <v>4122</v>
      </c>
      <c r="C392" s="15" t="s">
        <v>4123</v>
      </c>
      <c r="D392" s="15" t="s">
        <v>4124</v>
      </c>
      <c r="E392" s="15" t="s">
        <v>4125</v>
      </c>
      <c r="F392" s="15" t="s">
        <v>4126</v>
      </c>
      <c r="G392" s="15" t="s">
        <v>4127</v>
      </c>
      <c r="H392" s="15" t="s">
        <v>4128</v>
      </c>
      <c r="I392" s="15"/>
      <c r="J392" s="15" t="s">
        <v>4129</v>
      </c>
      <c r="K392" s="15" t="s">
        <v>864</v>
      </c>
      <c r="L392" s="15" t="s">
        <v>4130</v>
      </c>
      <c r="M392" s="15" t="s">
        <v>4131</v>
      </c>
      <c r="N392" s="15" t="s">
        <v>73</v>
      </c>
      <c r="O392" s="16" t="n">
        <v>0</v>
      </c>
      <c r="P392" s="16" t="n">
        <v>1</v>
      </c>
      <c r="Q392" s="16" t="n">
        <v>0</v>
      </c>
      <c r="R392" s="16" t="n">
        <v>0</v>
      </c>
      <c r="S392" s="16" t="n">
        <v>1</v>
      </c>
      <c r="T392" s="17" t="n">
        <f aca="false">AVERAGE(O392:Q392)</f>
        <v>0.333333333333333</v>
      </c>
      <c r="U392" s="18" t="str">
        <f aca="false">IF(T392&gt;=$H$3,"Eligible","Not Eligible")</f>
        <v>Not Eligible</v>
      </c>
      <c r="V392" s="19" t="n">
        <f aca="false">IF(T392&lt;$H$3,0,IFERROR(T392/SUMIF($T$5:$T$999,"&gt;="&amp;$H$3),0))</f>
        <v>0</v>
      </c>
      <c r="W392" s="15" t="str">
        <f aca="false">IF(T392=0,"Win-Back","Active")</f>
        <v>Active</v>
      </c>
      <c r="X392" s="20" t="n">
        <f aca="false">IF(T392=0,0,IF(T392&gt;=$H$3,ROUND(T392*$D$3/SUMIF($T$5:$T$999,"&gt;="&amp;$H$3),0),ROUNDUP(T392*$D$3/SUMIF($T$5:$T$999,"&gt;="&amp;$H$3),0)))</f>
        <v>1</v>
      </c>
      <c r="Y392" s="21"/>
      <c r="Z392" s="16" t="n">
        <f aca="false">IF(X392=0,"",X392-Y392)</f>
        <v>1</v>
      </c>
      <c r="AA392" s="22" t="n">
        <f aca="false">IFERROR(Y392/X392,"")</f>
        <v>0</v>
      </c>
      <c r="AB392" s="16" t="n">
        <v>0</v>
      </c>
      <c r="AC392" s="21"/>
    </row>
    <row r="393" customFormat="false" ht="15" hidden="false" customHeight="true" outlineLevel="0" collapsed="false">
      <c r="A393" s="15" t="s">
        <v>4132</v>
      </c>
      <c r="B393" s="15" t="s">
        <v>4133</v>
      </c>
      <c r="C393" s="15" t="s">
        <v>4134</v>
      </c>
      <c r="D393" s="15" t="s">
        <v>4135</v>
      </c>
      <c r="E393" s="15" t="s">
        <v>4136</v>
      </c>
      <c r="F393" s="15" t="s">
        <v>4137</v>
      </c>
      <c r="G393" s="15" t="s">
        <v>4138</v>
      </c>
      <c r="H393" s="15" t="s">
        <v>4139</v>
      </c>
      <c r="I393" s="15"/>
      <c r="J393" s="15" t="s">
        <v>4140</v>
      </c>
      <c r="K393" s="15" t="s">
        <v>864</v>
      </c>
      <c r="L393" s="15" t="s">
        <v>4141</v>
      </c>
      <c r="M393" s="15" t="s">
        <v>4142</v>
      </c>
      <c r="N393" s="15" t="s">
        <v>73</v>
      </c>
      <c r="O393" s="16" t="n">
        <v>0</v>
      </c>
      <c r="P393" s="16" t="n">
        <v>0</v>
      </c>
      <c r="Q393" s="16" t="n">
        <v>1</v>
      </c>
      <c r="R393" s="16" t="n">
        <v>0</v>
      </c>
      <c r="S393" s="16" t="n">
        <v>1</v>
      </c>
      <c r="T393" s="17" t="n">
        <f aca="false">AVERAGE(O393:Q393)</f>
        <v>0.333333333333333</v>
      </c>
      <c r="U393" s="18" t="str">
        <f aca="false">IF(T393&gt;=$H$3,"Eligible","Not Eligible")</f>
        <v>Not Eligible</v>
      </c>
      <c r="V393" s="19" t="n">
        <f aca="false">IF(T393&lt;$H$3,0,IFERROR(T393/SUMIF($T$5:$T$999,"&gt;="&amp;$H$3),0))</f>
        <v>0</v>
      </c>
      <c r="W393" s="15" t="str">
        <f aca="false">IF(T393=0,"Win-Back","Active")</f>
        <v>Active</v>
      </c>
      <c r="X393" s="20" t="n">
        <f aca="false">IF(T393=0,0,IF(T393&gt;=$H$3,ROUND(T393*$D$3/SUMIF($T$5:$T$999,"&gt;="&amp;$H$3),0),ROUNDUP(T393*$D$3/SUMIF($T$5:$T$999,"&gt;="&amp;$H$3),0)))</f>
        <v>1</v>
      </c>
      <c r="Y393" s="21"/>
      <c r="Z393" s="16" t="n">
        <f aca="false">IF(X393=0,"",X393-Y393)</f>
        <v>1</v>
      </c>
      <c r="AA393" s="22" t="n">
        <f aca="false">IFERROR(Y393/X393,"")</f>
        <v>0</v>
      </c>
      <c r="AB393" s="16" t="n">
        <v>0</v>
      </c>
      <c r="AC393" s="21"/>
    </row>
    <row r="394" customFormat="false" ht="15" hidden="false" customHeight="true" outlineLevel="0" collapsed="false">
      <c r="A394" s="15" t="s">
        <v>4143</v>
      </c>
      <c r="B394" s="15" t="s">
        <v>4144</v>
      </c>
      <c r="C394" s="15" t="s">
        <v>4145</v>
      </c>
      <c r="D394" s="15" t="s">
        <v>4146</v>
      </c>
      <c r="E394" s="15" t="s">
        <v>4147</v>
      </c>
      <c r="F394" s="15"/>
      <c r="G394" s="15" t="s">
        <v>4148</v>
      </c>
      <c r="H394" s="15" t="s">
        <v>4149</v>
      </c>
      <c r="I394" s="15"/>
      <c r="J394" s="15" t="s">
        <v>4150</v>
      </c>
      <c r="K394" s="15" t="s">
        <v>70</v>
      </c>
      <c r="L394" s="15" t="s">
        <v>4151</v>
      </c>
      <c r="M394" s="15" t="s">
        <v>4152</v>
      </c>
      <c r="N394" s="15" t="s">
        <v>73</v>
      </c>
      <c r="O394" s="16" t="n">
        <v>0</v>
      </c>
      <c r="P394" s="16" t="n">
        <v>0</v>
      </c>
      <c r="Q394" s="16" t="n">
        <v>1</v>
      </c>
      <c r="R394" s="16" t="n">
        <v>0</v>
      </c>
      <c r="S394" s="16" t="n">
        <v>1</v>
      </c>
      <c r="T394" s="17" t="n">
        <f aca="false">AVERAGE(O394:Q394)</f>
        <v>0.333333333333333</v>
      </c>
      <c r="U394" s="18" t="str">
        <f aca="false">IF(T394&gt;=$H$3,"Eligible","Not Eligible")</f>
        <v>Not Eligible</v>
      </c>
      <c r="V394" s="19" t="n">
        <f aca="false">IF(T394&lt;$H$3,0,IFERROR(T394/SUMIF($T$5:$T$999,"&gt;="&amp;$H$3),0))</f>
        <v>0</v>
      </c>
      <c r="W394" s="15" t="str">
        <f aca="false">IF(T394=0,"Win-Back","Active")</f>
        <v>Active</v>
      </c>
      <c r="X394" s="20" t="n">
        <f aca="false">IF(T394=0,0,IF(T394&gt;=$H$3,ROUND(T394*$D$3/SUMIF($T$5:$T$999,"&gt;="&amp;$H$3),0),ROUNDUP(T394*$D$3/SUMIF($T$5:$T$999,"&gt;="&amp;$H$3),0)))</f>
        <v>1</v>
      </c>
      <c r="Y394" s="21" t="n">
        <v>1</v>
      </c>
      <c r="Z394" s="16" t="n">
        <f aca="false">IF(X394=0,"",X394-Y394)</f>
        <v>0</v>
      </c>
      <c r="AA394" s="22" t="n">
        <f aca="false">IFERROR(Y394/X394,"")</f>
        <v>1</v>
      </c>
      <c r="AB394" s="16" t="n">
        <v>0</v>
      </c>
      <c r="AC394" s="21"/>
    </row>
    <row r="395" customFormat="false" ht="15" hidden="false" customHeight="true" outlineLevel="0" collapsed="false">
      <c r="A395" s="15" t="s">
        <v>4153</v>
      </c>
      <c r="B395" s="15" t="s">
        <v>4154</v>
      </c>
      <c r="C395" s="15" t="s">
        <v>4155</v>
      </c>
      <c r="D395" s="15" t="s">
        <v>4156</v>
      </c>
      <c r="E395" s="15" t="s">
        <v>4157</v>
      </c>
      <c r="F395" s="15" t="s">
        <v>4158</v>
      </c>
      <c r="G395" s="15" t="s">
        <v>4159</v>
      </c>
      <c r="H395" s="15" t="s">
        <v>4160</v>
      </c>
      <c r="I395" s="15"/>
      <c r="J395" s="15" t="s">
        <v>3668</v>
      </c>
      <c r="K395" s="15" t="s">
        <v>3669</v>
      </c>
      <c r="L395" s="15" t="s">
        <v>4161</v>
      </c>
      <c r="M395" s="15" t="s">
        <v>4162</v>
      </c>
      <c r="N395" s="15" t="s">
        <v>73</v>
      </c>
      <c r="O395" s="16" t="n">
        <v>0</v>
      </c>
      <c r="P395" s="16" t="n">
        <v>0</v>
      </c>
      <c r="Q395" s="16" t="n">
        <v>1</v>
      </c>
      <c r="R395" s="16" t="n">
        <v>0</v>
      </c>
      <c r="S395" s="16" t="n">
        <v>1</v>
      </c>
      <c r="T395" s="17" t="n">
        <f aca="false">AVERAGE(O395:Q395)</f>
        <v>0.333333333333333</v>
      </c>
      <c r="U395" s="18" t="str">
        <f aca="false">IF(T395&gt;=$H$3,"Eligible","Not Eligible")</f>
        <v>Not Eligible</v>
      </c>
      <c r="V395" s="19" t="n">
        <f aca="false">IF(T395&lt;$H$3,0,IFERROR(T395/SUMIF($T$5:$T$999,"&gt;="&amp;$H$3),0))</f>
        <v>0</v>
      </c>
      <c r="W395" s="15" t="str">
        <f aca="false">IF(T395=0,"Win-Back","Active")</f>
        <v>Active</v>
      </c>
      <c r="X395" s="20" t="n">
        <f aca="false">IF(T395=0,0,IF(T395&gt;=$H$3,ROUND(T395*$D$3/SUMIF($T$5:$T$999,"&gt;="&amp;$H$3),0),ROUNDUP(T395*$D$3/SUMIF($T$5:$T$999,"&gt;="&amp;$H$3),0)))</f>
        <v>1</v>
      </c>
      <c r="Y395" s="21"/>
      <c r="Z395" s="16" t="n">
        <f aca="false">IF(X395=0,"",X395-Y395)</f>
        <v>1</v>
      </c>
      <c r="AA395" s="22" t="n">
        <f aca="false">IFERROR(Y395/X395,"")</f>
        <v>0</v>
      </c>
      <c r="AB395" s="16" t="n">
        <v>0</v>
      </c>
      <c r="AC395" s="21"/>
    </row>
    <row r="396" customFormat="false" ht="15" hidden="false" customHeight="true" outlineLevel="0" collapsed="false">
      <c r="A396" s="15" t="s">
        <v>4163</v>
      </c>
      <c r="B396" s="15" t="s">
        <v>4164</v>
      </c>
      <c r="C396" s="15" t="s">
        <v>4165</v>
      </c>
      <c r="D396" s="15" t="s">
        <v>4166</v>
      </c>
      <c r="E396" s="15" t="s">
        <v>4167</v>
      </c>
      <c r="F396" s="15" t="s">
        <v>4168</v>
      </c>
      <c r="G396" s="15" t="s">
        <v>4169</v>
      </c>
      <c r="H396" s="15" t="s">
        <v>4170</v>
      </c>
      <c r="I396" s="15" t="s">
        <v>331</v>
      </c>
      <c r="J396" s="15" t="s">
        <v>3419</v>
      </c>
      <c r="K396" s="15" t="s">
        <v>368</v>
      </c>
      <c r="L396" s="15" t="s">
        <v>4171</v>
      </c>
      <c r="M396" s="15" t="s">
        <v>4172</v>
      </c>
      <c r="N396" s="15" t="s">
        <v>73</v>
      </c>
      <c r="O396" s="16" t="n">
        <v>1</v>
      </c>
      <c r="P396" s="16" t="n">
        <v>0</v>
      </c>
      <c r="Q396" s="16" t="n">
        <v>0</v>
      </c>
      <c r="R396" s="16" t="n">
        <v>0</v>
      </c>
      <c r="S396" s="16" t="n">
        <v>1</v>
      </c>
      <c r="T396" s="17" t="n">
        <f aca="false">AVERAGE(O396:Q396)</f>
        <v>0.333333333333333</v>
      </c>
      <c r="U396" s="18" t="str">
        <f aca="false">IF(T396&gt;=$H$3,"Eligible","Not Eligible")</f>
        <v>Not Eligible</v>
      </c>
      <c r="V396" s="19" t="n">
        <f aca="false">IF(T396&lt;$H$3,0,IFERROR(T396/SUMIF($T$5:$T$999,"&gt;="&amp;$H$3),0))</f>
        <v>0</v>
      </c>
      <c r="W396" s="15" t="str">
        <f aca="false">IF(T396=0,"Win-Back","Active")</f>
        <v>Active</v>
      </c>
      <c r="X396" s="20" t="n">
        <f aca="false">IF(T396=0,0,IF(T396&gt;=$H$3,ROUND(T396*$D$3/SUMIF($T$5:$T$999,"&gt;="&amp;$H$3),0),ROUNDUP(T396*$D$3/SUMIF($T$5:$T$999,"&gt;="&amp;$H$3),0)))</f>
        <v>1</v>
      </c>
      <c r="Y396" s="21"/>
      <c r="Z396" s="16" t="n">
        <f aca="false">IF(X396=0,"",X396-Y396)</f>
        <v>1</v>
      </c>
      <c r="AA396" s="22" t="n">
        <f aca="false">IFERROR(Y396/X396,"")</f>
        <v>0</v>
      </c>
      <c r="AB396" s="16" t="n">
        <v>0</v>
      </c>
      <c r="AC396" s="21"/>
    </row>
    <row r="397" customFormat="false" ht="15" hidden="false" customHeight="true" outlineLevel="0" collapsed="false">
      <c r="A397" s="15" t="s">
        <v>4173</v>
      </c>
      <c r="B397" s="15" t="s">
        <v>4174</v>
      </c>
      <c r="C397" s="15" t="s">
        <v>4175</v>
      </c>
      <c r="D397" s="15" t="s">
        <v>4176</v>
      </c>
      <c r="E397" s="15" t="s">
        <v>4177</v>
      </c>
      <c r="F397" s="15" t="s">
        <v>4178</v>
      </c>
      <c r="G397" s="15" t="s">
        <v>4179</v>
      </c>
      <c r="H397" s="15" t="s">
        <v>4180</v>
      </c>
      <c r="I397" s="15" t="s">
        <v>4181</v>
      </c>
      <c r="J397" s="15" t="s">
        <v>4182</v>
      </c>
      <c r="K397" s="15" t="s">
        <v>615</v>
      </c>
      <c r="L397" s="15" t="s">
        <v>4183</v>
      </c>
      <c r="M397" s="15" t="s">
        <v>4184</v>
      </c>
      <c r="N397" s="15" t="s">
        <v>73</v>
      </c>
      <c r="O397" s="16" t="n">
        <v>0</v>
      </c>
      <c r="P397" s="16" t="n">
        <v>0</v>
      </c>
      <c r="Q397" s="16" t="n">
        <v>1</v>
      </c>
      <c r="R397" s="16" t="n">
        <v>0</v>
      </c>
      <c r="S397" s="16" t="n">
        <v>1</v>
      </c>
      <c r="T397" s="17" t="n">
        <f aca="false">AVERAGE(O397:Q397)</f>
        <v>0.333333333333333</v>
      </c>
      <c r="U397" s="18" t="str">
        <f aca="false">IF(T397&gt;=$H$3,"Eligible","Not Eligible")</f>
        <v>Not Eligible</v>
      </c>
      <c r="V397" s="19" t="n">
        <f aca="false">IF(T397&lt;$H$3,0,IFERROR(T397/SUMIF($T$5:$T$999,"&gt;="&amp;$H$3),0))</f>
        <v>0</v>
      </c>
      <c r="W397" s="15" t="str">
        <f aca="false">IF(T397=0,"Win-Back","Active")</f>
        <v>Active</v>
      </c>
      <c r="X397" s="20" t="n">
        <f aca="false">IF(T397=0,0,IF(T397&gt;=$H$3,ROUND(T397*$D$3/SUMIF($T$5:$T$999,"&gt;="&amp;$H$3),0),ROUNDUP(T397*$D$3/SUMIF($T$5:$T$999,"&gt;="&amp;$H$3),0)))</f>
        <v>1</v>
      </c>
      <c r="Y397" s="21"/>
      <c r="Z397" s="16" t="n">
        <f aca="false">IF(X397=0,"",X397-Y397)</f>
        <v>1</v>
      </c>
      <c r="AA397" s="22" t="n">
        <f aca="false">IFERROR(Y397/X397,"")</f>
        <v>0</v>
      </c>
      <c r="AB397" s="16" t="n">
        <v>0</v>
      </c>
      <c r="AC397" s="21"/>
    </row>
    <row r="398" customFormat="false" ht="15" hidden="false" customHeight="true" outlineLevel="0" collapsed="false">
      <c r="A398" s="15" t="s">
        <v>4185</v>
      </c>
      <c r="B398" s="15" t="s">
        <v>4186</v>
      </c>
      <c r="C398" s="15" t="s">
        <v>4187</v>
      </c>
      <c r="D398" s="15" t="s">
        <v>4188</v>
      </c>
      <c r="E398" s="15" t="s">
        <v>4189</v>
      </c>
      <c r="F398" s="15" t="s">
        <v>4190</v>
      </c>
      <c r="G398" s="15" t="s">
        <v>4191</v>
      </c>
      <c r="H398" s="15" t="s">
        <v>4192</v>
      </c>
      <c r="I398" s="15"/>
      <c r="J398" s="15" t="s">
        <v>689</v>
      </c>
      <c r="K398" s="15" t="s">
        <v>47</v>
      </c>
      <c r="L398" s="15" t="s">
        <v>1751</v>
      </c>
      <c r="M398" s="15" t="s">
        <v>4193</v>
      </c>
      <c r="N398" s="15" t="s">
        <v>73</v>
      </c>
      <c r="O398" s="16" t="n">
        <v>0</v>
      </c>
      <c r="P398" s="16" t="n">
        <v>0</v>
      </c>
      <c r="Q398" s="16" t="n">
        <v>1</v>
      </c>
      <c r="R398" s="16" t="n">
        <v>0</v>
      </c>
      <c r="S398" s="16" t="n">
        <v>1</v>
      </c>
      <c r="T398" s="17" t="n">
        <f aca="false">AVERAGE(O398:Q398)</f>
        <v>0.333333333333333</v>
      </c>
      <c r="U398" s="18" t="str">
        <f aca="false">IF(T398&gt;=$H$3,"Eligible","Not Eligible")</f>
        <v>Not Eligible</v>
      </c>
      <c r="V398" s="19" t="n">
        <f aca="false">IF(T398&lt;$H$3,0,IFERROR(T398/SUMIF($T$5:$T$999,"&gt;="&amp;$H$3),0))</f>
        <v>0</v>
      </c>
      <c r="W398" s="15" t="str">
        <f aca="false">IF(T398=0,"Win-Back","Active")</f>
        <v>Active</v>
      </c>
      <c r="X398" s="20" t="n">
        <f aca="false">IF(T398=0,0,IF(T398&gt;=$H$3,ROUND(T398*$D$3/SUMIF($T$5:$T$999,"&gt;="&amp;$H$3),0),ROUNDUP(T398*$D$3/SUMIF($T$5:$T$999,"&gt;="&amp;$H$3),0)))</f>
        <v>1</v>
      </c>
      <c r="Y398" s="21"/>
      <c r="Z398" s="16" t="n">
        <f aca="false">IF(X398=0,"",X398-Y398)</f>
        <v>1</v>
      </c>
      <c r="AA398" s="22" t="n">
        <f aca="false">IFERROR(Y398/X398,"")</f>
        <v>0</v>
      </c>
      <c r="AB398" s="16" t="n">
        <v>0</v>
      </c>
      <c r="AC398" s="21"/>
    </row>
    <row r="399" customFormat="false" ht="15" hidden="false" customHeight="true" outlineLevel="0" collapsed="false">
      <c r="A399" s="15" t="s">
        <v>4194</v>
      </c>
      <c r="B399" s="15" t="s">
        <v>4195</v>
      </c>
      <c r="C399" s="15" t="s">
        <v>4196</v>
      </c>
      <c r="D399" s="15" t="s">
        <v>4197</v>
      </c>
      <c r="E399" s="15" t="s">
        <v>4198</v>
      </c>
      <c r="F399" s="15" t="s">
        <v>4199</v>
      </c>
      <c r="G399" s="15" t="s">
        <v>4200</v>
      </c>
      <c r="H399" s="15" t="s">
        <v>4201</v>
      </c>
      <c r="I399" s="15" t="s">
        <v>4202</v>
      </c>
      <c r="J399" s="15" t="s">
        <v>947</v>
      </c>
      <c r="K399" s="15" t="s">
        <v>864</v>
      </c>
      <c r="L399" s="15" t="s">
        <v>4203</v>
      </c>
      <c r="M399" s="15" t="s">
        <v>4204</v>
      </c>
      <c r="N399" s="15" t="s">
        <v>73</v>
      </c>
      <c r="O399" s="16" t="n">
        <v>0</v>
      </c>
      <c r="P399" s="16" t="n">
        <v>0</v>
      </c>
      <c r="Q399" s="16" t="n">
        <v>1</v>
      </c>
      <c r="R399" s="16" t="n">
        <v>0</v>
      </c>
      <c r="S399" s="16" t="n">
        <v>1</v>
      </c>
      <c r="T399" s="17" t="n">
        <f aca="false">AVERAGE(O399:Q399)</f>
        <v>0.333333333333333</v>
      </c>
      <c r="U399" s="18" t="str">
        <f aca="false">IF(T399&gt;=$H$3,"Eligible","Not Eligible")</f>
        <v>Not Eligible</v>
      </c>
      <c r="V399" s="19" t="n">
        <f aca="false">IF(T399&lt;$H$3,0,IFERROR(T399/SUMIF($T$5:$T$999,"&gt;="&amp;$H$3),0))</f>
        <v>0</v>
      </c>
      <c r="W399" s="15" t="str">
        <f aca="false">IF(T399=0,"Win-Back","Active")</f>
        <v>Active</v>
      </c>
      <c r="X399" s="20" t="n">
        <f aca="false">IF(T399=0,0,IF(T399&gt;=$H$3,ROUND(T399*$D$3/SUMIF($T$5:$T$999,"&gt;="&amp;$H$3),0),ROUNDUP(T399*$D$3/SUMIF($T$5:$T$999,"&gt;="&amp;$H$3),0)))</f>
        <v>1</v>
      </c>
      <c r="Y399" s="21"/>
      <c r="Z399" s="16" t="n">
        <f aca="false">IF(X399=0,"",X399-Y399)</f>
        <v>1</v>
      </c>
      <c r="AA399" s="22" t="n">
        <f aca="false">IFERROR(Y399/X399,"")</f>
        <v>0</v>
      </c>
      <c r="AB399" s="16" t="n">
        <v>0</v>
      </c>
      <c r="AC399" s="21"/>
    </row>
    <row r="400" customFormat="false" ht="15" hidden="false" customHeight="true" outlineLevel="0" collapsed="false">
      <c r="A400" s="15" t="s">
        <v>4205</v>
      </c>
      <c r="B400" s="15" t="s">
        <v>4206</v>
      </c>
      <c r="C400" s="15" t="s">
        <v>4207</v>
      </c>
      <c r="D400" s="15" t="s">
        <v>4208</v>
      </c>
      <c r="E400" s="15" t="s">
        <v>4209</v>
      </c>
      <c r="F400" s="15" t="s">
        <v>4210</v>
      </c>
      <c r="G400" s="15" t="s">
        <v>4211</v>
      </c>
      <c r="H400" s="15" t="s">
        <v>4212</v>
      </c>
      <c r="I400" s="15"/>
      <c r="J400" s="15" t="s">
        <v>297</v>
      </c>
      <c r="K400" s="15" t="s">
        <v>298</v>
      </c>
      <c r="L400" s="15" t="s">
        <v>4213</v>
      </c>
      <c r="M400" s="15" t="s">
        <v>4214</v>
      </c>
      <c r="N400" s="15" t="s">
        <v>73</v>
      </c>
      <c r="O400" s="16" t="n">
        <v>1</v>
      </c>
      <c r="P400" s="16" t="n">
        <v>0</v>
      </c>
      <c r="Q400" s="16" t="n">
        <v>0</v>
      </c>
      <c r="R400" s="16" t="n">
        <v>0</v>
      </c>
      <c r="S400" s="16" t="n">
        <v>1</v>
      </c>
      <c r="T400" s="17" t="n">
        <f aca="false">AVERAGE(O400:Q400)</f>
        <v>0.333333333333333</v>
      </c>
      <c r="U400" s="18" t="str">
        <f aca="false">IF(T400&gt;=$H$3,"Eligible","Not Eligible")</f>
        <v>Not Eligible</v>
      </c>
      <c r="V400" s="19" t="n">
        <f aca="false">IF(T400&lt;$H$3,0,IFERROR(T400/SUMIF($T$5:$T$999,"&gt;="&amp;$H$3),0))</f>
        <v>0</v>
      </c>
      <c r="W400" s="15" t="str">
        <f aca="false">IF(T400=0,"Win-Back","Active")</f>
        <v>Active</v>
      </c>
      <c r="X400" s="20" t="n">
        <f aca="false">IF(T400=0,0,IF(T400&gt;=$H$3,ROUND(T400*$D$3/SUMIF($T$5:$T$999,"&gt;="&amp;$H$3),0),ROUNDUP(T400*$D$3/SUMIF($T$5:$T$999,"&gt;="&amp;$H$3),0)))</f>
        <v>1</v>
      </c>
      <c r="Y400" s="21" t="n">
        <v>1</v>
      </c>
      <c r="Z400" s="16" t="n">
        <f aca="false">IF(X400=0,"",X400-Y400)</f>
        <v>0</v>
      </c>
      <c r="AA400" s="22" t="n">
        <f aca="false">IFERROR(Y400/X400,"")</f>
        <v>1</v>
      </c>
      <c r="AB400" s="16" t="n">
        <v>0</v>
      </c>
      <c r="AC400" s="21"/>
    </row>
    <row r="401" customFormat="false" ht="15" hidden="false" customHeight="true" outlineLevel="0" collapsed="false">
      <c r="A401" s="15" t="s">
        <v>4215</v>
      </c>
      <c r="B401" s="15" t="s">
        <v>4216</v>
      </c>
      <c r="C401" s="15" t="s">
        <v>4217</v>
      </c>
      <c r="D401" s="15" t="s">
        <v>4218</v>
      </c>
      <c r="E401" s="15" t="s">
        <v>4219</v>
      </c>
      <c r="F401" s="15" t="s">
        <v>4220</v>
      </c>
      <c r="G401" s="15" t="s">
        <v>4221</v>
      </c>
      <c r="H401" s="15" t="s">
        <v>4222</v>
      </c>
      <c r="I401" s="15"/>
      <c r="J401" s="15" t="s">
        <v>4223</v>
      </c>
      <c r="K401" s="15" t="s">
        <v>402</v>
      </c>
      <c r="L401" s="15" t="s">
        <v>4224</v>
      </c>
      <c r="M401" s="15" t="s">
        <v>4225</v>
      </c>
      <c r="N401" s="15" t="s">
        <v>73</v>
      </c>
      <c r="O401" s="16" t="n">
        <v>0</v>
      </c>
      <c r="P401" s="16" t="n">
        <v>0</v>
      </c>
      <c r="Q401" s="16" t="n">
        <v>1</v>
      </c>
      <c r="R401" s="16" t="n">
        <v>0</v>
      </c>
      <c r="S401" s="16" t="n">
        <v>1</v>
      </c>
      <c r="T401" s="17" t="n">
        <f aca="false">AVERAGE(O401:Q401)</f>
        <v>0.333333333333333</v>
      </c>
      <c r="U401" s="18" t="str">
        <f aca="false">IF(T401&gt;=$H$3,"Eligible","Not Eligible")</f>
        <v>Not Eligible</v>
      </c>
      <c r="V401" s="19" t="n">
        <f aca="false">IF(T401&lt;$H$3,0,IFERROR(T401/SUMIF($T$5:$T$999,"&gt;="&amp;$H$3),0))</f>
        <v>0</v>
      </c>
      <c r="W401" s="15" t="str">
        <f aca="false">IF(T401=0,"Win-Back","Active")</f>
        <v>Active</v>
      </c>
      <c r="X401" s="20" t="n">
        <f aca="false">IF(T401=0,0,IF(T401&gt;=$H$3,ROUND(T401*$D$3/SUMIF($T$5:$T$999,"&gt;="&amp;$H$3),0),ROUNDUP(T401*$D$3/SUMIF($T$5:$T$999,"&gt;="&amp;$H$3),0)))</f>
        <v>1</v>
      </c>
      <c r="Y401" s="21" t="n">
        <v>1</v>
      </c>
      <c r="Z401" s="16" t="n">
        <f aca="false">IF(X401=0,"",X401-Y401)</f>
        <v>0</v>
      </c>
      <c r="AA401" s="22" t="n">
        <f aca="false">IFERROR(Y401/X401,"")</f>
        <v>1</v>
      </c>
      <c r="AB401" s="16" t="n">
        <v>0</v>
      </c>
      <c r="AC401" s="21"/>
    </row>
    <row r="402" customFormat="false" ht="15" hidden="false" customHeight="true" outlineLevel="0" collapsed="false">
      <c r="A402" s="15" t="s">
        <v>4226</v>
      </c>
      <c r="B402" s="15" t="s">
        <v>4227</v>
      </c>
      <c r="C402" s="15" t="s">
        <v>4228</v>
      </c>
      <c r="D402" s="15" t="s">
        <v>4229</v>
      </c>
      <c r="E402" s="15" t="s">
        <v>4230</v>
      </c>
      <c r="F402" s="15" t="s">
        <v>4231</v>
      </c>
      <c r="G402" s="15" t="s">
        <v>4232</v>
      </c>
      <c r="H402" s="15" t="s">
        <v>4233</v>
      </c>
      <c r="I402" s="15"/>
      <c r="J402" s="15" t="s">
        <v>2619</v>
      </c>
      <c r="K402" s="15" t="s">
        <v>735</v>
      </c>
      <c r="L402" s="15" t="s">
        <v>4234</v>
      </c>
      <c r="M402" s="15" t="s">
        <v>4235</v>
      </c>
      <c r="N402" s="15" t="s">
        <v>73</v>
      </c>
      <c r="O402" s="16" t="n">
        <v>0</v>
      </c>
      <c r="P402" s="16" t="n">
        <v>1</v>
      </c>
      <c r="Q402" s="16" t="n">
        <v>0</v>
      </c>
      <c r="R402" s="16" t="n">
        <v>0</v>
      </c>
      <c r="S402" s="16" t="n">
        <v>1</v>
      </c>
      <c r="T402" s="17" t="n">
        <f aca="false">AVERAGE(O402:Q402)</f>
        <v>0.333333333333333</v>
      </c>
      <c r="U402" s="18" t="str">
        <f aca="false">IF(T402&gt;=$H$3,"Eligible","Not Eligible")</f>
        <v>Not Eligible</v>
      </c>
      <c r="V402" s="19" t="n">
        <f aca="false">IF(T402&lt;$H$3,0,IFERROR(T402/SUMIF($T$5:$T$999,"&gt;="&amp;$H$3),0))</f>
        <v>0</v>
      </c>
      <c r="W402" s="15" t="str">
        <f aca="false">IF(T402=0,"Win-Back","Active")</f>
        <v>Active</v>
      </c>
      <c r="X402" s="20" t="n">
        <f aca="false">IF(T402=0,0,IF(T402&gt;=$H$3,ROUND(T402*$D$3/SUMIF($T$5:$T$999,"&gt;="&amp;$H$3),0),ROUNDUP(T402*$D$3/SUMIF($T$5:$T$999,"&gt;="&amp;$H$3),0)))</f>
        <v>1</v>
      </c>
      <c r="Y402" s="21"/>
      <c r="Z402" s="16" t="n">
        <f aca="false">IF(X402=0,"",X402-Y402)</f>
        <v>1</v>
      </c>
      <c r="AA402" s="22" t="n">
        <f aca="false">IFERROR(Y402/X402,"")</f>
        <v>0</v>
      </c>
      <c r="AB402" s="16" t="n">
        <v>0</v>
      </c>
      <c r="AC402" s="21"/>
    </row>
    <row r="403" customFormat="false" ht="15" hidden="false" customHeight="true" outlineLevel="0" collapsed="false">
      <c r="A403" s="15" t="s">
        <v>4236</v>
      </c>
      <c r="B403" s="15" t="s">
        <v>4237</v>
      </c>
      <c r="C403" s="15" t="s">
        <v>4238</v>
      </c>
      <c r="D403" s="15" t="s">
        <v>4239</v>
      </c>
      <c r="E403" s="15" t="s">
        <v>4240</v>
      </c>
      <c r="F403" s="15" t="s">
        <v>4241</v>
      </c>
      <c r="G403" s="15" t="s">
        <v>4242</v>
      </c>
      <c r="H403" s="15" t="s">
        <v>4243</v>
      </c>
      <c r="I403" s="15" t="s">
        <v>3473</v>
      </c>
      <c r="J403" s="15" t="s">
        <v>4244</v>
      </c>
      <c r="K403" s="15" t="s">
        <v>70</v>
      </c>
      <c r="L403" s="15" t="s">
        <v>4245</v>
      </c>
      <c r="M403" s="15" t="s">
        <v>4246</v>
      </c>
      <c r="N403" s="15" t="s">
        <v>73</v>
      </c>
      <c r="O403" s="16" t="n">
        <v>1</v>
      </c>
      <c r="P403" s="16" t="n">
        <v>0</v>
      </c>
      <c r="Q403" s="16" t="n">
        <v>0</v>
      </c>
      <c r="R403" s="16" t="n">
        <v>0</v>
      </c>
      <c r="S403" s="16" t="n">
        <v>1</v>
      </c>
      <c r="T403" s="17" t="n">
        <f aca="false">AVERAGE(O403:Q403)</f>
        <v>0.333333333333333</v>
      </c>
      <c r="U403" s="18" t="str">
        <f aca="false">IF(T403&gt;=$H$3,"Eligible","Not Eligible")</f>
        <v>Not Eligible</v>
      </c>
      <c r="V403" s="19" t="n">
        <f aca="false">IF(T403&lt;$H$3,0,IFERROR(T403/SUMIF($T$5:$T$999,"&gt;="&amp;$H$3),0))</f>
        <v>0</v>
      </c>
      <c r="W403" s="15" t="str">
        <f aca="false">IF(T403=0,"Win-Back","Active")</f>
        <v>Active</v>
      </c>
      <c r="X403" s="20" t="n">
        <f aca="false">IF(T403=0,0,IF(T403&gt;=$H$3,ROUND(T403*$D$3/SUMIF($T$5:$T$999,"&gt;="&amp;$H$3),0),ROUNDUP(T403*$D$3/SUMIF($T$5:$T$999,"&gt;="&amp;$H$3),0)))</f>
        <v>1</v>
      </c>
      <c r="Y403" s="21" t="n">
        <v>1</v>
      </c>
      <c r="Z403" s="16" t="n">
        <f aca="false">IF(X403=0,"",X403-Y403)</f>
        <v>0</v>
      </c>
      <c r="AA403" s="22" t="n">
        <f aca="false">IFERROR(Y403/X403,"")</f>
        <v>1</v>
      </c>
      <c r="AB403" s="16" t="n">
        <v>0</v>
      </c>
      <c r="AC403" s="21"/>
    </row>
    <row r="404" customFormat="false" ht="15" hidden="false" customHeight="true" outlineLevel="0" collapsed="false">
      <c r="A404" s="15" t="s">
        <v>4247</v>
      </c>
      <c r="B404" s="15" t="s">
        <v>4248</v>
      </c>
      <c r="C404" s="15" t="s">
        <v>4249</v>
      </c>
      <c r="D404" s="15" t="s">
        <v>4250</v>
      </c>
      <c r="E404" s="15" t="s">
        <v>4251</v>
      </c>
      <c r="F404" s="15" t="s">
        <v>4252</v>
      </c>
      <c r="G404" s="15" t="s">
        <v>4253</v>
      </c>
      <c r="H404" s="15" t="s">
        <v>4254</v>
      </c>
      <c r="I404" s="15"/>
      <c r="J404" s="15" t="s">
        <v>367</v>
      </c>
      <c r="K404" s="15" t="s">
        <v>368</v>
      </c>
      <c r="L404" s="15" t="s">
        <v>4255</v>
      </c>
      <c r="M404" s="15" t="s">
        <v>4256</v>
      </c>
      <c r="N404" s="15" t="s">
        <v>73</v>
      </c>
      <c r="O404" s="16" t="n">
        <v>0</v>
      </c>
      <c r="P404" s="16" t="n">
        <v>1</v>
      </c>
      <c r="Q404" s="16" t="n">
        <v>0</v>
      </c>
      <c r="R404" s="16" t="n">
        <v>0</v>
      </c>
      <c r="S404" s="16" t="n">
        <v>1</v>
      </c>
      <c r="T404" s="17" t="n">
        <f aca="false">AVERAGE(O404:Q404)</f>
        <v>0.333333333333333</v>
      </c>
      <c r="U404" s="18" t="str">
        <f aca="false">IF(T404&gt;=$H$3,"Eligible","Not Eligible")</f>
        <v>Not Eligible</v>
      </c>
      <c r="V404" s="19" t="n">
        <f aca="false">IF(T404&lt;$H$3,0,IFERROR(T404/SUMIF($T$5:$T$999,"&gt;="&amp;$H$3),0))</f>
        <v>0</v>
      </c>
      <c r="W404" s="15" t="str">
        <f aca="false">IF(T404=0,"Win-Back","Active")</f>
        <v>Active</v>
      </c>
      <c r="X404" s="20" t="n">
        <f aca="false">IF(T404=0,0,IF(T404&gt;=$H$3,ROUND(T404*$D$3/SUMIF($T$5:$T$999,"&gt;="&amp;$H$3),0),ROUNDUP(T404*$D$3/SUMIF($T$5:$T$999,"&gt;="&amp;$H$3),0)))</f>
        <v>1</v>
      </c>
      <c r="Y404" s="21"/>
      <c r="Z404" s="16" t="n">
        <f aca="false">IF(X404=0,"",X404-Y404)</f>
        <v>1</v>
      </c>
      <c r="AA404" s="22" t="n">
        <f aca="false">IFERROR(Y404/X404,"")</f>
        <v>0</v>
      </c>
      <c r="AB404" s="16" t="n">
        <v>0</v>
      </c>
      <c r="AC404" s="21"/>
    </row>
    <row r="405" customFormat="false" ht="15" hidden="false" customHeight="true" outlineLevel="0" collapsed="false">
      <c r="A405" s="15" t="s">
        <v>4257</v>
      </c>
      <c r="B405" s="15" t="s">
        <v>4258</v>
      </c>
      <c r="C405" s="15" t="s">
        <v>4259</v>
      </c>
      <c r="D405" s="15" t="s">
        <v>4260</v>
      </c>
      <c r="E405" s="15" t="s">
        <v>4261</v>
      </c>
      <c r="F405" s="15" t="s">
        <v>4262</v>
      </c>
      <c r="G405" s="15" t="s">
        <v>4263</v>
      </c>
      <c r="H405" s="15" t="s">
        <v>4264</v>
      </c>
      <c r="I405" s="15" t="s">
        <v>4265</v>
      </c>
      <c r="J405" s="15" t="s">
        <v>4266</v>
      </c>
      <c r="K405" s="15" t="s">
        <v>368</v>
      </c>
      <c r="L405" s="15" t="s">
        <v>4267</v>
      </c>
      <c r="M405" s="15" t="s">
        <v>4268</v>
      </c>
      <c r="N405" s="15" t="s">
        <v>73</v>
      </c>
      <c r="O405" s="16" t="n">
        <v>0</v>
      </c>
      <c r="P405" s="16" t="n">
        <v>0</v>
      </c>
      <c r="Q405" s="16" t="n">
        <v>1</v>
      </c>
      <c r="R405" s="16" t="n">
        <v>0</v>
      </c>
      <c r="S405" s="16" t="n">
        <v>1</v>
      </c>
      <c r="T405" s="17" t="n">
        <f aca="false">AVERAGE(O405:Q405)</f>
        <v>0.333333333333333</v>
      </c>
      <c r="U405" s="18" t="str">
        <f aca="false">IF(T405&gt;=$H$3,"Eligible","Not Eligible")</f>
        <v>Not Eligible</v>
      </c>
      <c r="V405" s="19" t="n">
        <f aca="false">IF(T405&lt;$H$3,0,IFERROR(T405/SUMIF($T$5:$T$999,"&gt;="&amp;$H$3),0))</f>
        <v>0</v>
      </c>
      <c r="W405" s="15" t="str">
        <f aca="false">IF(T405=0,"Win-Back","Active")</f>
        <v>Active</v>
      </c>
      <c r="X405" s="20" t="n">
        <f aca="false">IF(T405=0,0,IF(T405&gt;=$H$3,ROUND(T405*$D$3/SUMIF($T$5:$T$999,"&gt;="&amp;$H$3),0),ROUNDUP(T405*$D$3/SUMIF($T$5:$T$999,"&gt;="&amp;$H$3),0)))</f>
        <v>1</v>
      </c>
      <c r="Y405" s="21"/>
      <c r="Z405" s="16" t="n">
        <f aca="false">IF(X405=0,"",X405-Y405)</f>
        <v>1</v>
      </c>
      <c r="AA405" s="22" t="n">
        <f aca="false">IFERROR(Y405/X405,"")</f>
        <v>0</v>
      </c>
      <c r="AB405" s="16" t="n">
        <v>0</v>
      </c>
      <c r="AC405" s="21"/>
    </row>
    <row r="406" customFormat="false" ht="15" hidden="false" customHeight="true" outlineLevel="0" collapsed="false">
      <c r="A406" s="15" t="s">
        <v>4269</v>
      </c>
      <c r="B406" s="15" t="s">
        <v>4270</v>
      </c>
      <c r="C406" s="15" t="s">
        <v>4271</v>
      </c>
      <c r="D406" s="15" t="s">
        <v>4272</v>
      </c>
      <c r="E406" s="15" t="s">
        <v>4273</v>
      </c>
      <c r="F406" s="15" t="s">
        <v>4274</v>
      </c>
      <c r="G406" s="15" t="s">
        <v>4275</v>
      </c>
      <c r="H406" s="15" t="s">
        <v>4276</v>
      </c>
      <c r="I406" s="15" t="s">
        <v>968</v>
      </c>
      <c r="J406" s="15" t="s">
        <v>4277</v>
      </c>
      <c r="K406" s="15" t="s">
        <v>70</v>
      </c>
      <c r="L406" s="15" t="s">
        <v>4278</v>
      </c>
      <c r="M406" s="15" t="s">
        <v>4279</v>
      </c>
      <c r="N406" s="15" t="s">
        <v>73</v>
      </c>
      <c r="O406" s="16" t="n">
        <v>0</v>
      </c>
      <c r="P406" s="16" t="n">
        <v>1</v>
      </c>
      <c r="Q406" s="16" t="n">
        <v>0</v>
      </c>
      <c r="R406" s="16" t="n">
        <v>0</v>
      </c>
      <c r="S406" s="16" t="n">
        <v>1</v>
      </c>
      <c r="T406" s="17" t="n">
        <f aca="false">AVERAGE(O406:Q406)</f>
        <v>0.333333333333333</v>
      </c>
      <c r="U406" s="18" t="str">
        <f aca="false">IF(T406&gt;=$H$3,"Eligible","Not Eligible")</f>
        <v>Not Eligible</v>
      </c>
      <c r="V406" s="19" t="n">
        <f aca="false">IF(T406&lt;$H$3,0,IFERROR(T406/SUMIF($T$5:$T$999,"&gt;="&amp;$H$3),0))</f>
        <v>0</v>
      </c>
      <c r="W406" s="15" t="str">
        <f aca="false">IF(T406=0,"Win-Back","Active")</f>
        <v>Active</v>
      </c>
      <c r="X406" s="20" t="n">
        <f aca="false">IF(T406=0,0,IF(T406&gt;=$H$3,ROUND(T406*$D$3/SUMIF($T$5:$T$999,"&gt;="&amp;$H$3),0),ROUNDUP(T406*$D$3/SUMIF($T$5:$T$999,"&gt;="&amp;$H$3),0)))</f>
        <v>1</v>
      </c>
      <c r="Y406" s="21"/>
      <c r="Z406" s="16" t="n">
        <f aca="false">IF(X406=0,"",X406-Y406)</f>
        <v>1</v>
      </c>
      <c r="AA406" s="22" t="n">
        <f aca="false">IFERROR(Y406/X406,"")</f>
        <v>0</v>
      </c>
      <c r="AB406" s="16" t="n">
        <v>0</v>
      </c>
      <c r="AC406" s="21"/>
    </row>
    <row r="407" customFormat="false" ht="15" hidden="false" customHeight="true" outlineLevel="0" collapsed="false">
      <c r="A407" s="15" t="s">
        <v>4280</v>
      </c>
      <c r="B407" s="15" t="s">
        <v>4281</v>
      </c>
      <c r="C407" s="15" t="s">
        <v>4282</v>
      </c>
      <c r="D407" s="15" t="s">
        <v>4283</v>
      </c>
      <c r="E407" s="15" t="s">
        <v>4284</v>
      </c>
      <c r="F407" s="15" t="s">
        <v>4285</v>
      </c>
      <c r="G407" s="15" t="s">
        <v>4286</v>
      </c>
      <c r="H407" s="15" t="s">
        <v>4287</v>
      </c>
      <c r="I407" s="15" t="s">
        <v>4288</v>
      </c>
      <c r="J407" s="15" t="s">
        <v>863</v>
      </c>
      <c r="K407" s="15" t="s">
        <v>864</v>
      </c>
      <c r="L407" s="15" t="s">
        <v>4289</v>
      </c>
      <c r="M407" s="15" t="s">
        <v>4290</v>
      </c>
      <c r="N407" s="15" t="s">
        <v>73</v>
      </c>
      <c r="O407" s="16" t="n">
        <v>0</v>
      </c>
      <c r="P407" s="16" t="n">
        <v>1</v>
      </c>
      <c r="Q407" s="16" t="n">
        <v>0</v>
      </c>
      <c r="R407" s="16" t="n">
        <v>0</v>
      </c>
      <c r="S407" s="16" t="n">
        <v>1</v>
      </c>
      <c r="T407" s="17" t="n">
        <f aca="false">AVERAGE(O407:Q407)</f>
        <v>0.333333333333333</v>
      </c>
      <c r="U407" s="18" t="str">
        <f aca="false">IF(T407&gt;=$H$3,"Eligible","Not Eligible")</f>
        <v>Not Eligible</v>
      </c>
      <c r="V407" s="19" t="n">
        <f aca="false">IF(T407&lt;$H$3,0,IFERROR(T407/SUMIF($T$5:$T$999,"&gt;="&amp;$H$3),0))</f>
        <v>0</v>
      </c>
      <c r="W407" s="15" t="str">
        <f aca="false">IF(T407=0,"Win-Back","Active")</f>
        <v>Active</v>
      </c>
      <c r="X407" s="20" t="n">
        <f aca="false">IF(T407=0,0,IF(T407&gt;=$H$3,ROUND(T407*$D$3/SUMIF($T$5:$T$999,"&gt;="&amp;$H$3),0),ROUNDUP(T407*$D$3/SUMIF($T$5:$T$999,"&gt;="&amp;$H$3),0)))</f>
        <v>1</v>
      </c>
      <c r="Y407" s="21"/>
      <c r="Z407" s="16" t="n">
        <f aca="false">IF(X407=0,"",X407-Y407)</f>
        <v>1</v>
      </c>
      <c r="AA407" s="22" t="n">
        <f aca="false">IFERROR(Y407/X407,"")</f>
        <v>0</v>
      </c>
      <c r="AB407" s="16" t="n">
        <v>0</v>
      </c>
      <c r="AC407" s="21"/>
    </row>
    <row r="408" customFormat="false" ht="15" hidden="false" customHeight="true" outlineLevel="0" collapsed="false">
      <c r="A408" s="15" t="s">
        <v>4291</v>
      </c>
      <c r="B408" s="15" t="s">
        <v>4292</v>
      </c>
      <c r="C408" s="15" t="s">
        <v>4293</v>
      </c>
      <c r="D408" s="15" t="s">
        <v>4294</v>
      </c>
      <c r="E408" s="15" t="s">
        <v>4295</v>
      </c>
      <c r="F408" s="15" t="s">
        <v>4296</v>
      </c>
      <c r="G408" s="15" t="s">
        <v>4297</v>
      </c>
      <c r="H408" s="15" t="s">
        <v>4298</v>
      </c>
      <c r="I408" s="15" t="s">
        <v>4299</v>
      </c>
      <c r="J408" s="15" t="s">
        <v>310</v>
      </c>
      <c r="K408" s="15" t="s">
        <v>70</v>
      </c>
      <c r="L408" s="15" t="s">
        <v>4300</v>
      </c>
      <c r="M408" s="15" t="s">
        <v>4301</v>
      </c>
      <c r="N408" s="15" t="s">
        <v>73</v>
      </c>
      <c r="O408" s="16" t="n">
        <v>0</v>
      </c>
      <c r="P408" s="16" t="n">
        <v>0</v>
      </c>
      <c r="Q408" s="16" t="n">
        <v>1</v>
      </c>
      <c r="R408" s="16" t="n">
        <v>0</v>
      </c>
      <c r="S408" s="16" t="n">
        <v>1</v>
      </c>
      <c r="T408" s="17" t="n">
        <f aca="false">AVERAGE(O408:Q408)</f>
        <v>0.333333333333333</v>
      </c>
      <c r="U408" s="18" t="str">
        <f aca="false">IF(T408&gt;=$H$3,"Eligible","Not Eligible")</f>
        <v>Not Eligible</v>
      </c>
      <c r="V408" s="19" t="n">
        <f aca="false">IF(T408&lt;$H$3,0,IFERROR(T408/SUMIF($T$5:$T$999,"&gt;="&amp;$H$3),0))</f>
        <v>0</v>
      </c>
      <c r="W408" s="15" t="str">
        <f aca="false">IF(T408=0,"Win-Back","Active")</f>
        <v>Active</v>
      </c>
      <c r="X408" s="20" t="n">
        <f aca="false">IF(T408=0,0,IF(T408&gt;=$H$3,ROUND(T408*$D$3/SUMIF($T$5:$T$999,"&gt;="&amp;$H$3),0),ROUNDUP(T408*$D$3/SUMIF($T$5:$T$999,"&gt;="&amp;$H$3),0)))</f>
        <v>1</v>
      </c>
      <c r="Y408" s="21"/>
      <c r="Z408" s="16" t="n">
        <f aca="false">IF(X408=0,"",X408-Y408)</f>
        <v>1</v>
      </c>
      <c r="AA408" s="22" t="n">
        <f aca="false">IFERROR(Y408/X408,"")</f>
        <v>0</v>
      </c>
      <c r="AB408" s="16" t="n">
        <v>0</v>
      </c>
      <c r="AC408" s="21"/>
    </row>
    <row r="409" customFormat="false" ht="15" hidden="false" customHeight="true" outlineLevel="0" collapsed="false">
      <c r="A409" s="15" t="s">
        <v>4302</v>
      </c>
      <c r="B409" s="15" t="s">
        <v>4303</v>
      </c>
      <c r="C409" s="15" t="s">
        <v>4304</v>
      </c>
      <c r="D409" s="15" t="s">
        <v>4305</v>
      </c>
      <c r="E409" s="15" t="s">
        <v>4306</v>
      </c>
      <c r="F409" s="15" t="s">
        <v>4307</v>
      </c>
      <c r="G409" s="15" t="s">
        <v>4308</v>
      </c>
      <c r="H409" s="15" t="s">
        <v>4309</v>
      </c>
      <c r="I409" s="15" t="s">
        <v>186</v>
      </c>
      <c r="J409" s="15" t="s">
        <v>367</v>
      </c>
      <c r="K409" s="15" t="s">
        <v>368</v>
      </c>
      <c r="L409" s="15" t="s">
        <v>4310</v>
      </c>
      <c r="M409" s="15" t="s">
        <v>4311</v>
      </c>
      <c r="N409" s="15" t="s">
        <v>73</v>
      </c>
      <c r="O409" s="16" t="n">
        <v>1</v>
      </c>
      <c r="P409" s="16" t="n">
        <v>0</v>
      </c>
      <c r="Q409" s="16" t="n">
        <v>0</v>
      </c>
      <c r="R409" s="16" t="n">
        <v>0</v>
      </c>
      <c r="S409" s="16" t="n">
        <v>1</v>
      </c>
      <c r="T409" s="17" t="n">
        <f aca="false">AVERAGE(O409:Q409)</f>
        <v>0.333333333333333</v>
      </c>
      <c r="U409" s="18" t="str">
        <f aca="false">IF(T409&gt;=$H$3,"Eligible","Not Eligible")</f>
        <v>Not Eligible</v>
      </c>
      <c r="V409" s="19" t="n">
        <f aca="false">IF(T409&lt;$H$3,0,IFERROR(T409/SUMIF($T$5:$T$999,"&gt;="&amp;$H$3),0))</f>
        <v>0</v>
      </c>
      <c r="W409" s="15" t="str">
        <f aca="false">IF(T409=0,"Win-Back","Active")</f>
        <v>Active</v>
      </c>
      <c r="X409" s="20" t="n">
        <f aca="false">IF(T409=0,0,IF(T409&gt;=$H$3,ROUND(T409*$D$3/SUMIF($T$5:$T$999,"&gt;="&amp;$H$3),0),ROUNDUP(T409*$D$3/SUMIF($T$5:$T$999,"&gt;="&amp;$H$3),0)))</f>
        <v>1</v>
      </c>
      <c r="Y409" s="21"/>
      <c r="Z409" s="16" t="n">
        <f aca="false">IF(X409=0,"",X409-Y409)</f>
        <v>1</v>
      </c>
      <c r="AA409" s="22" t="n">
        <f aca="false">IFERROR(Y409/X409,"")</f>
        <v>0</v>
      </c>
      <c r="AB409" s="16" t="n">
        <v>0</v>
      </c>
      <c r="AC409" s="21"/>
    </row>
    <row r="410" customFormat="false" ht="15" hidden="false" customHeight="true" outlineLevel="0" collapsed="false">
      <c r="A410" s="15" t="s">
        <v>4312</v>
      </c>
      <c r="B410" s="15" t="s">
        <v>4313</v>
      </c>
      <c r="C410" s="15" t="s">
        <v>4314</v>
      </c>
      <c r="D410" s="15" t="s">
        <v>4315</v>
      </c>
      <c r="E410" s="15" t="s">
        <v>4316</v>
      </c>
      <c r="F410" s="15" t="s">
        <v>4317</v>
      </c>
      <c r="G410" s="15" t="s">
        <v>4318</v>
      </c>
      <c r="H410" s="15" t="s">
        <v>4319</v>
      </c>
      <c r="I410" s="15"/>
      <c r="J410" s="15" t="s">
        <v>4320</v>
      </c>
      <c r="K410" s="15" t="s">
        <v>1200</v>
      </c>
      <c r="L410" s="15" t="s">
        <v>4321</v>
      </c>
      <c r="M410" s="15" t="s">
        <v>4322</v>
      </c>
      <c r="N410" s="15" t="s">
        <v>73</v>
      </c>
      <c r="O410" s="16" t="n">
        <v>1</v>
      </c>
      <c r="P410" s="16" t="n">
        <v>0</v>
      </c>
      <c r="Q410" s="16" t="n">
        <v>0</v>
      </c>
      <c r="R410" s="16" t="n">
        <v>0</v>
      </c>
      <c r="S410" s="16" t="n">
        <v>1</v>
      </c>
      <c r="T410" s="17" t="n">
        <f aca="false">AVERAGE(O410:Q410)</f>
        <v>0.333333333333333</v>
      </c>
      <c r="U410" s="18" t="str">
        <f aca="false">IF(T410&gt;=$H$3,"Eligible","Not Eligible")</f>
        <v>Not Eligible</v>
      </c>
      <c r="V410" s="19" t="n">
        <f aca="false">IF(T410&lt;$H$3,0,IFERROR(T410/SUMIF($T$5:$T$999,"&gt;="&amp;$H$3),0))</f>
        <v>0</v>
      </c>
      <c r="W410" s="15" t="str">
        <f aca="false">IF(T410=0,"Win-Back","Active")</f>
        <v>Active</v>
      </c>
      <c r="X410" s="20" t="n">
        <f aca="false">IF(T410=0,0,IF(T410&gt;=$H$3,ROUND(T410*$D$3/SUMIF($T$5:$T$999,"&gt;="&amp;$H$3),0),ROUNDUP(T410*$D$3/SUMIF($T$5:$T$999,"&gt;="&amp;$H$3),0)))</f>
        <v>1</v>
      </c>
      <c r="Y410" s="21"/>
      <c r="Z410" s="16" t="n">
        <f aca="false">IF(X410=0,"",X410-Y410)</f>
        <v>1</v>
      </c>
      <c r="AA410" s="22" t="n">
        <f aca="false">IFERROR(Y410/X410,"")</f>
        <v>0</v>
      </c>
      <c r="AB410" s="16" t="n">
        <v>0</v>
      </c>
      <c r="AC410" s="21"/>
    </row>
    <row r="411" customFormat="false" ht="15" hidden="false" customHeight="true" outlineLevel="0" collapsed="false">
      <c r="A411" s="15" t="s">
        <v>4323</v>
      </c>
      <c r="B411" s="15" t="s">
        <v>4324</v>
      </c>
      <c r="C411" s="15" t="s">
        <v>4325</v>
      </c>
      <c r="D411" s="15" t="s">
        <v>4326</v>
      </c>
      <c r="E411" s="15" t="s">
        <v>1662</v>
      </c>
      <c r="F411" s="15" t="s">
        <v>1663</v>
      </c>
      <c r="G411" s="15" t="s">
        <v>4327</v>
      </c>
      <c r="H411" s="15" t="s">
        <v>4328</v>
      </c>
      <c r="I411" s="15"/>
      <c r="J411" s="15" t="s">
        <v>367</v>
      </c>
      <c r="K411" s="15" t="s">
        <v>368</v>
      </c>
      <c r="L411" s="15" t="s">
        <v>4329</v>
      </c>
      <c r="M411" s="15" t="s">
        <v>4330</v>
      </c>
      <c r="N411" s="15" t="s">
        <v>73</v>
      </c>
      <c r="O411" s="16" t="n">
        <v>0</v>
      </c>
      <c r="P411" s="16" t="n">
        <v>1</v>
      </c>
      <c r="Q411" s="16" t="n">
        <v>0</v>
      </c>
      <c r="R411" s="16" t="n">
        <v>0</v>
      </c>
      <c r="S411" s="16" t="n">
        <v>1</v>
      </c>
      <c r="T411" s="17" t="n">
        <f aca="false">AVERAGE(O411:Q411)</f>
        <v>0.333333333333333</v>
      </c>
      <c r="U411" s="18" t="str">
        <f aca="false">IF(T411&gt;=$H$3,"Eligible","Not Eligible")</f>
        <v>Not Eligible</v>
      </c>
      <c r="V411" s="19" t="n">
        <f aca="false">IF(T411&lt;$H$3,0,IFERROR(T411/SUMIF($T$5:$T$999,"&gt;="&amp;$H$3),0))</f>
        <v>0</v>
      </c>
      <c r="W411" s="15" t="str">
        <f aca="false">IF(T411=0,"Win-Back","Active")</f>
        <v>Active</v>
      </c>
      <c r="X411" s="20" t="n">
        <f aca="false">IF(T411=0,0,IF(T411&gt;=$H$3,ROUND(T411*$D$3/SUMIF($T$5:$T$999,"&gt;="&amp;$H$3),0),ROUNDUP(T411*$D$3/SUMIF($T$5:$T$999,"&gt;="&amp;$H$3),0)))</f>
        <v>1</v>
      </c>
      <c r="Y411" s="21" t="n">
        <v>1</v>
      </c>
      <c r="Z411" s="16" t="n">
        <f aca="false">IF(X411=0,"",X411-Y411)</f>
        <v>0</v>
      </c>
      <c r="AA411" s="22" t="n">
        <f aca="false">IFERROR(Y411/X411,"")</f>
        <v>1</v>
      </c>
      <c r="AB411" s="16" t="n">
        <v>0</v>
      </c>
      <c r="AC411" s="21"/>
    </row>
    <row r="412" customFormat="false" ht="15" hidden="false" customHeight="true" outlineLevel="0" collapsed="false">
      <c r="A412" s="15" t="s">
        <v>4331</v>
      </c>
      <c r="B412" s="15" t="s">
        <v>4332</v>
      </c>
      <c r="C412" s="15" t="s">
        <v>4333</v>
      </c>
      <c r="D412" s="15" t="s">
        <v>4334</v>
      </c>
      <c r="E412" s="15" t="s">
        <v>4335</v>
      </c>
      <c r="F412" s="15" t="s">
        <v>4336</v>
      </c>
      <c r="G412" s="15" t="s">
        <v>4337</v>
      </c>
      <c r="H412" s="15" t="s">
        <v>4338</v>
      </c>
      <c r="I412" s="15"/>
      <c r="J412" s="15" t="s">
        <v>379</v>
      </c>
      <c r="K412" s="15" t="s">
        <v>368</v>
      </c>
      <c r="L412" s="15" t="s">
        <v>2185</v>
      </c>
      <c r="M412" s="15" t="s">
        <v>4339</v>
      </c>
      <c r="N412" s="15" t="s">
        <v>73</v>
      </c>
      <c r="O412" s="16" t="n">
        <v>1</v>
      </c>
      <c r="P412" s="16" t="n">
        <v>0</v>
      </c>
      <c r="Q412" s="16" t="n">
        <v>0</v>
      </c>
      <c r="R412" s="16" t="n">
        <v>0</v>
      </c>
      <c r="S412" s="16" t="n">
        <v>1</v>
      </c>
      <c r="T412" s="17" t="n">
        <f aca="false">AVERAGE(O412:Q412)</f>
        <v>0.333333333333333</v>
      </c>
      <c r="U412" s="18" t="str">
        <f aca="false">IF(T412&gt;=$H$3,"Eligible","Not Eligible")</f>
        <v>Not Eligible</v>
      </c>
      <c r="V412" s="19" t="n">
        <f aca="false">IF(T412&lt;$H$3,0,IFERROR(T412/SUMIF($T$5:$T$999,"&gt;="&amp;$H$3),0))</f>
        <v>0</v>
      </c>
      <c r="W412" s="15" t="str">
        <f aca="false">IF(T412=0,"Win-Back","Active")</f>
        <v>Active</v>
      </c>
      <c r="X412" s="20" t="n">
        <f aca="false">IF(T412=0,0,IF(T412&gt;=$H$3,ROUND(T412*$D$3/SUMIF($T$5:$T$999,"&gt;="&amp;$H$3),0),ROUNDUP(T412*$D$3/SUMIF($T$5:$T$999,"&gt;="&amp;$H$3),0)))</f>
        <v>1</v>
      </c>
      <c r="Y412" s="21"/>
      <c r="Z412" s="16" t="n">
        <f aca="false">IF(X412=0,"",X412-Y412)</f>
        <v>1</v>
      </c>
      <c r="AA412" s="22" t="n">
        <f aca="false">IFERROR(Y412/X412,"")</f>
        <v>0</v>
      </c>
      <c r="AB412" s="16" t="n">
        <v>0</v>
      </c>
      <c r="AC412" s="21"/>
    </row>
    <row r="413" customFormat="false" ht="15" hidden="false" customHeight="true" outlineLevel="0" collapsed="false">
      <c r="A413" s="15" t="s">
        <v>4340</v>
      </c>
      <c r="B413" s="15" t="s">
        <v>4341</v>
      </c>
      <c r="C413" s="15" t="s">
        <v>4342</v>
      </c>
      <c r="D413" s="15" t="s">
        <v>4343</v>
      </c>
      <c r="E413" s="15" t="s">
        <v>4344</v>
      </c>
      <c r="F413" s="15" t="s">
        <v>4345</v>
      </c>
      <c r="G413" s="15" t="s">
        <v>4346</v>
      </c>
      <c r="H413" s="15" t="s">
        <v>4347</v>
      </c>
      <c r="I413" s="15"/>
      <c r="J413" s="15" t="s">
        <v>4348</v>
      </c>
      <c r="K413" s="15" t="s">
        <v>368</v>
      </c>
      <c r="L413" s="15" t="s">
        <v>4349</v>
      </c>
      <c r="M413" s="15" t="s">
        <v>4350</v>
      </c>
      <c r="N413" s="15" t="s">
        <v>73</v>
      </c>
      <c r="O413" s="16" t="n">
        <v>1</v>
      </c>
      <c r="P413" s="16" t="n">
        <v>0</v>
      </c>
      <c r="Q413" s="16" t="n">
        <v>0</v>
      </c>
      <c r="R413" s="16" t="n">
        <v>0</v>
      </c>
      <c r="S413" s="16" t="n">
        <v>1</v>
      </c>
      <c r="T413" s="17" t="n">
        <f aca="false">AVERAGE(O413:Q413)</f>
        <v>0.333333333333333</v>
      </c>
      <c r="U413" s="18" t="str">
        <f aca="false">IF(T413&gt;=$H$3,"Eligible","Not Eligible")</f>
        <v>Not Eligible</v>
      </c>
      <c r="V413" s="19" t="n">
        <f aca="false">IF(T413&lt;$H$3,0,IFERROR(T413/SUMIF($T$5:$T$999,"&gt;="&amp;$H$3),0))</f>
        <v>0</v>
      </c>
      <c r="W413" s="15" t="str">
        <f aca="false">IF(T413=0,"Win-Back","Active")</f>
        <v>Active</v>
      </c>
      <c r="X413" s="20" t="n">
        <f aca="false">IF(T413=0,0,IF(T413&gt;=$H$3,ROUND(T413*$D$3/SUMIF($T$5:$T$999,"&gt;="&amp;$H$3),0),ROUNDUP(T413*$D$3/SUMIF($T$5:$T$999,"&gt;="&amp;$H$3),0)))</f>
        <v>1</v>
      </c>
      <c r="Y413" s="21"/>
      <c r="Z413" s="16" t="n">
        <f aca="false">IF(X413=0,"",X413-Y413)</f>
        <v>1</v>
      </c>
      <c r="AA413" s="22" t="n">
        <f aca="false">IFERROR(Y413/X413,"")</f>
        <v>0</v>
      </c>
      <c r="AB413" s="16" t="n">
        <v>0</v>
      </c>
      <c r="AC413" s="21"/>
    </row>
    <row r="414" customFormat="false" ht="15" hidden="false" customHeight="true" outlineLevel="0" collapsed="false">
      <c r="A414" s="15" t="s">
        <v>4351</v>
      </c>
      <c r="B414" s="15" t="s">
        <v>4352</v>
      </c>
      <c r="C414" s="15" t="s">
        <v>4353</v>
      </c>
      <c r="D414" s="15" t="s">
        <v>4354</v>
      </c>
      <c r="E414" s="15" t="s">
        <v>4355</v>
      </c>
      <c r="F414" s="15" t="s">
        <v>4356</v>
      </c>
      <c r="G414" s="15" t="s">
        <v>4357</v>
      </c>
      <c r="H414" s="15" t="s">
        <v>4358</v>
      </c>
      <c r="I414" s="15"/>
      <c r="J414" s="15" t="s">
        <v>969</v>
      </c>
      <c r="K414" s="15" t="s">
        <v>70</v>
      </c>
      <c r="L414" s="15" t="s">
        <v>4359</v>
      </c>
      <c r="M414" s="15" t="s">
        <v>4360</v>
      </c>
      <c r="N414" s="15" t="s">
        <v>73</v>
      </c>
      <c r="O414" s="16" t="n">
        <v>0</v>
      </c>
      <c r="P414" s="16" t="n">
        <v>1</v>
      </c>
      <c r="Q414" s="16" t="n">
        <v>0</v>
      </c>
      <c r="R414" s="16" t="n">
        <v>0</v>
      </c>
      <c r="S414" s="16" t="n">
        <v>1</v>
      </c>
      <c r="T414" s="17" t="n">
        <f aca="false">AVERAGE(O414:Q414)</f>
        <v>0.333333333333333</v>
      </c>
      <c r="U414" s="18" t="str">
        <f aca="false">IF(T414&gt;=$H$3,"Eligible","Not Eligible")</f>
        <v>Not Eligible</v>
      </c>
      <c r="V414" s="19" t="n">
        <f aca="false">IF(T414&lt;$H$3,0,IFERROR(T414/SUMIF($T$5:$T$999,"&gt;="&amp;$H$3),0))</f>
        <v>0</v>
      </c>
      <c r="W414" s="15" t="str">
        <f aca="false">IF(T414=0,"Win-Back","Active")</f>
        <v>Active</v>
      </c>
      <c r="X414" s="20" t="n">
        <f aca="false">IF(T414=0,0,IF(T414&gt;=$H$3,ROUND(T414*$D$3/SUMIF($T$5:$T$999,"&gt;="&amp;$H$3),0),ROUNDUP(T414*$D$3/SUMIF($T$5:$T$999,"&gt;="&amp;$H$3),0)))</f>
        <v>1</v>
      </c>
      <c r="Y414" s="21"/>
      <c r="Z414" s="16" t="n">
        <f aca="false">IF(X414=0,"",X414-Y414)</f>
        <v>1</v>
      </c>
      <c r="AA414" s="22" t="n">
        <f aca="false">IFERROR(Y414/X414,"")</f>
        <v>0</v>
      </c>
      <c r="AB414" s="16" t="n">
        <v>0</v>
      </c>
      <c r="AC414" s="21"/>
    </row>
    <row r="415" customFormat="false" ht="15" hidden="false" customHeight="true" outlineLevel="0" collapsed="false">
      <c r="A415" s="15" t="s">
        <v>4361</v>
      </c>
      <c r="B415" s="15" t="s">
        <v>4362</v>
      </c>
      <c r="C415" s="15" t="s">
        <v>4363</v>
      </c>
      <c r="D415" s="15" t="s">
        <v>4364</v>
      </c>
      <c r="E415" s="15" t="s">
        <v>4365</v>
      </c>
      <c r="F415" s="15" t="s">
        <v>4366</v>
      </c>
      <c r="G415" s="15" t="s">
        <v>4367</v>
      </c>
      <c r="H415" s="15" t="s">
        <v>4368</v>
      </c>
      <c r="I415" s="15" t="s">
        <v>3667</v>
      </c>
      <c r="J415" s="15" t="s">
        <v>3771</v>
      </c>
      <c r="K415" s="15" t="s">
        <v>70</v>
      </c>
      <c r="L415" s="15" t="s">
        <v>4369</v>
      </c>
      <c r="M415" s="15" t="s">
        <v>4370</v>
      </c>
      <c r="N415" s="15" t="s">
        <v>73</v>
      </c>
      <c r="O415" s="16" t="n">
        <v>0</v>
      </c>
      <c r="P415" s="16" t="n">
        <v>0</v>
      </c>
      <c r="Q415" s="16" t="n">
        <v>1</v>
      </c>
      <c r="R415" s="16" t="n">
        <v>0</v>
      </c>
      <c r="S415" s="16" t="n">
        <v>1</v>
      </c>
      <c r="T415" s="17" t="n">
        <f aca="false">AVERAGE(O415:Q415)</f>
        <v>0.333333333333333</v>
      </c>
      <c r="U415" s="18" t="str">
        <f aca="false">IF(T415&gt;=$H$3,"Eligible","Not Eligible")</f>
        <v>Not Eligible</v>
      </c>
      <c r="V415" s="19" t="n">
        <f aca="false">IF(T415&lt;$H$3,0,IFERROR(T415/SUMIF($T$5:$T$999,"&gt;="&amp;$H$3),0))</f>
        <v>0</v>
      </c>
      <c r="W415" s="15" t="str">
        <f aca="false">IF(T415=0,"Win-Back","Active")</f>
        <v>Active</v>
      </c>
      <c r="X415" s="20" t="n">
        <f aca="false">IF(T415=0,0,IF(T415&gt;=$H$3,ROUND(T415*$D$3/SUMIF($T$5:$T$999,"&gt;="&amp;$H$3),0),ROUNDUP(T415*$D$3/SUMIF($T$5:$T$999,"&gt;="&amp;$H$3),0)))</f>
        <v>1</v>
      </c>
      <c r="Y415" s="21"/>
      <c r="Z415" s="16" t="n">
        <f aca="false">IF(X415=0,"",X415-Y415)</f>
        <v>1</v>
      </c>
      <c r="AA415" s="22" t="n">
        <f aca="false">IFERROR(Y415/X415,"")</f>
        <v>0</v>
      </c>
      <c r="AB415" s="16" t="n">
        <v>0</v>
      </c>
      <c r="AC415" s="21"/>
    </row>
    <row r="416" customFormat="false" ht="15" hidden="false" customHeight="true" outlineLevel="0" collapsed="false">
      <c r="A416" s="15" t="s">
        <v>4371</v>
      </c>
      <c r="B416" s="15" t="s">
        <v>4372</v>
      </c>
      <c r="C416" s="15" t="s">
        <v>4373</v>
      </c>
      <c r="D416" s="15" t="s">
        <v>4374</v>
      </c>
      <c r="E416" s="15" t="s">
        <v>4375</v>
      </c>
      <c r="F416" s="15" t="s">
        <v>4376</v>
      </c>
      <c r="G416" s="15" t="s">
        <v>4377</v>
      </c>
      <c r="H416" s="15" t="s">
        <v>4378</v>
      </c>
      <c r="I416" s="15"/>
      <c r="J416" s="15" t="s">
        <v>4379</v>
      </c>
      <c r="K416" s="15" t="s">
        <v>70</v>
      </c>
      <c r="L416" s="15" t="s">
        <v>4380</v>
      </c>
      <c r="M416" s="15" t="s">
        <v>4381</v>
      </c>
      <c r="N416" s="15" t="s">
        <v>73</v>
      </c>
      <c r="O416" s="16" t="n">
        <v>0</v>
      </c>
      <c r="P416" s="16" t="n">
        <v>0</v>
      </c>
      <c r="Q416" s="16" t="n">
        <v>1</v>
      </c>
      <c r="R416" s="16" t="n">
        <v>0</v>
      </c>
      <c r="S416" s="16" t="n">
        <v>1</v>
      </c>
      <c r="T416" s="17" t="n">
        <f aca="false">AVERAGE(O416:Q416)</f>
        <v>0.333333333333333</v>
      </c>
      <c r="U416" s="18" t="str">
        <f aca="false">IF(T416&gt;=$H$3,"Eligible","Not Eligible")</f>
        <v>Not Eligible</v>
      </c>
      <c r="V416" s="19" t="n">
        <f aca="false">IF(T416&lt;$H$3,0,IFERROR(T416/SUMIF($T$5:$T$999,"&gt;="&amp;$H$3),0))</f>
        <v>0</v>
      </c>
      <c r="W416" s="15" t="str">
        <f aca="false">IF(T416=0,"Win-Back","Active")</f>
        <v>Active</v>
      </c>
      <c r="X416" s="20" t="n">
        <f aca="false">IF(T416=0,0,IF(T416&gt;=$H$3,ROUND(T416*$D$3/SUMIF($T$5:$T$999,"&gt;="&amp;$H$3),0),ROUNDUP(T416*$D$3/SUMIF($T$5:$T$999,"&gt;="&amp;$H$3),0)))</f>
        <v>1</v>
      </c>
      <c r="Y416" s="21"/>
      <c r="Z416" s="16" t="n">
        <f aca="false">IF(X416=0,"",X416-Y416)</f>
        <v>1</v>
      </c>
      <c r="AA416" s="22" t="n">
        <f aca="false">IFERROR(Y416/X416,"")</f>
        <v>0</v>
      </c>
      <c r="AB416" s="16" t="n">
        <v>0</v>
      </c>
      <c r="AC416" s="21"/>
    </row>
    <row r="417" customFormat="false" ht="15" hidden="false" customHeight="true" outlineLevel="0" collapsed="false">
      <c r="A417" s="15" t="s">
        <v>4382</v>
      </c>
      <c r="B417" s="15" t="s">
        <v>4383</v>
      </c>
      <c r="C417" s="15" t="s">
        <v>4384</v>
      </c>
      <c r="D417" s="15" t="s">
        <v>4385</v>
      </c>
      <c r="E417" s="15" t="s">
        <v>4386</v>
      </c>
      <c r="F417" s="15" t="s">
        <v>4387</v>
      </c>
      <c r="G417" s="15" t="s">
        <v>4388</v>
      </c>
      <c r="H417" s="15" t="s">
        <v>4389</v>
      </c>
      <c r="I417" s="15"/>
      <c r="J417" s="15" t="s">
        <v>4390</v>
      </c>
      <c r="K417" s="15" t="s">
        <v>70</v>
      </c>
      <c r="L417" s="15" t="s">
        <v>4391</v>
      </c>
      <c r="M417" s="15" t="s">
        <v>4392</v>
      </c>
      <c r="N417" s="15" t="s">
        <v>73</v>
      </c>
      <c r="O417" s="16" t="n">
        <v>0</v>
      </c>
      <c r="P417" s="16" t="n">
        <v>1</v>
      </c>
      <c r="Q417" s="16" t="n">
        <v>0</v>
      </c>
      <c r="R417" s="16" t="n">
        <v>0</v>
      </c>
      <c r="S417" s="16" t="n">
        <v>1</v>
      </c>
      <c r="T417" s="17" t="n">
        <f aca="false">AVERAGE(O417:Q417)</f>
        <v>0.333333333333333</v>
      </c>
      <c r="U417" s="18" t="str">
        <f aca="false">IF(T417&gt;=$H$3,"Eligible","Not Eligible")</f>
        <v>Not Eligible</v>
      </c>
      <c r="V417" s="19" t="n">
        <f aca="false">IF(T417&lt;$H$3,0,IFERROR(T417/SUMIF($T$5:$T$999,"&gt;="&amp;$H$3),0))</f>
        <v>0</v>
      </c>
      <c r="W417" s="15" t="str">
        <f aca="false">IF(T417=0,"Win-Back","Active")</f>
        <v>Active</v>
      </c>
      <c r="X417" s="20" t="n">
        <f aca="false">IF(T417=0,0,IF(T417&gt;=$H$3,ROUND(T417*$D$3/SUMIF($T$5:$T$999,"&gt;="&amp;$H$3),0),ROUNDUP(T417*$D$3/SUMIF($T$5:$T$999,"&gt;="&amp;$H$3),0)))</f>
        <v>1</v>
      </c>
      <c r="Y417" s="21" t="n">
        <v>1</v>
      </c>
      <c r="Z417" s="16" t="n">
        <f aca="false">IF(X417=0,"",X417-Y417)</f>
        <v>0</v>
      </c>
      <c r="AA417" s="22" t="n">
        <f aca="false">IFERROR(Y417/X417,"")</f>
        <v>1</v>
      </c>
      <c r="AB417" s="16" t="n">
        <v>0</v>
      </c>
      <c r="AC417" s="21"/>
    </row>
    <row r="418" customFormat="false" ht="15" hidden="false" customHeight="true" outlineLevel="0" collapsed="false">
      <c r="A418" s="15" t="s">
        <v>4393</v>
      </c>
      <c r="B418" s="15" t="s">
        <v>4394</v>
      </c>
      <c r="C418" s="15" t="s">
        <v>4395</v>
      </c>
      <c r="D418" s="15" t="s">
        <v>4396</v>
      </c>
      <c r="E418" s="15" t="s">
        <v>3054</v>
      </c>
      <c r="F418" s="15" t="s">
        <v>4397</v>
      </c>
      <c r="G418" s="15" t="s">
        <v>3056</v>
      </c>
      <c r="H418" s="15" t="s">
        <v>4398</v>
      </c>
      <c r="I418" s="15"/>
      <c r="J418" s="15" t="s">
        <v>367</v>
      </c>
      <c r="K418" s="15" t="s">
        <v>368</v>
      </c>
      <c r="L418" s="15" t="s">
        <v>4399</v>
      </c>
      <c r="M418" s="15" t="s">
        <v>3058</v>
      </c>
      <c r="N418" s="15" t="s">
        <v>73</v>
      </c>
      <c r="O418" s="16" t="n">
        <v>0</v>
      </c>
      <c r="P418" s="16" t="n">
        <v>1</v>
      </c>
      <c r="Q418" s="16" t="n">
        <v>0</v>
      </c>
      <c r="R418" s="16" t="n">
        <v>0</v>
      </c>
      <c r="S418" s="16" t="n">
        <v>1</v>
      </c>
      <c r="T418" s="17" t="n">
        <f aca="false">AVERAGE(O418:Q418)</f>
        <v>0.333333333333333</v>
      </c>
      <c r="U418" s="18" t="str">
        <f aca="false">IF(T418&gt;=$H$3,"Eligible","Not Eligible")</f>
        <v>Not Eligible</v>
      </c>
      <c r="V418" s="19" t="n">
        <f aca="false">IF(T418&lt;$H$3,0,IFERROR(T418/SUMIF($T$5:$T$999,"&gt;="&amp;$H$3),0))</f>
        <v>0</v>
      </c>
      <c r="W418" s="15" t="str">
        <f aca="false">IF(T418=0,"Win-Back","Active")</f>
        <v>Active</v>
      </c>
      <c r="X418" s="20" t="n">
        <f aca="false">IF(T418=0,0,IF(T418&gt;=$H$3,ROUND(T418*$D$3/SUMIF($T$5:$T$999,"&gt;="&amp;$H$3),0),ROUNDUP(T418*$D$3/SUMIF($T$5:$T$999,"&gt;="&amp;$H$3),0)))</f>
        <v>1</v>
      </c>
      <c r="Y418" s="21" t="n">
        <v>1</v>
      </c>
      <c r="Z418" s="16" t="n">
        <f aca="false">IF(X418=0,"",X418-Y418)</f>
        <v>0</v>
      </c>
      <c r="AA418" s="22" t="n">
        <f aca="false">IFERROR(Y418/X418,"")</f>
        <v>1</v>
      </c>
      <c r="AB418" s="16" t="n">
        <v>0</v>
      </c>
      <c r="AC418" s="21"/>
    </row>
    <row r="419" customFormat="false" ht="15" hidden="false" customHeight="true" outlineLevel="0" collapsed="false">
      <c r="A419" s="15" t="s">
        <v>4400</v>
      </c>
      <c r="B419" s="15" t="s">
        <v>4401</v>
      </c>
      <c r="C419" s="15" t="s">
        <v>4402</v>
      </c>
      <c r="D419" s="15" t="s">
        <v>4403</v>
      </c>
      <c r="E419" s="15" t="s">
        <v>4404</v>
      </c>
      <c r="F419" s="15" t="s">
        <v>4405</v>
      </c>
      <c r="G419" s="15" t="s">
        <v>4406</v>
      </c>
      <c r="H419" s="15" t="s">
        <v>4407</v>
      </c>
      <c r="I419" s="15"/>
      <c r="J419" s="15" t="s">
        <v>4408</v>
      </c>
      <c r="K419" s="15" t="s">
        <v>1200</v>
      </c>
      <c r="L419" s="15" t="s">
        <v>4409</v>
      </c>
      <c r="M419" s="15" t="s">
        <v>4410</v>
      </c>
      <c r="N419" s="15" t="s">
        <v>73</v>
      </c>
      <c r="O419" s="16" t="n">
        <v>1</v>
      </c>
      <c r="P419" s="16" t="n">
        <v>0</v>
      </c>
      <c r="Q419" s="16" t="n">
        <v>0</v>
      </c>
      <c r="R419" s="16" t="n">
        <v>0</v>
      </c>
      <c r="S419" s="16" t="n">
        <v>1</v>
      </c>
      <c r="T419" s="17" t="n">
        <f aca="false">AVERAGE(O419:Q419)</f>
        <v>0.333333333333333</v>
      </c>
      <c r="U419" s="18" t="str">
        <f aca="false">IF(T419&gt;=$H$3,"Eligible","Not Eligible")</f>
        <v>Not Eligible</v>
      </c>
      <c r="V419" s="19" t="n">
        <f aca="false">IF(T419&lt;$H$3,0,IFERROR(T419/SUMIF($T$5:$T$999,"&gt;="&amp;$H$3),0))</f>
        <v>0</v>
      </c>
      <c r="W419" s="15" t="str">
        <f aca="false">IF(T419=0,"Win-Back","Active")</f>
        <v>Active</v>
      </c>
      <c r="X419" s="20" t="n">
        <f aca="false">IF(T419=0,0,IF(T419&gt;=$H$3,ROUND(T419*$D$3/SUMIF($T$5:$T$999,"&gt;="&amp;$H$3),0),ROUNDUP(T419*$D$3/SUMIF($T$5:$T$999,"&gt;="&amp;$H$3),0)))</f>
        <v>1</v>
      </c>
      <c r="Y419" s="21"/>
      <c r="Z419" s="16" t="n">
        <f aca="false">IF(X419=0,"",X419-Y419)</f>
        <v>1</v>
      </c>
      <c r="AA419" s="22" t="n">
        <f aca="false">IFERROR(Y419/X419,"")</f>
        <v>0</v>
      </c>
      <c r="AB419" s="16" t="n">
        <v>0</v>
      </c>
      <c r="AC419" s="21"/>
    </row>
    <row r="420" customFormat="false" ht="15" hidden="false" customHeight="true" outlineLevel="0" collapsed="false">
      <c r="A420" s="15" t="s">
        <v>4411</v>
      </c>
      <c r="B420" s="15" t="s">
        <v>4412</v>
      </c>
      <c r="C420" s="15" t="s">
        <v>4413</v>
      </c>
      <c r="D420" s="15" t="s">
        <v>4414</v>
      </c>
      <c r="E420" s="15" t="s">
        <v>4415</v>
      </c>
      <c r="F420" s="15" t="s">
        <v>4416</v>
      </c>
      <c r="G420" s="15" t="s">
        <v>4417</v>
      </c>
      <c r="H420" s="15" t="s">
        <v>4418</v>
      </c>
      <c r="I420" s="15"/>
      <c r="J420" s="15" t="s">
        <v>777</v>
      </c>
      <c r="K420" s="15" t="s">
        <v>70</v>
      </c>
      <c r="L420" s="15" t="s">
        <v>1761</v>
      </c>
      <c r="M420" s="15" t="s">
        <v>4419</v>
      </c>
      <c r="N420" s="15" t="s">
        <v>73</v>
      </c>
      <c r="O420" s="16" t="n">
        <v>0</v>
      </c>
      <c r="P420" s="16" t="n">
        <v>0</v>
      </c>
      <c r="Q420" s="16" t="n">
        <v>1</v>
      </c>
      <c r="R420" s="16" t="n">
        <v>0</v>
      </c>
      <c r="S420" s="16" t="n">
        <v>1</v>
      </c>
      <c r="T420" s="17" t="n">
        <f aca="false">AVERAGE(O420:Q420)</f>
        <v>0.333333333333333</v>
      </c>
      <c r="U420" s="18" t="str">
        <f aca="false">IF(T420&gt;=$H$3,"Eligible","Not Eligible")</f>
        <v>Not Eligible</v>
      </c>
      <c r="V420" s="19" t="n">
        <f aca="false">IF(T420&lt;$H$3,0,IFERROR(T420/SUMIF($T$5:$T$999,"&gt;="&amp;$H$3),0))</f>
        <v>0</v>
      </c>
      <c r="W420" s="15" t="str">
        <f aca="false">IF(T420=0,"Win-Back","Active")</f>
        <v>Active</v>
      </c>
      <c r="X420" s="20" t="n">
        <f aca="false">IF(T420=0,0,IF(T420&gt;=$H$3,ROUND(T420*$D$3/SUMIF($T$5:$T$999,"&gt;="&amp;$H$3),0),ROUNDUP(T420*$D$3/SUMIF($T$5:$T$999,"&gt;="&amp;$H$3),0)))</f>
        <v>1</v>
      </c>
      <c r="Y420" s="21"/>
      <c r="Z420" s="16" t="n">
        <f aca="false">IF(X420=0,"",X420-Y420)</f>
        <v>1</v>
      </c>
      <c r="AA420" s="22" t="n">
        <f aca="false">IFERROR(Y420/X420,"")</f>
        <v>0</v>
      </c>
      <c r="AB420" s="16" t="n">
        <v>0</v>
      </c>
      <c r="AC420" s="21"/>
    </row>
    <row r="421" customFormat="false" ht="15" hidden="false" customHeight="true" outlineLevel="0" collapsed="false">
      <c r="A421" s="15" t="s">
        <v>4420</v>
      </c>
      <c r="B421" s="15" t="s">
        <v>4421</v>
      </c>
      <c r="C421" s="15" t="s">
        <v>4422</v>
      </c>
      <c r="D421" s="15" t="s">
        <v>4423</v>
      </c>
      <c r="E421" s="15" t="s">
        <v>4424</v>
      </c>
      <c r="F421" s="15" t="s">
        <v>4425</v>
      </c>
      <c r="G421" s="15" t="s">
        <v>4426</v>
      </c>
      <c r="H421" s="15" t="s">
        <v>4427</v>
      </c>
      <c r="I421" s="15"/>
      <c r="J421" s="15" t="s">
        <v>2302</v>
      </c>
      <c r="K421" s="15" t="s">
        <v>1451</v>
      </c>
      <c r="L421" s="15" t="s">
        <v>4428</v>
      </c>
      <c r="M421" s="15" t="s">
        <v>4429</v>
      </c>
      <c r="N421" s="15" t="s">
        <v>73</v>
      </c>
      <c r="O421" s="16" t="n">
        <v>0</v>
      </c>
      <c r="P421" s="16" t="n">
        <v>0</v>
      </c>
      <c r="Q421" s="16" t="n">
        <v>1</v>
      </c>
      <c r="R421" s="16" t="n">
        <v>0</v>
      </c>
      <c r="S421" s="16" t="n">
        <v>1</v>
      </c>
      <c r="T421" s="17" t="n">
        <f aca="false">AVERAGE(O421:Q421)</f>
        <v>0.333333333333333</v>
      </c>
      <c r="U421" s="18" t="str">
        <f aca="false">IF(T421&gt;=$H$3,"Eligible","Not Eligible")</f>
        <v>Not Eligible</v>
      </c>
      <c r="V421" s="19" t="n">
        <f aca="false">IF(T421&lt;$H$3,0,IFERROR(T421/SUMIF($T$5:$T$999,"&gt;="&amp;$H$3),0))</f>
        <v>0</v>
      </c>
      <c r="W421" s="15" t="str">
        <f aca="false">IF(T421=0,"Win-Back","Active")</f>
        <v>Active</v>
      </c>
      <c r="X421" s="20" t="n">
        <f aca="false">IF(T421=0,0,IF(T421&gt;=$H$3,ROUND(T421*$D$3/SUMIF($T$5:$T$999,"&gt;="&amp;$H$3),0),ROUNDUP(T421*$D$3/SUMIF($T$5:$T$999,"&gt;="&amp;$H$3),0)))</f>
        <v>1</v>
      </c>
      <c r="Y421" s="21"/>
      <c r="Z421" s="16" t="n">
        <f aca="false">IF(X421=0,"",X421-Y421)</f>
        <v>1</v>
      </c>
      <c r="AA421" s="22" t="n">
        <f aca="false">IFERROR(Y421/X421,"")</f>
        <v>0</v>
      </c>
      <c r="AB421" s="16" t="n">
        <v>0</v>
      </c>
      <c r="AC421" s="21"/>
    </row>
    <row r="422" customFormat="false" ht="15" hidden="false" customHeight="true" outlineLevel="0" collapsed="false">
      <c r="A422" s="15" t="s">
        <v>4430</v>
      </c>
      <c r="B422" s="15" t="s">
        <v>4431</v>
      </c>
      <c r="C422" s="15" t="s">
        <v>4432</v>
      </c>
      <c r="D422" s="15" t="s">
        <v>4433</v>
      </c>
      <c r="E422" s="15" t="s">
        <v>2288</v>
      </c>
      <c r="F422" s="15" t="s">
        <v>4434</v>
      </c>
      <c r="G422" s="15" t="s">
        <v>2290</v>
      </c>
      <c r="H422" s="15" t="s">
        <v>4435</v>
      </c>
      <c r="I422" s="15"/>
      <c r="J422" s="15" t="s">
        <v>4436</v>
      </c>
      <c r="K422" s="15" t="s">
        <v>864</v>
      </c>
      <c r="L422" s="15" t="s">
        <v>4437</v>
      </c>
      <c r="M422" s="15" t="s">
        <v>2293</v>
      </c>
      <c r="N422" s="15" t="s">
        <v>73</v>
      </c>
      <c r="O422" s="16" t="n">
        <v>0</v>
      </c>
      <c r="P422" s="16" t="n">
        <v>1</v>
      </c>
      <c r="Q422" s="16" t="n">
        <v>0</v>
      </c>
      <c r="R422" s="16" t="n">
        <v>0</v>
      </c>
      <c r="S422" s="16" t="n">
        <v>1</v>
      </c>
      <c r="T422" s="17" t="n">
        <f aca="false">AVERAGE(O422:Q422)</f>
        <v>0.333333333333333</v>
      </c>
      <c r="U422" s="18" t="str">
        <f aca="false">IF(T422&gt;=$H$3,"Eligible","Not Eligible")</f>
        <v>Not Eligible</v>
      </c>
      <c r="V422" s="19" t="n">
        <f aca="false">IF(T422&lt;$H$3,0,IFERROR(T422/SUMIF($T$5:$T$999,"&gt;="&amp;$H$3),0))</f>
        <v>0</v>
      </c>
      <c r="W422" s="15" t="str">
        <f aca="false">IF(T422=0,"Win-Back","Active")</f>
        <v>Active</v>
      </c>
      <c r="X422" s="20" t="n">
        <f aca="false">IF(T422=0,0,IF(T422&gt;=$H$3,ROUND(T422*$D$3/SUMIF($T$5:$T$999,"&gt;="&amp;$H$3),0),ROUNDUP(T422*$D$3/SUMIF($T$5:$T$999,"&gt;="&amp;$H$3),0)))</f>
        <v>1</v>
      </c>
      <c r="Y422" s="21" t="n">
        <v>1</v>
      </c>
      <c r="Z422" s="16" t="n">
        <f aca="false">IF(X422=0,"",X422-Y422)</f>
        <v>0</v>
      </c>
      <c r="AA422" s="22" t="n">
        <f aca="false">IFERROR(Y422/X422,"")</f>
        <v>1</v>
      </c>
      <c r="AB422" s="16" t="n">
        <v>0</v>
      </c>
      <c r="AC422" s="21"/>
    </row>
    <row r="423" customFormat="false" ht="15" hidden="false" customHeight="true" outlineLevel="0" collapsed="false">
      <c r="A423" s="15" t="s">
        <v>4438</v>
      </c>
      <c r="B423" s="15" t="s">
        <v>4439</v>
      </c>
      <c r="C423" s="15" t="s">
        <v>4440</v>
      </c>
      <c r="D423" s="15" t="s">
        <v>4441</v>
      </c>
      <c r="E423" s="15" t="s">
        <v>4442</v>
      </c>
      <c r="F423" s="15" t="s">
        <v>4443</v>
      </c>
      <c r="G423" s="15" t="s">
        <v>4444</v>
      </c>
      <c r="H423" s="15" t="s">
        <v>4445</v>
      </c>
      <c r="I423" s="15"/>
      <c r="J423" s="15" t="s">
        <v>777</v>
      </c>
      <c r="K423" s="15" t="s">
        <v>70</v>
      </c>
      <c r="L423" s="15" t="s">
        <v>778</v>
      </c>
      <c r="M423" s="15" t="s">
        <v>4446</v>
      </c>
      <c r="N423" s="15" t="s">
        <v>73</v>
      </c>
      <c r="O423" s="16" t="n">
        <v>0</v>
      </c>
      <c r="P423" s="16" t="n">
        <v>1</v>
      </c>
      <c r="Q423" s="16" t="n">
        <v>0</v>
      </c>
      <c r="R423" s="16" t="n">
        <v>0</v>
      </c>
      <c r="S423" s="16" t="n">
        <v>1</v>
      </c>
      <c r="T423" s="17" t="n">
        <f aca="false">AVERAGE(O423:Q423)</f>
        <v>0.333333333333333</v>
      </c>
      <c r="U423" s="18" t="str">
        <f aca="false">IF(T423&gt;=$H$3,"Eligible","Not Eligible")</f>
        <v>Not Eligible</v>
      </c>
      <c r="V423" s="19" t="n">
        <f aca="false">IF(T423&lt;$H$3,0,IFERROR(T423/SUMIF($T$5:$T$999,"&gt;="&amp;$H$3),0))</f>
        <v>0</v>
      </c>
      <c r="W423" s="15" t="str">
        <f aca="false">IF(T423=0,"Win-Back","Active")</f>
        <v>Active</v>
      </c>
      <c r="X423" s="20" t="n">
        <f aca="false">IF(T423=0,0,IF(T423&gt;=$H$3,ROUND(T423*$D$3/SUMIF($T$5:$T$999,"&gt;="&amp;$H$3),0),ROUNDUP(T423*$D$3/SUMIF($T$5:$T$999,"&gt;="&amp;$H$3),0)))</f>
        <v>1</v>
      </c>
      <c r="Y423" s="21"/>
      <c r="Z423" s="16" t="n">
        <f aca="false">IF(X423=0,"",X423-Y423)</f>
        <v>1</v>
      </c>
      <c r="AA423" s="22" t="n">
        <f aca="false">IFERROR(Y423/X423,"")</f>
        <v>0</v>
      </c>
      <c r="AB423" s="16" t="n">
        <v>0</v>
      </c>
      <c r="AC423" s="21"/>
    </row>
    <row r="424" customFormat="false" ht="15" hidden="false" customHeight="true" outlineLevel="0" collapsed="false">
      <c r="A424" s="15" t="s">
        <v>4447</v>
      </c>
      <c r="B424" s="15" t="s">
        <v>4448</v>
      </c>
      <c r="C424" s="15" t="s">
        <v>4449</v>
      </c>
      <c r="D424" s="15" t="s">
        <v>4450</v>
      </c>
      <c r="E424" s="15" t="s">
        <v>4451</v>
      </c>
      <c r="F424" s="15" t="s">
        <v>4452</v>
      </c>
      <c r="G424" s="15" t="s">
        <v>4453</v>
      </c>
      <c r="H424" s="15" t="s">
        <v>4454</v>
      </c>
      <c r="I424" s="15" t="s">
        <v>3461</v>
      </c>
      <c r="J424" s="15" t="s">
        <v>4455</v>
      </c>
      <c r="K424" s="15" t="s">
        <v>70</v>
      </c>
      <c r="L424" s="15" t="s">
        <v>4456</v>
      </c>
      <c r="M424" s="15" t="s">
        <v>4457</v>
      </c>
      <c r="N424" s="15" t="s">
        <v>73</v>
      </c>
      <c r="O424" s="16" t="n">
        <v>0</v>
      </c>
      <c r="P424" s="16" t="n">
        <v>0</v>
      </c>
      <c r="Q424" s="16" t="n">
        <v>1</v>
      </c>
      <c r="R424" s="16" t="n">
        <v>0</v>
      </c>
      <c r="S424" s="16" t="n">
        <v>1</v>
      </c>
      <c r="T424" s="17" t="n">
        <f aca="false">AVERAGE(O424:Q424)</f>
        <v>0.333333333333333</v>
      </c>
      <c r="U424" s="18" t="str">
        <f aca="false">IF(T424&gt;=$H$3,"Eligible","Not Eligible")</f>
        <v>Not Eligible</v>
      </c>
      <c r="V424" s="19" t="n">
        <f aca="false">IF(T424&lt;$H$3,0,IFERROR(T424/SUMIF($T$5:$T$999,"&gt;="&amp;$H$3),0))</f>
        <v>0</v>
      </c>
      <c r="W424" s="15" t="str">
        <f aca="false">IF(T424=0,"Win-Back","Active")</f>
        <v>Active</v>
      </c>
      <c r="X424" s="20" t="n">
        <f aca="false">IF(T424=0,0,IF(T424&gt;=$H$3,ROUND(T424*$D$3/SUMIF($T$5:$T$999,"&gt;="&amp;$H$3),0),ROUNDUP(T424*$D$3/SUMIF($T$5:$T$999,"&gt;="&amp;$H$3),0)))</f>
        <v>1</v>
      </c>
      <c r="Y424" s="21" t="n">
        <v>1</v>
      </c>
      <c r="Z424" s="16" t="n">
        <f aca="false">IF(X424=0,"",X424-Y424)</f>
        <v>0</v>
      </c>
      <c r="AA424" s="22" t="n">
        <f aca="false">IFERROR(Y424/X424,"")</f>
        <v>1</v>
      </c>
      <c r="AB424" s="16" t="n">
        <v>0</v>
      </c>
      <c r="AC424" s="21"/>
    </row>
    <row r="425" customFormat="false" ht="15" hidden="false" customHeight="true" outlineLevel="0" collapsed="false">
      <c r="A425" s="15" t="s">
        <v>4458</v>
      </c>
      <c r="B425" s="15" t="s">
        <v>4459</v>
      </c>
      <c r="C425" s="15" t="s">
        <v>4460</v>
      </c>
      <c r="D425" s="15" t="s">
        <v>4461</v>
      </c>
      <c r="E425" s="15" t="s">
        <v>4462</v>
      </c>
      <c r="F425" s="15" t="s">
        <v>4463</v>
      </c>
      <c r="G425" s="15" t="s">
        <v>4464</v>
      </c>
      <c r="H425" s="15" t="s">
        <v>4465</v>
      </c>
      <c r="I425" s="15" t="s">
        <v>4466</v>
      </c>
      <c r="J425" s="15" t="s">
        <v>4467</v>
      </c>
      <c r="K425" s="15" t="s">
        <v>615</v>
      </c>
      <c r="L425" s="15" t="s">
        <v>4468</v>
      </c>
      <c r="M425" s="15" t="s">
        <v>4469</v>
      </c>
      <c r="N425" s="15" t="s">
        <v>73</v>
      </c>
      <c r="O425" s="16" t="n">
        <v>1</v>
      </c>
      <c r="P425" s="16" t="n">
        <v>0</v>
      </c>
      <c r="Q425" s="16" t="n">
        <v>0</v>
      </c>
      <c r="R425" s="16" t="n">
        <v>0</v>
      </c>
      <c r="S425" s="16" t="n">
        <v>1</v>
      </c>
      <c r="T425" s="17" t="n">
        <f aca="false">AVERAGE(O425:Q425)</f>
        <v>0.333333333333333</v>
      </c>
      <c r="U425" s="18" t="str">
        <f aca="false">IF(T425&gt;=$H$3,"Eligible","Not Eligible")</f>
        <v>Not Eligible</v>
      </c>
      <c r="V425" s="19" t="n">
        <f aca="false">IF(T425&lt;$H$3,0,IFERROR(T425/SUMIF($T$5:$T$999,"&gt;="&amp;$H$3),0))</f>
        <v>0</v>
      </c>
      <c r="W425" s="15" t="str">
        <f aca="false">IF(T425=0,"Win-Back","Active")</f>
        <v>Active</v>
      </c>
      <c r="X425" s="20" t="n">
        <f aca="false">IF(T425=0,0,IF(T425&gt;=$H$3,ROUND(T425*$D$3/SUMIF($T$5:$T$999,"&gt;="&amp;$H$3),0),ROUNDUP(T425*$D$3/SUMIF($T$5:$T$999,"&gt;="&amp;$H$3),0)))</f>
        <v>1</v>
      </c>
      <c r="Y425" s="21"/>
      <c r="Z425" s="16" t="n">
        <f aca="false">IF(X425=0,"",X425-Y425)</f>
        <v>1</v>
      </c>
      <c r="AA425" s="22" t="n">
        <f aca="false">IFERROR(Y425/X425,"")</f>
        <v>0</v>
      </c>
      <c r="AB425" s="16" t="n">
        <v>0</v>
      </c>
      <c r="AC425" s="21"/>
    </row>
    <row r="426" customFormat="false" ht="15" hidden="false" customHeight="true" outlineLevel="0" collapsed="false">
      <c r="A426" s="15" t="s">
        <v>4470</v>
      </c>
      <c r="B426" s="15" t="s">
        <v>4471</v>
      </c>
      <c r="C426" s="15" t="s">
        <v>4472</v>
      </c>
      <c r="D426" s="15" t="s">
        <v>4473</v>
      </c>
      <c r="E426" s="15" t="s">
        <v>4474</v>
      </c>
      <c r="F426" s="15" t="s">
        <v>4475</v>
      </c>
      <c r="G426" s="15" t="s">
        <v>4476</v>
      </c>
      <c r="H426" s="15" t="s">
        <v>4477</v>
      </c>
      <c r="I426" s="15"/>
      <c r="J426" s="15" t="s">
        <v>2973</v>
      </c>
      <c r="K426" s="15" t="s">
        <v>1139</v>
      </c>
      <c r="L426" s="15" t="s">
        <v>2974</v>
      </c>
      <c r="M426" s="15" t="s">
        <v>4478</v>
      </c>
      <c r="N426" s="15" t="s">
        <v>73</v>
      </c>
      <c r="O426" s="16" t="n">
        <v>1</v>
      </c>
      <c r="P426" s="16" t="n">
        <v>0</v>
      </c>
      <c r="Q426" s="16" t="n">
        <v>0</v>
      </c>
      <c r="R426" s="16" t="n">
        <v>0</v>
      </c>
      <c r="S426" s="16" t="n">
        <v>1</v>
      </c>
      <c r="T426" s="17" t="n">
        <f aca="false">AVERAGE(O426:Q426)</f>
        <v>0.333333333333333</v>
      </c>
      <c r="U426" s="18" t="str">
        <f aca="false">IF(T426&gt;=$H$3,"Eligible","Not Eligible")</f>
        <v>Not Eligible</v>
      </c>
      <c r="V426" s="19" t="n">
        <f aca="false">IF(T426&lt;$H$3,0,IFERROR(T426/SUMIF($T$5:$T$999,"&gt;="&amp;$H$3),0))</f>
        <v>0</v>
      </c>
      <c r="W426" s="15" t="str">
        <f aca="false">IF(T426=0,"Win-Back","Active")</f>
        <v>Active</v>
      </c>
      <c r="X426" s="20" t="n">
        <f aca="false">IF(T426=0,0,IF(T426&gt;=$H$3,ROUND(T426*$D$3/SUMIF($T$5:$T$999,"&gt;="&amp;$H$3),0),ROUNDUP(T426*$D$3/SUMIF($T$5:$T$999,"&gt;="&amp;$H$3),0)))</f>
        <v>1</v>
      </c>
      <c r="Y426" s="21" t="n">
        <v>1</v>
      </c>
      <c r="Z426" s="16" t="n">
        <f aca="false">IF(X426=0,"",X426-Y426)</f>
        <v>0</v>
      </c>
      <c r="AA426" s="22" t="n">
        <f aca="false">IFERROR(Y426/X426,"")</f>
        <v>1</v>
      </c>
      <c r="AB426" s="16" t="n">
        <v>5</v>
      </c>
      <c r="AC426" s="21"/>
    </row>
    <row r="427" customFormat="false" ht="15" hidden="false" customHeight="true" outlineLevel="0" collapsed="false">
      <c r="A427" s="15" t="s">
        <v>4479</v>
      </c>
      <c r="B427" s="15" t="s">
        <v>4480</v>
      </c>
      <c r="C427" s="15" t="s">
        <v>4481</v>
      </c>
      <c r="D427" s="15" t="s">
        <v>4482</v>
      </c>
      <c r="E427" s="15" t="s">
        <v>4483</v>
      </c>
      <c r="F427" s="15" t="s">
        <v>4484</v>
      </c>
      <c r="G427" s="15" t="s">
        <v>4485</v>
      </c>
      <c r="H427" s="15" t="s">
        <v>4486</v>
      </c>
      <c r="I427" s="15"/>
      <c r="J427" s="15" t="s">
        <v>4487</v>
      </c>
      <c r="K427" s="15" t="s">
        <v>1255</v>
      </c>
      <c r="L427" s="15" t="s">
        <v>4488</v>
      </c>
      <c r="M427" s="15" t="s">
        <v>4489</v>
      </c>
      <c r="N427" s="15" t="s">
        <v>73</v>
      </c>
      <c r="O427" s="16" t="n">
        <v>1</v>
      </c>
      <c r="P427" s="16" t="n">
        <v>0</v>
      </c>
      <c r="Q427" s="16" t="n">
        <v>0</v>
      </c>
      <c r="R427" s="16" t="n">
        <v>0</v>
      </c>
      <c r="S427" s="16" t="n">
        <v>1</v>
      </c>
      <c r="T427" s="17" t="n">
        <f aca="false">AVERAGE(O427:Q427)</f>
        <v>0.333333333333333</v>
      </c>
      <c r="U427" s="18" t="str">
        <f aca="false">IF(T427&gt;=$H$3,"Eligible","Not Eligible")</f>
        <v>Not Eligible</v>
      </c>
      <c r="V427" s="19" t="n">
        <f aca="false">IF(T427&lt;$H$3,0,IFERROR(T427/SUMIF($T$5:$T$999,"&gt;="&amp;$H$3),0))</f>
        <v>0</v>
      </c>
      <c r="W427" s="15" t="str">
        <f aca="false">IF(T427=0,"Win-Back","Active")</f>
        <v>Active</v>
      </c>
      <c r="X427" s="20" t="n">
        <f aca="false">IF(T427=0,0,IF(T427&gt;=$H$3,ROUND(T427*$D$3/SUMIF($T$5:$T$999,"&gt;="&amp;$H$3),0),ROUNDUP(T427*$D$3/SUMIF($T$5:$T$999,"&gt;="&amp;$H$3),0)))</f>
        <v>1</v>
      </c>
      <c r="Y427" s="21" t="n">
        <v>2</v>
      </c>
      <c r="Z427" s="16" t="n">
        <f aca="false">IF(X427=0,"",X427-Y427)</f>
        <v>-1</v>
      </c>
      <c r="AA427" s="22" t="n">
        <f aca="false">IFERROR(Y427/X427,"")</f>
        <v>2</v>
      </c>
      <c r="AB427" s="16" t="n">
        <v>0</v>
      </c>
      <c r="AC427" s="21"/>
    </row>
    <row r="428" customFormat="false" ht="15" hidden="false" customHeight="true" outlineLevel="0" collapsed="false">
      <c r="A428" s="15" t="s">
        <v>4490</v>
      </c>
      <c r="B428" s="15" t="s">
        <v>4491</v>
      </c>
      <c r="C428" s="15" t="s">
        <v>4492</v>
      </c>
      <c r="D428" s="15" t="s">
        <v>4493</v>
      </c>
      <c r="E428" s="15" t="s">
        <v>4494</v>
      </c>
      <c r="F428" s="15" t="s">
        <v>4495</v>
      </c>
      <c r="G428" s="15" t="s">
        <v>4496</v>
      </c>
      <c r="H428" s="15" t="s">
        <v>4497</v>
      </c>
      <c r="I428" s="15"/>
      <c r="J428" s="15" t="s">
        <v>777</v>
      </c>
      <c r="K428" s="15" t="s">
        <v>70</v>
      </c>
      <c r="L428" s="15" t="s">
        <v>2503</v>
      </c>
      <c r="M428" s="15" t="s">
        <v>4498</v>
      </c>
      <c r="N428" s="15" t="s">
        <v>73</v>
      </c>
      <c r="O428" s="16" t="n">
        <v>0</v>
      </c>
      <c r="P428" s="16" t="n">
        <v>0</v>
      </c>
      <c r="Q428" s="16" t="n">
        <v>1</v>
      </c>
      <c r="R428" s="16" t="n">
        <v>0</v>
      </c>
      <c r="S428" s="16" t="n">
        <v>1</v>
      </c>
      <c r="T428" s="17" t="n">
        <f aca="false">AVERAGE(O428:Q428)</f>
        <v>0.333333333333333</v>
      </c>
      <c r="U428" s="18" t="str">
        <f aca="false">IF(T428&gt;=$H$3,"Eligible","Not Eligible")</f>
        <v>Not Eligible</v>
      </c>
      <c r="V428" s="19" t="n">
        <f aca="false">IF(T428&lt;$H$3,0,IFERROR(T428/SUMIF($T$5:$T$999,"&gt;="&amp;$H$3),0))</f>
        <v>0</v>
      </c>
      <c r="W428" s="15" t="str">
        <f aca="false">IF(T428=0,"Win-Back","Active")</f>
        <v>Active</v>
      </c>
      <c r="X428" s="20" t="n">
        <f aca="false">IF(T428=0,0,IF(T428&gt;=$H$3,ROUND(T428*$D$3/SUMIF($T$5:$T$999,"&gt;="&amp;$H$3),0),ROUNDUP(T428*$D$3/SUMIF($T$5:$T$999,"&gt;="&amp;$H$3),0)))</f>
        <v>1</v>
      </c>
      <c r="Y428" s="21" t="n">
        <v>1</v>
      </c>
      <c r="Z428" s="16" t="n">
        <f aca="false">IF(X428=0,"",X428-Y428)</f>
        <v>0</v>
      </c>
      <c r="AA428" s="22" t="n">
        <f aca="false">IFERROR(Y428/X428,"")</f>
        <v>1</v>
      </c>
      <c r="AB428" s="16" t="n">
        <v>0</v>
      </c>
      <c r="AC428" s="21"/>
    </row>
    <row r="429" customFormat="false" ht="15" hidden="false" customHeight="true" outlineLevel="0" collapsed="false">
      <c r="A429" s="15" t="s">
        <v>4499</v>
      </c>
      <c r="B429" s="15" t="s">
        <v>4500</v>
      </c>
      <c r="C429" s="15" t="s">
        <v>4501</v>
      </c>
      <c r="D429" s="15" t="s">
        <v>4502</v>
      </c>
      <c r="E429" s="15" t="s">
        <v>4503</v>
      </c>
      <c r="F429" s="15" t="s">
        <v>4504</v>
      </c>
      <c r="G429" s="15" t="s">
        <v>4505</v>
      </c>
      <c r="H429" s="15" t="s">
        <v>4506</v>
      </c>
      <c r="I429" s="15" t="s">
        <v>4507</v>
      </c>
      <c r="J429" s="15" t="s">
        <v>4223</v>
      </c>
      <c r="K429" s="15" t="s">
        <v>402</v>
      </c>
      <c r="L429" s="15" t="s">
        <v>4508</v>
      </c>
      <c r="M429" s="15" t="s">
        <v>4509</v>
      </c>
      <c r="N429" s="15" t="s">
        <v>73</v>
      </c>
      <c r="O429" s="16" t="n">
        <v>0</v>
      </c>
      <c r="P429" s="16" t="n">
        <v>1</v>
      </c>
      <c r="Q429" s="16" t="n">
        <v>0</v>
      </c>
      <c r="R429" s="16" t="n">
        <v>0</v>
      </c>
      <c r="S429" s="16" t="n">
        <v>1</v>
      </c>
      <c r="T429" s="17" t="n">
        <f aca="false">AVERAGE(O429:Q429)</f>
        <v>0.333333333333333</v>
      </c>
      <c r="U429" s="18" t="str">
        <f aca="false">IF(T429&gt;=$H$3,"Eligible","Not Eligible")</f>
        <v>Not Eligible</v>
      </c>
      <c r="V429" s="19" t="n">
        <f aca="false">IF(T429&lt;$H$3,0,IFERROR(T429/SUMIF($T$5:$T$999,"&gt;="&amp;$H$3),0))</f>
        <v>0</v>
      </c>
      <c r="W429" s="15" t="str">
        <f aca="false">IF(T429=0,"Win-Back","Active")</f>
        <v>Active</v>
      </c>
      <c r="X429" s="20" t="n">
        <f aca="false">IF(T429=0,0,IF(T429&gt;=$H$3,ROUND(T429*$D$3/SUMIF($T$5:$T$999,"&gt;="&amp;$H$3),0),ROUNDUP(T429*$D$3/SUMIF($T$5:$T$999,"&gt;="&amp;$H$3),0)))</f>
        <v>1</v>
      </c>
      <c r="Y429" s="21"/>
      <c r="Z429" s="16" t="n">
        <f aca="false">IF(X429=0,"",X429-Y429)</f>
        <v>1</v>
      </c>
      <c r="AA429" s="22" t="n">
        <f aca="false">IFERROR(Y429/X429,"")</f>
        <v>0</v>
      </c>
      <c r="AB429" s="16" t="n">
        <v>0</v>
      </c>
      <c r="AC429" s="21"/>
    </row>
    <row r="430" customFormat="false" ht="15" hidden="false" customHeight="true" outlineLevel="0" collapsed="false">
      <c r="A430" s="15" t="s">
        <v>4510</v>
      </c>
      <c r="B430" s="15" t="s">
        <v>4511</v>
      </c>
      <c r="C430" s="15" t="s">
        <v>4512</v>
      </c>
      <c r="D430" s="15" t="s">
        <v>4513</v>
      </c>
      <c r="E430" s="15" t="s">
        <v>4514</v>
      </c>
      <c r="F430" s="15" t="s">
        <v>4515</v>
      </c>
      <c r="G430" s="15" t="s">
        <v>4516</v>
      </c>
      <c r="H430" s="15" t="s">
        <v>4517</v>
      </c>
      <c r="I430" s="15"/>
      <c r="J430" s="15" t="s">
        <v>863</v>
      </c>
      <c r="K430" s="15" t="s">
        <v>864</v>
      </c>
      <c r="L430" s="15" t="s">
        <v>4518</v>
      </c>
      <c r="M430" s="15" t="s">
        <v>4519</v>
      </c>
      <c r="N430" s="15" t="s">
        <v>73</v>
      </c>
      <c r="O430" s="16" t="n">
        <v>0</v>
      </c>
      <c r="P430" s="16" t="n">
        <v>0</v>
      </c>
      <c r="Q430" s="16" t="n">
        <v>1</v>
      </c>
      <c r="R430" s="16" t="n">
        <v>0</v>
      </c>
      <c r="S430" s="16" t="n">
        <v>1</v>
      </c>
      <c r="T430" s="17" t="n">
        <f aca="false">AVERAGE(O430:Q430)</f>
        <v>0.333333333333333</v>
      </c>
      <c r="U430" s="18" t="str">
        <f aca="false">IF(T430&gt;=$H$3,"Eligible","Not Eligible")</f>
        <v>Not Eligible</v>
      </c>
      <c r="V430" s="19" t="n">
        <f aca="false">IF(T430&lt;$H$3,0,IFERROR(T430/SUMIF($T$5:$T$999,"&gt;="&amp;$H$3),0))</f>
        <v>0</v>
      </c>
      <c r="W430" s="15" t="str">
        <f aca="false">IF(T430=0,"Win-Back","Active")</f>
        <v>Active</v>
      </c>
      <c r="X430" s="20" t="n">
        <f aca="false">IF(T430=0,0,IF(T430&gt;=$H$3,ROUND(T430*$D$3/SUMIF($T$5:$T$999,"&gt;="&amp;$H$3),0),ROUNDUP(T430*$D$3/SUMIF($T$5:$T$999,"&gt;="&amp;$H$3),0)))</f>
        <v>1</v>
      </c>
      <c r="Y430" s="21"/>
      <c r="Z430" s="16" t="n">
        <f aca="false">IF(X430=0,"",X430-Y430)</f>
        <v>1</v>
      </c>
      <c r="AA430" s="22" t="n">
        <f aca="false">IFERROR(Y430/X430,"")</f>
        <v>0</v>
      </c>
      <c r="AB430" s="16" t="n">
        <v>0</v>
      </c>
      <c r="AC430" s="21"/>
    </row>
    <row r="431" customFormat="false" ht="15" hidden="false" customHeight="true" outlineLevel="0" collapsed="false">
      <c r="A431" s="15" t="s">
        <v>4520</v>
      </c>
      <c r="B431" s="15" t="s">
        <v>4521</v>
      </c>
      <c r="C431" s="15" t="s">
        <v>4522</v>
      </c>
      <c r="D431" s="15" t="s">
        <v>4523</v>
      </c>
      <c r="E431" s="15" t="s">
        <v>4524</v>
      </c>
      <c r="F431" s="15" t="s">
        <v>4525</v>
      </c>
      <c r="G431" s="15" t="s">
        <v>4526</v>
      </c>
      <c r="H431" s="15" t="s">
        <v>4527</v>
      </c>
      <c r="I431" s="15"/>
      <c r="J431" s="15" t="s">
        <v>3771</v>
      </c>
      <c r="K431" s="15" t="s">
        <v>70</v>
      </c>
      <c r="L431" s="15" t="s">
        <v>4528</v>
      </c>
      <c r="M431" s="15" t="s">
        <v>4529</v>
      </c>
      <c r="N431" s="15" t="s">
        <v>73</v>
      </c>
      <c r="O431" s="16" t="n">
        <v>1</v>
      </c>
      <c r="P431" s="16" t="n">
        <v>0</v>
      </c>
      <c r="Q431" s="16" t="n">
        <v>0</v>
      </c>
      <c r="R431" s="16" t="n">
        <v>0</v>
      </c>
      <c r="S431" s="16" t="n">
        <v>1</v>
      </c>
      <c r="T431" s="17" t="n">
        <f aca="false">AVERAGE(O431:Q431)</f>
        <v>0.333333333333333</v>
      </c>
      <c r="U431" s="18" t="str">
        <f aca="false">IF(T431&gt;=$H$3,"Eligible","Not Eligible")</f>
        <v>Not Eligible</v>
      </c>
      <c r="V431" s="19" t="n">
        <f aca="false">IF(T431&lt;$H$3,0,IFERROR(T431/SUMIF($T$5:$T$999,"&gt;="&amp;$H$3),0))</f>
        <v>0</v>
      </c>
      <c r="W431" s="15" t="str">
        <f aca="false">IF(T431=0,"Win-Back","Active")</f>
        <v>Active</v>
      </c>
      <c r="X431" s="20" t="n">
        <f aca="false">IF(T431=0,0,IF(T431&gt;=$H$3,ROUND(T431*$D$3/SUMIF($T$5:$T$999,"&gt;="&amp;$H$3),0),ROUNDUP(T431*$D$3/SUMIF($T$5:$T$999,"&gt;="&amp;$H$3),0)))</f>
        <v>1</v>
      </c>
      <c r="Y431" s="21" t="n">
        <v>2</v>
      </c>
      <c r="Z431" s="16" t="n">
        <f aca="false">IF(X431=0,"",X431-Y431)</f>
        <v>-1</v>
      </c>
      <c r="AA431" s="22" t="n">
        <f aca="false">IFERROR(Y431/X431,"")</f>
        <v>2</v>
      </c>
      <c r="AB431" s="16" t="n">
        <v>0</v>
      </c>
      <c r="AC431" s="21"/>
    </row>
    <row r="432" customFormat="false" ht="15" hidden="false" customHeight="true" outlineLevel="0" collapsed="false">
      <c r="A432" s="15" t="s">
        <v>4530</v>
      </c>
      <c r="B432" s="15" t="s">
        <v>4531</v>
      </c>
      <c r="C432" s="15" t="s">
        <v>4532</v>
      </c>
      <c r="D432" s="15" t="s">
        <v>4533</v>
      </c>
      <c r="E432" s="15" t="s">
        <v>4533</v>
      </c>
      <c r="F432" s="15" t="s">
        <v>4534</v>
      </c>
      <c r="G432" s="15" t="s">
        <v>4535</v>
      </c>
      <c r="H432" s="15" t="s">
        <v>4536</v>
      </c>
      <c r="I432" s="15"/>
      <c r="J432" s="15" t="s">
        <v>4537</v>
      </c>
      <c r="K432" s="15" t="s">
        <v>70</v>
      </c>
      <c r="L432" s="15" t="s">
        <v>4538</v>
      </c>
      <c r="M432" s="15" t="s">
        <v>4539</v>
      </c>
      <c r="N432" s="15" t="s">
        <v>73</v>
      </c>
      <c r="O432" s="16" t="n">
        <v>0</v>
      </c>
      <c r="P432" s="16" t="n">
        <v>1</v>
      </c>
      <c r="Q432" s="16" t="n">
        <v>0</v>
      </c>
      <c r="R432" s="16" t="n">
        <v>0</v>
      </c>
      <c r="S432" s="16" t="n">
        <v>1</v>
      </c>
      <c r="T432" s="17" t="n">
        <f aca="false">AVERAGE(O432:Q432)</f>
        <v>0.333333333333333</v>
      </c>
      <c r="U432" s="18" t="str">
        <f aca="false">IF(T432&gt;=$H$3,"Eligible","Not Eligible")</f>
        <v>Not Eligible</v>
      </c>
      <c r="V432" s="19" t="n">
        <f aca="false">IF(T432&lt;$H$3,0,IFERROR(T432/SUMIF($T$5:$T$999,"&gt;="&amp;$H$3),0))</f>
        <v>0</v>
      </c>
      <c r="W432" s="15" t="str">
        <f aca="false">IF(T432=0,"Win-Back","Active")</f>
        <v>Active</v>
      </c>
      <c r="X432" s="20" t="n">
        <f aca="false">IF(T432=0,0,IF(T432&gt;=$H$3,ROUND(T432*$D$3/SUMIF($T$5:$T$999,"&gt;="&amp;$H$3),0),ROUNDUP(T432*$D$3/SUMIF($T$5:$T$999,"&gt;="&amp;$H$3),0)))</f>
        <v>1</v>
      </c>
      <c r="Y432" s="21"/>
      <c r="Z432" s="16" t="n">
        <f aca="false">IF(X432=0,"",X432-Y432)</f>
        <v>1</v>
      </c>
      <c r="AA432" s="22" t="n">
        <f aca="false">IFERROR(Y432/X432,"")</f>
        <v>0</v>
      </c>
      <c r="AB432" s="16" t="n">
        <v>0</v>
      </c>
      <c r="AC432" s="21"/>
    </row>
    <row r="433" customFormat="false" ht="15" hidden="false" customHeight="true" outlineLevel="0" collapsed="false">
      <c r="A433" s="15" t="s">
        <v>4540</v>
      </c>
      <c r="B433" s="15" t="s">
        <v>4541</v>
      </c>
      <c r="C433" s="15" t="s">
        <v>4542</v>
      </c>
      <c r="D433" s="15" t="s">
        <v>4543</v>
      </c>
      <c r="E433" s="15" t="s">
        <v>4544</v>
      </c>
      <c r="F433" s="15" t="s">
        <v>4545</v>
      </c>
      <c r="G433" s="15" t="s">
        <v>4546</v>
      </c>
      <c r="H433" s="15" t="s">
        <v>4547</v>
      </c>
      <c r="I433" s="15"/>
      <c r="J433" s="15" t="s">
        <v>3804</v>
      </c>
      <c r="K433" s="15" t="s">
        <v>678</v>
      </c>
      <c r="L433" s="15" t="s">
        <v>3805</v>
      </c>
      <c r="M433" s="15" t="s">
        <v>4548</v>
      </c>
      <c r="N433" s="15" t="s">
        <v>73</v>
      </c>
      <c r="O433" s="16" t="n">
        <v>0</v>
      </c>
      <c r="P433" s="16" t="n">
        <v>0</v>
      </c>
      <c r="Q433" s="16" t="n">
        <v>0</v>
      </c>
      <c r="R433" s="16" t="n">
        <v>1</v>
      </c>
      <c r="S433" s="16" t="n">
        <v>1</v>
      </c>
      <c r="T433" s="17" t="n">
        <f aca="false">AVERAGE(O433:Q433)</f>
        <v>0</v>
      </c>
      <c r="U433" s="18" t="str">
        <f aca="false">IF(T433&gt;=$H$3,"Eligible","Not Eligible")</f>
        <v>Not Eligible</v>
      </c>
      <c r="V433" s="19" t="n">
        <f aca="false">IF(T433&lt;$H$3,0,IFERROR(T433/SUMIF($T$5:$T$999,"&gt;="&amp;$H$3),0))</f>
        <v>0</v>
      </c>
      <c r="W433" s="15" t="str">
        <f aca="false">IF(T433=0,"Win-Back","Active")</f>
        <v>Win-Back</v>
      </c>
      <c r="X433" s="20" t="n">
        <f aca="false">IF(T433=0,0,IF(T433&gt;=$H$3,ROUND(T433*$D$3/SUMIF($T$5:$T$999,"&gt;="&amp;$H$3),0),ROUNDUP(T433*$D$3/SUMIF($T$5:$T$999,"&gt;="&amp;$H$3),0)))</f>
        <v>0</v>
      </c>
      <c r="Y433" s="21"/>
      <c r="Z433" s="16" t="str">
        <f aca="false">IF(X433=0,"",X433-Y433)</f>
        <v/>
      </c>
      <c r="AA433" s="22" t="str">
        <f aca="false">IFERROR(Y433/X433,"")</f>
        <v/>
      </c>
      <c r="AB433" s="16" t="n">
        <v>0</v>
      </c>
      <c r="AC433" s="21"/>
    </row>
    <row r="434" customFormat="false" ht="15" hidden="false" customHeight="true" outlineLevel="0" collapsed="false">
      <c r="A434" s="15" t="s">
        <v>4549</v>
      </c>
      <c r="B434" s="15" t="s">
        <v>4550</v>
      </c>
      <c r="C434" s="15" t="s">
        <v>4551</v>
      </c>
      <c r="D434" s="15" t="s">
        <v>4552</v>
      </c>
      <c r="E434" s="15" t="s">
        <v>4553</v>
      </c>
      <c r="F434" s="15" t="s">
        <v>4554</v>
      </c>
      <c r="G434" s="15" t="s">
        <v>4555</v>
      </c>
      <c r="H434" s="15" t="s">
        <v>4556</v>
      </c>
      <c r="I434" s="15" t="s">
        <v>4557</v>
      </c>
      <c r="J434" s="15" t="s">
        <v>297</v>
      </c>
      <c r="K434" s="15" t="s">
        <v>298</v>
      </c>
      <c r="L434" s="15" t="s">
        <v>3293</v>
      </c>
      <c r="M434" s="15" t="s">
        <v>4558</v>
      </c>
      <c r="N434" s="15" t="s">
        <v>73</v>
      </c>
      <c r="O434" s="16" t="n">
        <v>0</v>
      </c>
      <c r="P434" s="16" t="n">
        <v>0</v>
      </c>
      <c r="Q434" s="16" t="n">
        <v>0</v>
      </c>
      <c r="R434" s="16" t="n">
        <v>1</v>
      </c>
      <c r="S434" s="16" t="n">
        <v>1</v>
      </c>
      <c r="T434" s="17" t="n">
        <f aca="false">AVERAGE(O434:Q434)</f>
        <v>0</v>
      </c>
      <c r="U434" s="18" t="str">
        <f aca="false">IF(T434&gt;=$H$3,"Eligible","Not Eligible")</f>
        <v>Not Eligible</v>
      </c>
      <c r="V434" s="19" t="n">
        <f aca="false">IF(T434&lt;$H$3,0,IFERROR(T434/SUMIF($T$5:$T$999,"&gt;="&amp;$H$3),0))</f>
        <v>0</v>
      </c>
      <c r="W434" s="15" t="str">
        <f aca="false">IF(T434=0,"Win-Back","Active")</f>
        <v>Win-Back</v>
      </c>
      <c r="X434" s="20" t="n">
        <f aca="false">IF(T434=0,0,IF(T434&gt;=$H$3,ROUND(T434*$D$3/SUMIF($T$5:$T$999,"&gt;="&amp;$H$3),0),ROUNDUP(T434*$D$3/SUMIF($T$5:$T$999,"&gt;="&amp;$H$3),0)))</f>
        <v>0</v>
      </c>
      <c r="Y434" s="21"/>
      <c r="Z434" s="16" t="str">
        <f aca="false">IF(X434=0,"",X434-Y434)</f>
        <v/>
      </c>
      <c r="AA434" s="22" t="str">
        <f aca="false">IFERROR(Y434/X434,"")</f>
        <v/>
      </c>
      <c r="AB434" s="16" t="n">
        <v>0</v>
      </c>
      <c r="AC434" s="21"/>
    </row>
    <row r="435" customFormat="false" ht="15" hidden="false" customHeight="true" outlineLevel="0" collapsed="false">
      <c r="A435" s="15" t="s">
        <v>4559</v>
      </c>
      <c r="B435" s="15" t="s">
        <v>4560</v>
      </c>
      <c r="C435" s="15" t="s">
        <v>4561</v>
      </c>
      <c r="D435" s="15" t="s">
        <v>4562</v>
      </c>
      <c r="E435" s="15" t="s">
        <v>4563</v>
      </c>
      <c r="F435" s="15" t="s">
        <v>4564</v>
      </c>
      <c r="G435" s="15" t="s">
        <v>4565</v>
      </c>
      <c r="H435" s="15" t="s">
        <v>4566</v>
      </c>
      <c r="I435" s="15"/>
      <c r="J435" s="15" t="s">
        <v>4567</v>
      </c>
      <c r="K435" s="15" t="s">
        <v>2816</v>
      </c>
      <c r="L435" s="15" t="s">
        <v>4568</v>
      </c>
      <c r="M435" s="15" t="s">
        <v>4569</v>
      </c>
      <c r="N435" s="15" t="s">
        <v>73</v>
      </c>
      <c r="O435" s="16" t="n">
        <v>0</v>
      </c>
      <c r="P435" s="16" t="n">
        <v>0</v>
      </c>
      <c r="Q435" s="16" t="n">
        <v>0</v>
      </c>
      <c r="R435" s="16" t="n">
        <v>1</v>
      </c>
      <c r="S435" s="16" t="n">
        <v>1</v>
      </c>
      <c r="T435" s="17" t="n">
        <f aca="false">AVERAGE(O435:Q435)</f>
        <v>0</v>
      </c>
      <c r="U435" s="18" t="str">
        <f aca="false">IF(T435&gt;=$H$3,"Eligible","Not Eligible")</f>
        <v>Not Eligible</v>
      </c>
      <c r="V435" s="19" t="n">
        <f aca="false">IF(T435&lt;$H$3,0,IFERROR(T435/SUMIF($T$5:$T$999,"&gt;="&amp;$H$3),0))</f>
        <v>0</v>
      </c>
      <c r="W435" s="15" t="str">
        <f aca="false">IF(T435=0,"Win-Back","Active")</f>
        <v>Win-Back</v>
      </c>
      <c r="X435" s="20" t="n">
        <f aca="false">IF(T435=0,0,IF(T435&gt;=$H$3,ROUND(T435*$D$3/SUMIF($T$5:$T$999,"&gt;="&amp;$H$3),0),ROUNDUP(T435*$D$3/SUMIF($T$5:$T$999,"&gt;="&amp;$H$3),0)))</f>
        <v>0</v>
      </c>
      <c r="Y435" s="21"/>
      <c r="Z435" s="16" t="str">
        <f aca="false">IF(X435=0,"",X435-Y435)</f>
        <v/>
      </c>
      <c r="AA435" s="22" t="str">
        <f aca="false">IFERROR(Y435/X435,"")</f>
        <v/>
      </c>
      <c r="AB435" s="16" t="n">
        <v>0</v>
      </c>
      <c r="AC435" s="21"/>
    </row>
    <row r="436" customFormat="false" ht="15" hidden="false" customHeight="true" outlineLevel="0" collapsed="false">
      <c r="A436" s="15" t="s">
        <v>4570</v>
      </c>
      <c r="B436" s="15" t="s">
        <v>4571</v>
      </c>
      <c r="C436" s="15" t="s">
        <v>4572</v>
      </c>
      <c r="D436" s="15" t="s">
        <v>4573</v>
      </c>
      <c r="E436" s="15" t="s">
        <v>4573</v>
      </c>
      <c r="F436" s="15" t="s">
        <v>4574</v>
      </c>
      <c r="G436" s="15" t="s">
        <v>4575</v>
      </c>
      <c r="H436" s="15" t="s">
        <v>4576</v>
      </c>
      <c r="I436" s="15"/>
      <c r="J436" s="15" t="s">
        <v>809</v>
      </c>
      <c r="K436" s="15" t="s">
        <v>735</v>
      </c>
      <c r="L436" s="15" t="s">
        <v>4577</v>
      </c>
      <c r="M436" s="15" t="s">
        <v>4578</v>
      </c>
      <c r="N436" s="15" t="s">
        <v>73</v>
      </c>
      <c r="O436" s="16" t="n">
        <v>0</v>
      </c>
      <c r="P436" s="16" t="n">
        <v>0</v>
      </c>
      <c r="Q436" s="16" t="n">
        <v>0</v>
      </c>
      <c r="R436" s="16" t="n">
        <v>1</v>
      </c>
      <c r="S436" s="16" t="n">
        <v>1</v>
      </c>
      <c r="T436" s="17" t="n">
        <f aca="false">AVERAGE(O436:Q436)</f>
        <v>0</v>
      </c>
      <c r="U436" s="18" t="str">
        <f aca="false">IF(T436&gt;=$H$3,"Eligible","Not Eligible")</f>
        <v>Not Eligible</v>
      </c>
      <c r="V436" s="19" t="n">
        <f aca="false">IF(T436&lt;$H$3,0,IFERROR(T436/SUMIF($T$5:$T$999,"&gt;="&amp;$H$3),0))</f>
        <v>0</v>
      </c>
      <c r="W436" s="15" t="str">
        <f aca="false">IF(T436=0,"Win-Back","Active")</f>
        <v>Win-Back</v>
      </c>
      <c r="X436" s="20" t="n">
        <f aca="false">IF(T436=0,0,IF(T436&gt;=$H$3,ROUND(T436*$D$3/SUMIF($T$5:$T$999,"&gt;="&amp;$H$3),0),ROUNDUP(T436*$D$3/SUMIF($T$5:$T$999,"&gt;="&amp;$H$3),0)))</f>
        <v>0</v>
      </c>
      <c r="Y436" s="21" t="n">
        <v>3</v>
      </c>
      <c r="Z436" s="16" t="str">
        <f aca="false">IF(X436=0,"",X436-Y436)</f>
        <v/>
      </c>
      <c r="AA436" s="22" t="str">
        <f aca="false">IFERROR(Y436/X436,"")</f>
        <v/>
      </c>
      <c r="AB436" s="16" t="n">
        <v>0</v>
      </c>
      <c r="AC436" s="21"/>
    </row>
    <row r="437" customFormat="false" ht="15" hidden="false" customHeight="true" outlineLevel="0" collapsed="false">
      <c r="A437" s="15" t="s">
        <v>4579</v>
      </c>
      <c r="B437" s="15" t="s">
        <v>4580</v>
      </c>
      <c r="C437" s="15" t="s">
        <v>4581</v>
      </c>
      <c r="D437" s="15" t="s">
        <v>4582</v>
      </c>
      <c r="E437" s="15" t="s">
        <v>4583</v>
      </c>
      <c r="F437" s="15" t="s">
        <v>4584</v>
      </c>
      <c r="G437" s="15" t="s">
        <v>4585</v>
      </c>
      <c r="H437" s="15" t="s">
        <v>4586</v>
      </c>
      <c r="I437" s="15"/>
      <c r="J437" s="15" t="s">
        <v>46</v>
      </c>
      <c r="K437" s="15" t="s">
        <v>47</v>
      </c>
      <c r="L437" s="15" t="s">
        <v>223</v>
      </c>
      <c r="M437" s="15" t="s">
        <v>4587</v>
      </c>
      <c r="N437" s="15" t="s">
        <v>50</v>
      </c>
      <c r="O437" s="16" t="n">
        <v>0</v>
      </c>
      <c r="P437" s="16" t="n">
        <v>0</v>
      </c>
      <c r="Q437" s="16" t="n">
        <v>0</v>
      </c>
      <c r="R437" s="16" t="n">
        <v>1</v>
      </c>
      <c r="S437" s="16" t="n">
        <v>1</v>
      </c>
      <c r="T437" s="17" t="n">
        <f aca="false">AVERAGE(O437:Q437)</f>
        <v>0</v>
      </c>
      <c r="U437" s="18" t="str">
        <f aca="false">IF(T437&gt;=$H$3,"Eligible","Not Eligible")</f>
        <v>Not Eligible</v>
      </c>
      <c r="V437" s="19" t="n">
        <f aca="false">IF(T437&lt;$H$3,0,IFERROR(T437/SUMIF($T$5:$T$999,"&gt;="&amp;$H$3),0))</f>
        <v>0</v>
      </c>
      <c r="W437" s="15" t="str">
        <f aca="false">IF(T437=0,"Win-Back","Active")</f>
        <v>Win-Back</v>
      </c>
      <c r="X437" s="20" t="n">
        <f aca="false">IF(T437=0,0,IF(T437&gt;=$H$3,ROUND(T437*$D$3/SUMIF($T$5:$T$999,"&gt;="&amp;$H$3),0),ROUNDUP(T437*$D$3/SUMIF($T$5:$T$999,"&gt;="&amp;$H$3),0)))</f>
        <v>0</v>
      </c>
      <c r="Y437" s="21" t="n">
        <v>5</v>
      </c>
      <c r="Z437" s="16" t="str">
        <f aca="false">IF(X437=0,"",X437-Y437)</f>
        <v/>
      </c>
      <c r="AA437" s="22" t="str">
        <f aca="false">IFERROR(Y437/X437,"")</f>
        <v/>
      </c>
      <c r="AB437" s="16" t="n">
        <v>0</v>
      </c>
      <c r="AC437" s="21"/>
    </row>
    <row r="438" customFormat="false" ht="15" hidden="false" customHeight="true" outlineLevel="0" collapsed="false">
      <c r="A438" s="15" t="s">
        <v>4588</v>
      </c>
      <c r="B438" s="15" t="s">
        <v>4589</v>
      </c>
      <c r="C438" s="15" t="s">
        <v>4590</v>
      </c>
      <c r="D438" s="15" t="s">
        <v>4591</v>
      </c>
      <c r="E438" s="15" t="s">
        <v>4592</v>
      </c>
      <c r="F438" s="15" t="s">
        <v>4593</v>
      </c>
      <c r="G438" s="15" t="s">
        <v>4594</v>
      </c>
      <c r="H438" s="15" t="s">
        <v>4595</v>
      </c>
      <c r="I438" s="15" t="s">
        <v>68</v>
      </c>
      <c r="J438" s="15" t="s">
        <v>4596</v>
      </c>
      <c r="K438" s="15" t="s">
        <v>368</v>
      </c>
      <c r="L438" s="15" t="s">
        <v>4597</v>
      </c>
      <c r="M438" s="15" t="s">
        <v>4598</v>
      </c>
      <c r="N438" s="15" t="s">
        <v>73</v>
      </c>
      <c r="O438" s="16" t="n">
        <v>0</v>
      </c>
      <c r="P438" s="16" t="n">
        <v>0</v>
      </c>
      <c r="Q438" s="16" t="n">
        <v>0</v>
      </c>
      <c r="R438" s="16" t="n">
        <v>1</v>
      </c>
      <c r="S438" s="16" t="n">
        <v>1</v>
      </c>
      <c r="T438" s="17" t="n">
        <f aca="false">AVERAGE(O438:Q438)</f>
        <v>0</v>
      </c>
      <c r="U438" s="18" t="str">
        <f aca="false">IF(T438&gt;=$H$3,"Eligible","Not Eligible")</f>
        <v>Not Eligible</v>
      </c>
      <c r="V438" s="19" t="n">
        <f aca="false">IF(T438&lt;$H$3,0,IFERROR(T438/SUMIF($T$5:$T$999,"&gt;="&amp;$H$3),0))</f>
        <v>0</v>
      </c>
      <c r="W438" s="15" t="str">
        <f aca="false">IF(T438=0,"Win-Back","Active")</f>
        <v>Win-Back</v>
      </c>
      <c r="X438" s="20" t="n">
        <f aca="false">IF(T438=0,0,IF(T438&gt;=$H$3,ROUND(T438*$D$3/SUMIF($T$5:$T$999,"&gt;="&amp;$H$3),0),ROUNDUP(T438*$D$3/SUMIF($T$5:$T$999,"&gt;="&amp;$H$3),0)))</f>
        <v>0</v>
      </c>
      <c r="Y438" s="21"/>
      <c r="Z438" s="16" t="str">
        <f aca="false">IF(X438=0,"",X438-Y438)</f>
        <v/>
      </c>
      <c r="AA438" s="22" t="str">
        <f aca="false">IFERROR(Y438/X438,"")</f>
        <v/>
      </c>
      <c r="AB438" s="16" t="n">
        <v>0</v>
      </c>
      <c r="AC438" s="21"/>
    </row>
    <row r="439" customFormat="false" ht="15" hidden="false" customHeight="true" outlineLevel="0" collapsed="false">
      <c r="A439" s="15" t="s">
        <v>4599</v>
      </c>
      <c r="B439" s="15" t="s">
        <v>4600</v>
      </c>
      <c r="C439" s="15" t="s">
        <v>4601</v>
      </c>
      <c r="D439" s="15" t="s">
        <v>4602</v>
      </c>
      <c r="E439" s="15" t="s">
        <v>4603</v>
      </c>
      <c r="F439" s="15" t="s">
        <v>4604</v>
      </c>
      <c r="G439" s="15" t="s">
        <v>4605</v>
      </c>
      <c r="H439" s="15" t="s">
        <v>4606</v>
      </c>
      <c r="I439" s="15"/>
      <c r="J439" s="15" t="s">
        <v>4607</v>
      </c>
      <c r="K439" s="15" t="s">
        <v>47</v>
      </c>
      <c r="L439" s="15" t="s">
        <v>4608</v>
      </c>
      <c r="M439" s="15" t="s">
        <v>4609</v>
      </c>
      <c r="N439" s="15" t="s">
        <v>73</v>
      </c>
      <c r="O439" s="16" t="n">
        <v>0</v>
      </c>
      <c r="P439" s="16" t="n">
        <v>0</v>
      </c>
      <c r="Q439" s="16" t="n">
        <v>0</v>
      </c>
      <c r="R439" s="16" t="n">
        <v>0</v>
      </c>
      <c r="S439" s="16" t="n">
        <v>0</v>
      </c>
      <c r="T439" s="17" t="n">
        <f aca="false">AVERAGE(O439:Q439)</f>
        <v>0</v>
      </c>
      <c r="U439" s="18" t="str">
        <f aca="false">IF(T439&gt;=$H$3,"Eligible","Not Eligible")</f>
        <v>Not Eligible</v>
      </c>
      <c r="V439" s="19" t="n">
        <f aca="false">IF(T439&lt;$H$3,0,IFERROR(T439/SUMIF($T$5:$T$999,"&gt;="&amp;$H$3),0))</f>
        <v>0</v>
      </c>
      <c r="W439" s="15" t="str">
        <f aca="false">IF(T439=0,"Win-Back","Active")</f>
        <v>Win-Back</v>
      </c>
      <c r="X439" s="20" t="n">
        <f aca="false">IF(T439=0,0,IF(T439&gt;=$H$3,ROUND(T439*$D$3/SUMIF($T$5:$T$999,"&gt;="&amp;$H$3),0),ROUNDUP(T439*$D$3/SUMIF($T$5:$T$999,"&gt;="&amp;$H$3),0)))</f>
        <v>0</v>
      </c>
      <c r="Y439" s="21"/>
      <c r="Z439" s="16" t="str">
        <f aca="false">IF(X439=0,"",X439-Y439)</f>
        <v/>
      </c>
      <c r="AA439" s="22" t="str">
        <f aca="false">IFERROR(Y439/X439,"")</f>
        <v/>
      </c>
      <c r="AB439" s="16" t="n">
        <v>0</v>
      </c>
      <c r="AC439" s="21"/>
    </row>
    <row r="440" customFormat="false" ht="15" hidden="false" customHeight="true" outlineLevel="0" collapsed="false">
      <c r="A440" s="15"/>
      <c r="B440" s="15"/>
      <c r="C440" s="15" t="s">
        <v>4610</v>
      </c>
      <c r="D440" s="15" t="s">
        <v>4611</v>
      </c>
      <c r="E440" s="15" t="s">
        <v>4612</v>
      </c>
      <c r="F440" s="15"/>
      <c r="G440" s="15"/>
      <c r="H440" s="15" t="s">
        <v>4613</v>
      </c>
      <c r="I440" s="15" t="s">
        <v>4614</v>
      </c>
      <c r="J440" s="15" t="s">
        <v>4615</v>
      </c>
      <c r="K440" s="15" t="s">
        <v>368</v>
      </c>
      <c r="L440" s="15" t="s">
        <v>4616</v>
      </c>
      <c r="M440" s="15" t="s">
        <v>4617</v>
      </c>
      <c r="N440" s="15" t="s">
        <v>73</v>
      </c>
      <c r="O440" s="16" t="n">
        <v>0</v>
      </c>
      <c r="P440" s="16" t="n">
        <v>0</v>
      </c>
      <c r="Q440" s="16" t="n">
        <v>0</v>
      </c>
      <c r="R440" s="16" t="n">
        <v>0</v>
      </c>
      <c r="S440" s="16" t="n">
        <v>0</v>
      </c>
      <c r="T440" s="17" t="n">
        <f aca="false">AVERAGE(O440:Q440)</f>
        <v>0</v>
      </c>
      <c r="U440" s="18" t="str">
        <f aca="false">IF(T440&gt;=$H$3,"Eligible","Not Eligible")</f>
        <v>Not Eligible</v>
      </c>
      <c r="V440" s="19" t="n">
        <f aca="false">IF(T440&lt;$H$3,0,IFERROR(T440/SUMIF($T$5:$T$999,"&gt;="&amp;$H$3),0))</f>
        <v>0</v>
      </c>
      <c r="W440" s="15" t="str">
        <f aca="false">IF(T440=0,"Win-Back","Active")</f>
        <v>Win-Back</v>
      </c>
      <c r="X440" s="20" t="n">
        <f aca="false">IF(T440=0,0,IF(T440&gt;=$H$3,ROUND(T440*$D$3/SUMIF($T$5:$T$999,"&gt;="&amp;$H$3),0),ROUNDUP(T440*$D$3/SUMIF($T$5:$T$999,"&gt;="&amp;$H$3),0)))</f>
        <v>0</v>
      </c>
      <c r="Y440" s="21"/>
      <c r="Z440" s="16" t="str">
        <f aca="false">IF(X440=0,"",X440-Y440)</f>
        <v/>
      </c>
      <c r="AA440" s="22" t="str">
        <f aca="false">IFERROR(Y440/X440,"")</f>
        <v/>
      </c>
      <c r="AB440" s="16" t="n">
        <v>0</v>
      </c>
      <c r="AC440" s="21"/>
    </row>
    <row r="441" customFormat="false" ht="15" hidden="false" customHeight="true" outlineLevel="0" collapsed="false">
      <c r="A441" s="15"/>
      <c r="B441" s="15"/>
      <c r="C441" s="15" t="s">
        <v>4618</v>
      </c>
      <c r="D441" s="15" t="s">
        <v>4619</v>
      </c>
      <c r="E441" s="15" t="s">
        <v>4620</v>
      </c>
      <c r="F441" s="15"/>
      <c r="G441" s="15"/>
      <c r="H441" s="15" t="s">
        <v>4621</v>
      </c>
      <c r="I441" s="15"/>
      <c r="J441" s="15" t="s">
        <v>367</v>
      </c>
      <c r="K441" s="15" t="s">
        <v>368</v>
      </c>
      <c r="L441" s="15" t="s">
        <v>2669</v>
      </c>
      <c r="M441" s="15" t="s">
        <v>4617</v>
      </c>
      <c r="N441" s="15" t="s">
        <v>73</v>
      </c>
      <c r="O441" s="16" t="n">
        <v>0</v>
      </c>
      <c r="P441" s="16" t="n">
        <v>0</v>
      </c>
      <c r="Q441" s="16" t="n">
        <v>0</v>
      </c>
      <c r="R441" s="16" t="n">
        <v>0</v>
      </c>
      <c r="S441" s="16" t="n">
        <v>0</v>
      </c>
      <c r="T441" s="17" t="n">
        <f aca="false">AVERAGE(O441:Q441)</f>
        <v>0</v>
      </c>
      <c r="U441" s="18" t="str">
        <f aca="false">IF(T441&gt;=$H$3,"Eligible","Not Eligible")</f>
        <v>Not Eligible</v>
      </c>
      <c r="V441" s="19" t="n">
        <f aca="false">IF(T441&lt;$H$3,0,IFERROR(T441/SUMIF($T$5:$T$999,"&gt;="&amp;$H$3),0))</f>
        <v>0</v>
      </c>
      <c r="W441" s="15" t="str">
        <f aca="false">IF(T441=0,"Win-Back","Active")</f>
        <v>Win-Back</v>
      </c>
      <c r="X441" s="20" t="n">
        <f aca="false">IF(T441=0,0,IF(T441&gt;=$H$3,ROUND(T441*$D$3/SUMIF($T$5:$T$999,"&gt;="&amp;$H$3),0),ROUNDUP(T441*$D$3/SUMIF($T$5:$T$999,"&gt;="&amp;$H$3),0)))</f>
        <v>0</v>
      </c>
      <c r="Y441" s="21"/>
      <c r="Z441" s="16" t="str">
        <f aca="false">IF(X441=0,"",X441-Y441)</f>
        <v/>
      </c>
      <c r="AA441" s="22" t="str">
        <f aca="false">IFERROR(Y441/X441,"")</f>
        <v/>
      </c>
      <c r="AB441" s="16" t="n">
        <v>0</v>
      </c>
      <c r="AC441" s="21"/>
    </row>
    <row r="442" customFormat="false" ht="15" hidden="false" customHeight="true" outlineLevel="0" collapsed="false">
      <c r="A442" s="15"/>
      <c r="B442" s="15"/>
      <c r="C442" s="15" t="s">
        <v>4622</v>
      </c>
      <c r="D442" s="15" t="s">
        <v>4623</v>
      </c>
      <c r="E442" s="15" t="s">
        <v>4624</v>
      </c>
      <c r="F442" s="15"/>
      <c r="G442" s="15"/>
      <c r="H442" s="15" t="s">
        <v>4625</v>
      </c>
      <c r="I442" s="15"/>
      <c r="J442" s="15" t="s">
        <v>1022</v>
      </c>
      <c r="K442" s="15" t="s">
        <v>368</v>
      </c>
      <c r="L442" s="15" t="s">
        <v>1023</v>
      </c>
      <c r="M442" s="15" t="s">
        <v>4617</v>
      </c>
      <c r="N442" s="15" t="s">
        <v>73</v>
      </c>
      <c r="O442" s="16" t="n">
        <v>0</v>
      </c>
      <c r="P442" s="16" t="n">
        <v>0</v>
      </c>
      <c r="Q442" s="16" t="n">
        <v>0</v>
      </c>
      <c r="R442" s="16" t="n">
        <v>0</v>
      </c>
      <c r="S442" s="16" t="n">
        <v>0</v>
      </c>
      <c r="T442" s="17" t="n">
        <f aca="false">AVERAGE(O442:Q442)</f>
        <v>0</v>
      </c>
      <c r="U442" s="18" t="str">
        <f aca="false">IF(T442&gt;=$H$3,"Eligible","Not Eligible")</f>
        <v>Not Eligible</v>
      </c>
      <c r="V442" s="19" t="n">
        <f aca="false">IF(T442&lt;$H$3,0,IFERROR(T442/SUMIF($T$5:$T$999,"&gt;="&amp;$H$3),0))</f>
        <v>0</v>
      </c>
      <c r="W442" s="15" t="str">
        <f aca="false">IF(T442=0,"Win-Back","Active")</f>
        <v>Win-Back</v>
      </c>
      <c r="X442" s="20" t="n">
        <f aca="false">IF(T442=0,0,IF(T442&gt;=$H$3,ROUND(T442*$D$3/SUMIF($T$5:$T$999,"&gt;="&amp;$H$3),0),ROUNDUP(T442*$D$3/SUMIF($T$5:$T$999,"&gt;="&amp;$H$3),0)))</f>
        <v>0</v>
      </c>
      <c r="Y442" s="21"/>
      <c r="Z442" s="16" t="str">
        <f aca="false">IF(X442=0,"",X442-Y442)</f>
        <v/>
      </c>
      <c r="AA442" s="22" t="str">
        <f aca="false">IFERROR(Y442/X442,"")</f>
        <v/>
      </c>
      <c r="AB442" s="16" t="n">
        <v>0</v>
      </c>
      <c r="AC442" s="21"/>
    </row>
    <row r="443" customFormat="false" ht="15" hidden="false" customHeight="true" outlineLevel="0" collapsed="false">
      <c r="A443" s="15" t="s">
        <v>4626</v>
      </c>
      <c r="B443" s="15" t="s">
        <v>4627</v>
      </c>
      <c r="C443" s="15" t="s">
        <v>4628</v>
      </c>
      <c r="D443" s="15" t="s">
        <v>4629</v>
      </c>
      <c r="E443" s="15" t="s">
        <v>1562</v>
      </c>
      <c r="F443" s="15" t="s">
        <v>4630</v>
      </c>
      <c r="G443" s="15" t="s">
        <v>1564</v>
      </c>
      <c r="H443" s="15" t="s">
        <v>4631</v>
      </c>
      <c r="I443" s="15" t="s">
        <v>4632</v>
      </c>
      <c r="J443" s="15" t="s">
        <v>367</v>
      </c>
      <c r="K443" s="15" t="s">
        <v>368</v>
      </c>
      <c r="L443" s="15" t="s">
        <v>2669</v>
      </c>
      <c r="M443" s="15" t="s">
        <v>1569</v>
      </c>
      <c r="N443" s="15" t="s">
        <v>73</v>
      </c>
      <c r="O443" s="16" t="n">
        <v>0</v>
      </c>
      <c r="P443" s="16" t="n">
        <v>0</v>
      </c>
      <c r="Q443" s="16" t="n">
        <v>0</v>
      </c>
      <c r="R443" s="16" t="n">
        <v>0</v>
      </c>
      <c r="S443" s="16" t="n">
        <v>0</v>
      </c>
      <c r="T443" s="17" t="n">
        <f aca="false">AVERAGE(O443:Q443)</f>
        <v>0</v>
      </c>
      <c r="U443" s="18" t="str">
        <f aca="false">IF(T443&gt;=$H$3,"Eligible","Not Eligible")</f>
        <v>Not Eligible</v>
      </c>
      <c r="V443" s="19" t="n">
        <f aca="false">IF(T443&lt;$H$3,0,IFERROR(T443/SUMIF($T$5:$T$999,"&gt;="&amp;$H$3),0))</f>
        <v>0</v>
      </c>
      <c r="W443" s="15" t="str">
        <f aca="false">IF(T443=0,"Win-Back","Active")</f>
        <v>Win-Back</v>
      </c>
      <c r="X443" s="20" t="n">
        <f aca="false">IF(T443=0,0,IF(T443&gt;=$H$3,ROUND(T443*$D$3/SUMIF($T$5:$T$999,"&gt;="&amp;$H$3),0),ROUNDUP(T443*$D$3/SUMIF($T$5:$T$999,"&gt;="&amp;$H$3),0)))</f>
        <v>0</v>
      </c>
      <c r="Y443" s="21"/>
      <c r="Z443" s="16" t="str">
        <f aca="false">IF(X443=0,"",X443-Y443)</f>
        <v/>
      </c>
      <c r="AA443" s="22" t="str">
        <f aca="false">IFERROR(Y443/X443,"")</f>
        <v/>
      </c>
      <c r="AB443" s="16" t="n">
        <v>0</v>
      </c>
      <c r="AC443" s="21"/>
    </row>
    <row r="444" customFormat="false" ht="15" hidden="false" customHeight="true" outlineLevel="0" collapsed="false">
      <c r="A444" s="15" t="s">
        <v>4633</v>
      </c>
      <c r="B444" s="15" t="s">
        <v>4634</v>
      </c>
      <c r="C444" s="15" t="s">
        <v>4635</v>
      </c>
      <c r="D444" s="15" t="s">
        <v>4636</v>
      </c>
      <c r="E444" s="15" t="s">
        <v>4637</v>
      </c>
      <c r="F444" s="15" t="s">
        <v>4638</v>
      </c>
      <c r="G444" s="15" t="s">
        <v>4639</v>
      </c>
      <c r="H444" s="15" t="s">
        <v>4640</v>
      </c>
      <c r="I444" s="15" t="s">
        <v>4641</v>
      </c>
      <c r="J444" s="15" t="s">
        <v>492</v>
      </c>
      <c r="K444" s="15" t="s">
        <v>493</v>
      </c>
      <c r="L444" s="15" t="s">
        <v>4642</v>
      </c>
      <c r="M444" s="15" t="s">
        <v>4643</v>
      </c>
      <c r="N444" s="15" t="s">
        <v>73</v>
      </c>
      <c r="O444" s="16" t="n">
        <v>0</v>
      </c>
      <c r="P444" s="16" t="n">
        <v>0</v>
      </c>
      <c r="Q444" s="16" t="n">
        <v>0</v>
      </c>
      <c r="R444" s="16" t="n">
        <v>0</v>
      </c>
      <c r="S444" s="16" t="n">
        <v>0</v>
      </c>
      <c r="T444" s="17" t="n">
        <f aca="false">AVERAGE(O444:Q444)</f>
        <v>0</v>
      </c>
      <c r="U444" s="18" t="str">
        <f aca="false">IF(T444&gt;=$H$3,"Eligible","Not Eligible")</f>
        <v>Not Eligible</v>
      </c>
      <c r="V444" s="19" t="n">
        <f aca="false">IF(T444&lt;$H$3,0,IFERROR(T444/SUMIF($T$5:$T$999,"&gt;="&amp;$H$3),0))</f>
        <v>0</v>
      </c>
      <c r="W444" s="15" t="str">
        <f aca="false">IF(T444=0,"Win-Back","Active")</f>
        <v>Win-Back</v>
      </c>
      <c r="X444" s="20" t="n">
        <f aca="false">IF(T444=0,0,IF(T444&gt;=$H$3,ROUND(T444*$D$3/SUMIF($T$5:$T$999,"&gt;="&amp;$H$3),0),ROUNDUP(T444*$D$3/SUMIF($T$5:$T$999,"&gt;="&amp;$H$3),0)))</f>
        <v>0</v>
      </c>
      <c r="Y444" s="21"/>
      <c r="Z444" s="16" t="str">
        <f aca="false">IF(X444=0,"",X444-Y444)</f>
        <v/>
      </c>
      <c r="AA444" s="22" t="str">
        <f aca="false">IFERROR(Y444/X444,"")</f>
        <v/>
      </c>
      <c r="AB444" s="16" t="n">
        <v>0</v>
      </c>
      <c r="AC444" s="21"/>
    </row>
    <row r="445" customFormat="false" ht="15" hidden="false" customHeight="true" outlineLevel="0" collapsed="false">
      <c r="A445" s="15" t="s">
        <v>4644</v>
      </c>
      <c r="B445" s="15" t="s">
        <v>4645</v>
      </c>
      <c r="C445" s="15" t="s">
        <v>4646</v>
      </c>
      <c r="D445" s="15" t="s">
        <v>4647</v>
      </c>
      <c r="E445" s="15" t="s">
        <v>4648</v>
      </c>
      <c r="F445" s="15" t="s">
        <v>4649</v>
      </c>
      <c r="G445" s="15" t="s">
        <v>4650</v>
      </c>
      <c r="H445" s="15" t="s">
        <v>4651</v>
      </c>
      <c r="I445" s="15" t="s">
        <v>4652</v>
      </c>
      <c r="J445" s="15" t="s">
        <v>594</v>
      </c>
      <c r="K445" s="15" t="s">
        <v>368</v>
      </c>
      <c r="L445" s="15" t="s">
        <v>4653</v>
      </c>
      <c r="M445" s="15" t="s">
        <v>4654</v>
      </c>
      <c r="N445" s="15" t="s">
        <v>73</v>
      </c>
      <c r="O445" s="16" t="n">
        <v>0</v>
      </c>
      <c r="P445" s="16" t="n">
        <v>0</v>
      </c>
      <c r="Q445" s="16" t="n">
        <v>0</v>
      </c>
      <c r="R445" s="16" t="n">
        <v>0</v>
      </c>
      <c r="S445" s="16" t="n">
        <v>0</v>
      </c>
      <c r="T445" s="17" t="n">
        <f aca="false">AVERAGE(O445:Q445)</f>
        <v>0</v>
      </c>
      <c r="U445" s="18" t="str">
        <f aca="false">IF(T445&gt;=$H$3,"Eligible","Not Eligible")</f>
        <v>Not Eligible</v>
      </c>
      <c r="V445" s="19" t="n">
        <f aca="false">IF(T445&lt;$H$3,0,IFERROR(T445/SUMIF($T$5:$T$999,"&gt;="&amp;$H$3),0))</f>
        <v>0</v>
      </c>
      <c r="W445" s="15" t="str">
        <f aca="false">IF(T445=0,"Win-Back","Active")</f>
        <v>Win-Back</v>
      </c>
      <c r="X445" s="20" t="n">
        <f aca="false">IF(T445=0,0,IF(T445&gt;=$H$3,ROUND(T445*$D$3/SUMIF($T$5:$T$999,"&gt;="&amp;$H$3),0),ROUNDUP(T445*$D$3/SUMIF($T$5:$T$999,"&gt;="&amp;$H$3),0)))</f>
        <v>0</v>
      </c>
      <c r="Y445" s="21" t="n">
        <v>1</v>
      </c>
      <c r="Z445" s="16" t="str">
        <f aca="false">IF(X445=0,"",X445-Y445)</f>
        <v/>
      </c>
      <c r="AA445" s="22" t="str">
        <f aca="false">IFERROR(Y445/X445,"")</f>
        <v/>
      </c>
      <c r="AB445" s="16" t="n">
        <v>0</v>
      </c>
      <c r="AC445" s="21"/>
    </row>
    <row r="446" customFormat="false" ht="15" hidden="false" customHeight="true" outlineLevel="0" collapsed="false">
      <c r="A446" s="15"/>
      <c r="B446" s="15"/>
      <c r="C446" s="15" t="s">
        <v>4655</v>
      </c>
      <c r="D446" s="15" t="s">
        <v>4656</v>
      </c>
      <c r="E446" s="15" t="s">
        <v>4657</v>
      </c>
      <c r="F446" s="15"/>
      <c r="G446" s="15"/>
      <c r="H446" s="15" t="s">
        <v>4658</v>
      </c>
      <c r="I446" s="15" t="s">
        <v>2740</v>
      </c>
      <c r="J446" s="15" t="s">
        <v>4659</v>
      </c>
      <c r="K446" s="15" t="s">
        <v>70</v>
      </c>
      <c r="L446" s="15" t="s">
        <v>4660</v>
      </c>
      <c r="M446" s="15" t="s">
        <v>4617</v>
      </c>
      <c r="N446" s="15" t="s">
        <v>73</v>
      </c>
      <c r="O446" s="16" t="n">
        <v>0</v>
      </c>
      <c r="P446" s="16" t="n">
        <v>0</v>
      </c>
      <c r="Q446" s="16" t="n">
        <v>0</v>
      </c>
      <c r="R446" s="16" t="n">
        <v>0</v>
      </c>
      <c r="S446" s="16" t="n">
        <v>0</v>
      </c>
      <c r="T446" s="17" t="n">
        <f aca="false">AVERAGE(O446:Q446)</f>
        <v>0</v>
      </c>
      <c r="U446" s="18" t="str">
        <f aca="false">IF(T446&gt;=$H$3,"Eligible","Not Eligible")</f>
        <v>Not Eligible</v>
      </c>
      <c r="V446" s="19" t="n">
        <f aca="false">IF(T446&lt;$H$3,0,IFERROR(T446/SUMIF($T$5:$T$999,"&gt;="&amp;$H$3),0))</f>
        <v>0</v>
      </c>
      <c r="W446" s="15" t="str">
        <f aca="false">IF(T446=0,"Win-Back","Active")</f>
        <v>Win-Back</v>
      </c>
      <c r="X446" s="20" t="n">
        <f aca="false">IF(T446=0,0,IF(T446&gt;=$H$3,ROUND(T446*$D$3/SUMIF($T$5:$T$999,"&gt;="&amp;$H$3),0),ROUNDUP(T446*$D$3/SUMIF($T$5:$T$999,"&gt;="&amp;$H$3),0)))</f>
        <v>0</v>
      </c>
      <c r="Y446" s="21"/>
      <c r="Z446" s="16" t="str">
        <f aca="false">IF(X446=0,"",X446-Y446)</f>
        <v/>
      </c>
      <c r="AA446" s="22" t="str">
        <f aca="false">IFERROR(Y446/X446,"")</f>
        <v/>
      </c>
      <c r="AB446" s="16" t="n">
        <v>0</v>
      </c>
      <c r="AC446" s="21"/>
    </row>
    <row r="447" customFormat="false" ht="15" hidden="false" customHeight="true" outlineLevel="0" collapsed="false">
      <c r="A447" s="15"/>
      <c r="B447" s="15"/>
      <c r="C447" s="15" t="s">
        <v>4661</v>
      </c>
      <c r="D447" s="15" t="s">
        <v>4662</v>
      </c>
      <c r="E447" s="15" t="s">
        <v>4663</v>
      </c>
      <c r="F447" s="15"/>
      <c r="G447" s="15"/>
      <c r="H447" s="15" t="s">
        <v>4664</v>
      </c>
      <c r="I447" s="15"/>
      <c r="J447" s="15" t="s">
        <v>1221</v>
      </c>
      <c r="K447" s="15" t="s">
        <v>1222</v>
      </c>
      <c r="L447" s="15" t="s">
        <v>4665</v>
      </c>
      <c r="M447" s="15" t="s">
        <v>4617</v>
      </c>
      <c r="N447" s="15" t="s">
        <v>73</v>
      </c>
      <c r="O447" s="16" t="n">
        <v>0</v>
      </c>
      <c r="P447" s="16" t="n">
        <v>0</v>
      </c>
      <c r="Q447" s="16" t="n">
        <v>0</v>
      </c>
      <c r="R447" s="16" t="n">
        <v>0</v>
      </c>
      <c r="S447" s="16" t="n">
        <v>0</v>
      </c>
      <c r="T447" s="17" t="n">
        <f aca="false">AVERAGE(O447:Q447)</f>
        <v>0</v>
      </c>
      <c r="U447" s="18" t="str">
        <f aca="false">IF(T447&gt;=$H$3,"Eligible","Not Eligible")</f>
        <v>Not Eligible</v>
      </c>
      <c r="V447" s="19" t="n">
        <f aca="false">IF(T447&lt;$H$3,0,IFERROR(T447/SUMIF($T$5:$T$999,"&gt;="&amp;$H$3),0))</f>
        <v>0</v>
      </c>
      <c r="W447" s="15" t="str">
        <f aca="false">IF(T447=0,"Win-Back","Active")</f>
        <v>Win-Back</v>
      </c>
      <c r="X447" s="20" t="n">
        <f aca="false">IF(T447=0,0,IF(T447&gt;=$H$3,ROUND(T447*$D$3/SUMIF($T$5:$T$999,"&gt;="&amp;$H$3),0),ROUNDUP(T447*$D$3/SUMIF($T$5:$T$999,"&gt;="&amp;$H$3),0)))</f>
        <v>0</v>
      </c>
      <c r="Y447" s="21"/>
      <c r="Z447" s="16" t="str">
        <f aca="false">IF(X447=0,"",X447-Y447)</f>
        <v/>
      </c>
      <c r="AA447" s="22" t="str">
        <f aca="false">IFERROR(Y447/X447,"")</f>
        <v/>
      </c>
      <c r="AB447" s="16" t="n">
        <v>0</v>
      </c>
      <c r="AC447" s="21"/>
    </row>
    <row r="448" customFormat="false" ht="15" hidden="false" customHeight="true" outlineLevel="0" collapsed="false">
      <c r="A448" s="15" t="s">
        <v>4666</v>
      </c>
      <c r="B448" s="15" t="s">
        <v>4667</v>
      </c>
      <c r="C448" s="15" t="s">
        <v>4668</v>
      </c>
      <c r="D448" s="15" t="s">
        <v>4669</v>
      </c>
      <c r="E448" s="15" t="s">
        <v>4670</v>
      </c>
      <c r="F448" s="15" t="s">
        <v>4671</v>
      </c>
      <c r="G448" s="15" t="s">
        <v>4672</v>
      </c>
      <c r="H448" s="15" t="s">
        <v>4673</v>
      </c>
      <c r="I448" s="15" t="s">
        <v>4674</v>
      </c>
      <c r="J448" s="15" t="s">
        <v>4675</v>
      </c>
      <c r="K448" s="15" t="s">
        <v>2098</v>
      </c>
      <c r="L448" s="15" t="s">
        <v>4676</v>
      </c>
      <c r="M448" s="15" t="s">
        <v>4677</v>
      </c>
      <c r="N448" s="15" t="s">
        <v>73</v>
      </c>
      <c r="O448" s="16" t="n">
        <v>0</v>
      </c>
      <c r="P448" s="16" t="n">
        <v>0</v>
      </c>
      <c r="Q448" s="16" t="n">
        <v>0</v>
      </c>
      <c r="R448" s="16" t="n">
        <v>0</v>
      </c>
      <c r="S448" s="16" t="n">
        <v>0</v>
      </c>
      <c r="T448" s="17" t="n">
        <f aca="false">AVERAGE(O448:Q448)</f>
        <v>0</v>
      </c>
      <c r="U448" s="18" t="str">
        <f aca="false">IF(T448&gt;=$H$3,"Eligible","Not Eligible")</f>
        <v>Not Eligible</v>
      </c>
      <c r="V448" s="19" t="n">
        <f aca="false">IF(T448&lt;$H$3,0,IFERROR(T448/SUMIF($T$5:$T$999,"&gt;="&amp;$H$3),0))</f>
        <v>0</v>
      </c>
      <c r="W448" s="15" t="str">
        <f aca="false">IF(T448=0,"Win-Back","Active")</f>
        <v>Win-Back</v>
      </c>
      <c r="X448" s="20" t="n">
        <f aca="false">IF(T448=0,0,IF(T448&gt;=$H$3,ROUND(T448*$D$3/SUMIF($T$5:$T$999,"&gt;="&amp;$H$3),0),ROUNDUP(T448*$D$3/SUMIF($T$5:$T$999,"&gt;="&amp;$H$3),0)))</f>
        <v>0</v>
      </c>
      <c r="Y448" s="21"/>
      <c r="Z448" s="16" t="str">
        <f aca="false">IF(X448=0,"",X448-Y448)</f>
        <v/>
      </c>
      <c r="AA448" s="22" t="str">
        <f aca="false">IFERROR(Y448/X448,"")</f>
        <v/>
      </c>
      <c r="AB448" s="16" t="n">
        <v>0</v>
      </c>
      <c r="AC448" s="21"/>
    </row>
    <row r="449" customFormat="false" ht="15" hidden="false" customHeight="true" outlineLevel="0" collapsed="false">
      <c r="A449" s="15"/>
      <c r="B449" s="15"/>
      <c r="C449" s="15" t="s">
        <v>4678</v>
      </c>
      <c r="D449" s="15" t="s">
        <v>4679</v>
      </c>
      <c r="E449" s="15" t="s">
        <v>4680</v>
      </c>
      <c r="F449" s="15"/>
      <c r="G449" s="15"/>
      <c r="H449" s="15" t="s">
        <v>4681</v>
      </c>
      <c r="I449" s="15"/>
      <c r="J449" s="15" t="s">
        <v>594</v>
      </c>
      <c r="K449" s="15" t="s">
        <v>368</v>
      </c>
      <c r="L449" s="15" t="s">
        <v>4682</v>
      </c>
      <c r="M449" s="15" t="s">
        <v>4617</v>
      </c>
      <c r="N449" s="15" t="s">
        <v>73</v>
      </c>
      <c r="O449" s="16" t="n">
        <v>0</v>
      </c>
      <c r="P449" s="16" t="n">
        <v>0</v>
      </c>
      <c r="Q449" s="16" t="n">
        <v>0</v>
      </c>
      <c r="R449" s="16" t="n">
        <v>0</v>
      </c>
      <c r="S449" s="16" t="n">
        <v>0</v>
      </c>
      <c r="T449" s="17" t="n">
        <f aca="false">AVERAGE(O449:Q449)</f>
        <v>0</v>
      </c>
      <c r="U449" s="18" t="str">
        <f aca="false">IF(T449&gt;=$H$3,"Eligible","Not Eligible")</f>
        <v>Not Eligible</v>
      </c>
      <c r="V449" s="19" t="n">
        <f aca="false">IF(T449&lt;$H$3,0,IFERROR(T449/SUMIF($T$5:$T$999,"&gt;="&amp;$H$3),0))</f>
        <v>0</v>
      </c>
      <c r="W449" s="15" t="str">
        <f aca="false">IF(T449=0,"Win-Back","Active")</f>
        <v>Win-Back</v>
      </c>
      <c r="X449" s="20" t="n">
        <f aca="false">IF(T449=0,0,IF(T449&gt;=$H$3,ROUND(T449*$D$3/SUMIF($T$5:$T$999,"&gt;="&amp;$H$3),0),ROUNDUP(T449*$D$3/SUMIF($T$5:$T$999,"&gt;="&amp;$H$3),0)))</f>
        <v>0</v>
      </c>
      <c r="Y449" s="21"/>
      <c r="Z449" s="16" t="str">
        <f aca="false">IF(X449=0,"",X449-Y449)</f>
        <v/>
      </c>
      <c r="AA449" s="22" t="str">
        <f aca="false">IFERROR(Y449/X449,"")</f>
        <v/>
      </c>
      <c r="AB449" s="16" t="n">
        <v>0</v>
      </c>
      <c r="AC449" s="21"/>
    </row>
    <row r="450" customFormat="false" ht="15" hidden="false" customHeight="true" outlineLevel="0" collapsed="false">
      <c r="A450" s="15" t="s">
        <v>4683</v>
      </c>
      <c r="B450" s="15" t="s">
        <v>4684</v>
      </c>
      <c r="C450" s="15" t="s">
        <v>4685</v>
      </c>
      <c r="D450" s="15" t="s">
        <v>4686</v>
      </c>
      <c r="E450" s="15" t="s">
        <v>4687</v>
      </c>
      <c r="F450" s="15" t="s">
        <v>4688</v>
      </c>
      <c r="G450" s="15" t="s">
        <v>4689</v>
      </c>
      <c r="H450" s="15" t="s">
        <v>4690</v>
      </c>
      <c r="I450" s="15"/>
      <c r="J450" s="15" t="s">
        <v>4691</v>
      </c>
      <c r="K450" s="15" t="s">
        <v>678</v>
      </c>
      <c r="L450" s="15" t="s">
        <v>4692</v>
      </c>
      <c r="M450" s="15" t="s">
        <v>4693</v>
      </c>
      <c r="N450" s="15" t="s">
        <v>73</v>
      </c>
      <c r="O450" s="16" t="n">
        <v>0</v>
      </c>
      <c r="P450" s="16" t="n">
        <v>0</v>
      </c>
      <c r="Q450" s="16" t="n">
        <v>0</v>
      </c>
      <c r="R450" s="16" t="n">
        <v>0</v>
      </c>
      <c r="S450" s="16" t="n">
        <v>0</v>
      </c>
      <c r="T450" s="17" t="n">
        <f aca="false">AVERAGE(O450:Q450)</f>
        <v>0</v>
      </c>
      <c r="U450" s="18" t="str">
        <f aca="false">IF(T450&gt;=$H$3,"Eligible","Not Eligible")</f>
        <v>Not Eligible</v>
      </c>
      <c r="V450" s="19" t="n">
        <f aca="false">IF(T450&lt;$H$3,0,IFERROR(T450/SUMIF($T$5:$T$999,"&gt;="&amp;$H$3),0))</f>
        <v>0</v>
      </c>
      <c r="W450" s="15" t="str">
        <f aca="false">IF(T450=0,"Win-Back","Active")</f>
        <v>Win-Back</v>
      </c>
      <c r="X450" s="20" t="n">
        <f aca="false">IF(T450=0,0,IF(T450&gt;=$H$3,ROUND(T450*$D$3/SUMIF($T$5:$T$999,"&gt;="&amp;$H$3),0),ROUNDUP(T450*$D$3/SUMIF($T$5:$T$999,"&gt;="&amp;$H$3),0)))</f>
        <v>0</v>
      </c>
      <c r="Y450" s="21"/>
      <c r="Z450" s="16" t="str">
        <f aca="false">IF(X450=0,"",X450-Y450)</f>
        <v/>
      </c>
      <c r="AA450" s="22" t="str">
        <f aca="false">IFERROR(Y450/X450,"")</f>
        <v/>
      </c>
      <c r="AB450" s="16" t="n">
        <v>0</v>
      </c>
      <c r="AC450" s="21"/>
    </row>
    <row r="451" customFormat="false" ht="15" hidden="false" customHeight="true" outlineLevel="0" collapsed="false">
      <c r="A451" s="15" t="s">
        <v>4694</v>
      </c>
      <c r="B451" s="15"/>
      <c r="C451" s="15" t="s">
        <v>4695</v>
      </c>
      <c r="D451" s="15" t="s">
        <v>4696</v>
      </c>
      <c r="E451" s="15" t="s">
        <v>4697</v>
      </c>
      <c r="F451" s="15" t="s">
        <v>4698</v>
      </c>
      <c r="G451" s="15" t="s">
        <v>4699</v>
      </c>
      <c r="H451" s="15" t="s">
        <v>4700</v>
      </c>
      <c r="I451" s="15" t="s">
        <v>4701</v>
      </c>
      <c r="J451" s="15" t="s">
        <v>4702</v>
      </c>
      <c r="K451" s="15" t="s">
        <v>735</v>
      </c>
      <c r="L451" s="15" t="s">
        <v>4703</v>
      </c>
      <c r="M451" s="15" t="s">
        <v>4704</v>
      </c>
      <c r="N451" s="15" t="s">
        <v>73</v>
      </c>
      <c r="O451" s="16" t="n">
        <v>0</v>
      </c>
      <c r="P451" s="16" t="n">
        <v>0</v>
      </c>
      <c r="Q451" s="16" t="n">
        <v>0</v>
      </c>
      <c r="R451" s="16" t="n">
        <v>0</v>
      </c>
      <c r="S451" s="16" t="n">
        <v>0</v>
      </c>
      <c r="T451" s="17" t="n">
        <f aca="false">AVERAGE(O451:Q451)</f>
        <v>0</v>
      </c>
      <c r="U451" s="18" t="str">
        <f aca="false">IF(T451&gt;=$H$3,"Eligible","Not Eligible")</f>
        <v>Not Eligible</v>
      </c>
      <c r="V451" s="19" t="n">
        <f aca="false">IF(T451&lt;$H$3,0,IFERROR(T451/SUMIF($T$5:$T$999,"&gt;="&amp;$H$3),0))</f>
        <v>0</v>
      </c>
      <c r="W451" s="15" t="str">
        <f aca="false">IF(T451=0,"Win-Back","Active")</f>
        <v>Win-Back</v>
      </c>
      <c r="X451" s="20" t="n">
        <f aca="false">IF(T451=0,0,IF(T451&gt;=$H$3,ROUND(T451*$D$3/SUMIF($T$5:$T$999,"&gt;="&amp;$H$3),0),ROUNDUP(T451*$D$3/SUMIF($T$5:$T$999,"&gt;="&amp;$H$3),0)))</f>
        <v>0</v>
      </c>
      <c r="Y451" s="21"/>
      <c r="Z451" s="16" t="str">
        <f aca="false">IF(X451=0,"",X451-Y451)</f>
        <v/>
      </c>
      <c r="AA451" s="22" t="str">
        <f aca="false">IFERROR(Y451/X451,"")</f>
        <v/>
      </c>
      <c r="AB451" s="16" t="n">
        <v>0</v>
      </c>
      <c r="AC451" s="21"/>
    </row>
    <row r="452" customFormat="false" ht="15" hidden="false" customHeight="true" outlineLevel="0" collapsed="false">
      <c r="A452" s="15" t="s">
        <v>4705</v>
      </c>
      <c r="B452" s="15" t="s">
        <v>4706</v>
      </c>
      <c r="C452" s="15" t="s">
        <v>4707</v>
      </c>
      <c r="D452" s="15" t="s">
        <v>4708</v>
      </c>
      <c r="E452" s="15" t="s">
        <v>4709</v>
      </c>
      <c r="F452" s="15"/>
      <c r="G452" s="15" t="s">
        <v>1803</v>
      </c>
      <c r="H452" s="15" t="s">
        <v>4710</v>
      </c>
      <c r="I452" s="15"/>
      <c r="J452" s="15" t="s">
        <v>828</v>
      </c>
      <c r="K452" s="15" t="s">
        <v>368</v>
      </c>
      <c r="L452" s="15" t="s">
        <v>1148</v>
      </c>
      <c r="M452" s="15" t="s">
        <v>1808</v>
      </c>
      <c r="N452" s="15" t="s">
        <v>73</v>
      </c>
      <c r="O452" s="16" t="n">
        <v>0</v>
      </c>
      <c r="P452" s="16" t="n">
        <v>0</v>
      </c>
      <c r="Q452" s="16" t="n">
        <v>0</v>
      </c>
      <c r="R452" s="16" t="n">
        <v>0</v>
      </c>
      <c r="S452" s="16" t="n">
        <v>0</v>
      </c>
      <c r="T452" s="17" t="n">
        <f aca="false">AVERAGE(O452:Q452)</f>
        <v>0</v>
      </c>
      <c r="U452" s="18" t="str">
        <f aca="false">IF(T452&gt;=$H$3,"Eligible","Not Eligible")</f>
        <v>Not Eligible</v>
      </c>
      <c r="V452" s="19" t="n">
        <f aca="false">IF(T452&lt;$H$3,0,IFERROR(T452/SUMIF($T$5:$T$999,"&gt;="&amp;$H$3),0))</f>
        <v>0</v>
      </c>
      <c r="W452" s="15" t="str">
        <f aca="false">IF(T452=0,"Win-Back","Active")</f>
        <v>Win-Back</v>
      </c>
      <c r="X452" s="20" t="n">
        <f aca="false">IF(T452=0,0,IF(T452&gt;=$H$3,ROUND(T452*$D$3/SUMIF($T$5:$T$999,"&gt;="&amp;$H$3),0),ROUNDUP(T452*$D$3/SUMIF($T$5:$T$999,"&gt;="&amp;$H$3),0)))</f>
        <v>0</v>
      </c>
      <c r="Y452" s="21"/>
      <c r="Z452" s="16" t="str">
        <f aca="false">IF(X452=0,"",X452-Y452)</f>
        <v/>
      </c>
      <c r="AA452" s="22" t="str">
        <f aca="false">IFERROR(Y452/X452,"")</f>
        <v/>
      </c>
      <c r="AB452" s="16" t="n">
        <v>0</v>
      </c>
      <c r="AC452" s="21"/>
    </row>
    <row r="453" customFormat="false" ht="15" hidden="false" customHeight="true" outlineLevel="0" collapsed="false">
      <c r="A453" s="15" t="s">
        <v>4711</v>
      </c>
      <c r="B453" s="15" t="s">
        <v>4712</v>
      </c>
      <c r="C453" s="15" t="s">
        <v>4713</v>
      </c>
      <c r="D453" s="15" t="s">
        <v>4714</v>
      </c>
      <c r="E453" s="15" t="s">
        <v>4715</v>
      </c>
      <c r="F453" s="15"/>
      <c r="G453" s="15" t="s">
        <v>4716</v>
      </c>
      <c r="H453" s="15" t="s">
        <v>4717</v>
      </c>
      <c r="I453" s="15" t="s">
        <v>4718</v>
      </c>
      <c r="J453" s="15" t="s">
        <v>4719</v>
      </c>
      <c r="K453" s="15" t="s">
        <v>4720</v>
      </c>
      <c r="L453" s="15" t="s">
        <v>4721</v>
      </c>
      <c r="M453" s="15" t="s">
        <v>4722</v>
      </c>
      <c r="N453" s="15" t="s">
        <v>73</v>
      </c>
      <c r="O453" s="16" t="n">
        <v>0</v>
      </c>
      <c r="P453" s="16" t="n">
        <v>0</v>
      </c>
      <c r="Q453" s="16" t="n">
        <v>0</v>
      </c>
      <c r="R453" s="16" t="n">
        <v>0</v>
      </c>
      <c r="S453" s="16" t="n">
        <v>0</v>
      </c>
      <c r="T453" s="17" t="n">
        <f aca="false">AVERAGE(O453:Q453)</f>
        <v>0</v>
      </c>
      <c r="U453" s="18" t="str">
        <f aca="false">IF(T453&gt;=$H$3,"Eligible","Not Eligible")</f>
        <v>Not Eligible</v>
      </c>
      <c r="V453" s="19" t="n">
        <f aca="false">IF(T453&lt;$H$3,0,IFERROR(T453/SUMIF($T$5:$T$999,"&gt;="&amp;$H$3),0))</f>
        <v>0</v>
      </c>
      <c r="W453" s="15" t="str">
        <f aca="false">IF(T453=0,"Win-Back","Active")</f>
        <v>Win-Back</v>
      </c>
      <c r="X453" s="20" t="n">
        <f aca="false">IF(T453=0,0,IF(T453&gt;=$H$3,ROUND(T453*$D$3/SUMIF($T$5:$T$999,"&gt;="&amp;$H$3),0),ROUNDUP(T453*$D$3/SUMIF($T$5:$T$999,"&gt;="&amp;$H$3),0)))</f>
        <v>0</v>
      </c>
      <c r="Y453" s="21"/>
      <c r="Z453" s="16" t="str">
        <f aca="false">IF(X453=0,"",X453-Y453)</f>
        <v/>
      </c>
      <c r="AA453" s="22" t="str">
        <f aca="false">IFERROR(Y453/X453,"")</f>
        <v/>
      </c>
      <c r="AB453" s="16" t="n">
        <v>0</v>
      </c>
      <c r="AC453" s="21"/>
    </row>
    <row r="454" customFormat="false" ht="15" hidden="false" customHeight="true" outlineLevel="0" collapsed="false">
      <c r="A454" s="15" t="s">
        <v>4723</v>
      </c>
      <c r="B454" s="15" t="s">
        <v>4724</v>
      </c>
      <c r="C454" s="15" t="s">
        <v>4725</v>
      </c>
      <c r="D454" s="15" t="s">
        <v>4726</v>
      </c>
      <c r="E454" s="15" t="s">
        <v>4727</v>
      </c>
      <c r="F454" s="15" t="s">
        <v>4728</v>
      </c>
      <c r="G454" s="15" t="s">
        <v>4729</v>
      </c>
      <c r="H454" s="15" t="s">
        <v>4730</v>
      </c>
      <c r="I454" s="15"/>
      <c r="J454" s="15" t="s">
        <v>367</v>
      </c>
      <c r="K454" s="15" t="s">
        <v>368</v>
      </c>
      <c r="L454" s="15" t="s">
        <v>4329</v>
      </c>
      <c r="M454" s="15" t="s">
        <v>4731</v>
      </c>
      <c r="N454" s="15" t="s">
        <v>73</v>
      </c>
      <c r="O454" s="16" t="n">
        <v>0</v>
      </c>
      <c r="P454" s="16" t="n">
        <v>0</v>
      </c>
      <c r="Q454" s="16" t="n">
        <v>0</v>
      </c>
      <c r="R454" s="16" t="n">
        <v>0</v>
      </c>
      <c r="S454" s="16" t="n">
        <v>0</v>
      </c>
      <c r="T454" s="17" t="n">
        <f aca="false">AVERAGE(O454:Q454)</f>
        <v>0</v>
      </c>
      <c r="U454" s="18" t="str">
        <f aca="false">IF(T454&gt;=$H$3,"Eligible","Not Eligible")</f>
        <v>Not Eligible</v>
      </c>
      <c r="V454" s="19" t="n">
        <f aca="false">IF(T454&lt;$H$3,0,IFERROR(T454/SUMIF($T$5:$T$999,"&gt;="&amp;$H$3),0))</f>
        <v>0</v>
      </c>
      <c r="W454" s="15" t="str">
        <f aca="false">IF(T454=0,"Win-Back","Active")</f>
        <v>Win-Back</v>
      </c>
      <c r="X454" s="20" t="n">
        <f aca="false">IF(T454=0,0,IF(T454&gt;=$H$3,ROUND(T454*$D$3/SUMIF($T$5:$T$999,"&gt;="&amp;$H$3),0),ROUNDUP(T454*$D$3/SUMIF($T$5:$T$999,"&gt;="&amp;$H$3),0)))</f>
        <v>0</v>
      </c>
      <c r="Y454" s="21"/>
      <c r="Z454" s="16" t="str">
        <f aca="false">IF(X454=0,"",X454-Y454)</f>
        <v/>
      </c>
      <c r="AA454" s="22" t="str">
        <f aca="false">IFERROR(Y454/X454,"")</f>
        <v/>
      </c>
      <c r="AB454" s="16" t="n">
        <v>0</v>
      </c>
      <c r="AC454" s="21"/>
    </row>
    <row r="455" customFormat="false" ht="15" hidden="false" customHeight="true" outlineLevel="0" collapsed="false">
      <c r="A455" s="15" t="s">
        <v>4732</v>
      </c>
      <c r="B455" s="15" t="s">
        <v>4733</v>
      </c>
      <c r="C455" s="15" t="s">
        <v>4734</v>
      </c>
      <c r="D455" s="15" t="s">
        <v>4735</v>
      </c>
      <c r="E455" s="15" t="s">
        <v>4736</v>
      </c>
      <c r="F455" s="15" t="s">
        <v>4737</v>
      </c>
      <c r="G455" s="15" t="s">
        <v>4738</v>
      </c>
      <c r="H455" s="15" t="s">
        <v>4739</v>
      </c>
      <c r="I455" s="15"/>
      <c r="J455" s="15" t="s">
        <v>4740</v>
      </c>
      <c r="K455" s="15" t="s">
        <v>1139</v>
      </c>
      <c r="L455" s="15" t="s">
        <v>4741</v>
      </c>
      <c r="M455" s="15" t="s">
        <v>4742</v>
      </c>
      <c r="N455" s="15" t="s">
        <v>73</v>
      </c>
      <c r="O455" s="16" t="n">
        <v>0</v>
      </c>
      <c r="P455" s="16" t="n">
        <v>0</v>
      </c>
      <c r="Q455" s="16" t="n">
        <v>0</v>
      </c>
      <c r="R455" s="16" t="n">
        <v>0</v>
      </c>
      <c r="S455" s="16" t="n">
        <v>0</v>
      </c>
      <c r="T455" s="17" t="n">
        <f aca="false">AVERAGE(O455:Q455)</f>
        <v>0</v>
      </c>
      <c r="U455" s="18" t="str">
        <f aca="false">IF(T455&gt;=$H$3,"Eligible","Not Eligible")</f>
        <v>Not Eligible</v>
      </c>
      <c r="V455" s="19" t="n">
        <f aca="false">IF(T455&lt;$H$3,0,IFERROR(T455/SUMIF($T$5:$T$999,"&gt;="&amp;$H$3),0))</f>
        <v>0</v>
      </c>
      <c r="W455" s="15" t="str">
        <f aca="false">IF(T455=0,"Win-Back","Active")</f>
        <v>Win-Back</v>
      </c>
      <c r="X455" s="20" t="n">
        <f aca="false">IF(T455=0,0,IF(T455&gt;=$H$3,ROUND(T455*$D$3/SUMIF($T$5:$T$999,"&gt;="&amp;$H$3),0),ROUNDUP(T455*$D$3/SUMIF($T$5:$T$999,"&gt;="&amp;$H$3),0)))</f>
        <v>0</v>
      </c>
      <c r="Y455" s="21"/>
      <c r="Z455" s="16" t="str">
        <f aca="false">IF(X455=0,"",X455-Y455)</f>
        <v/>
      </c>
      <c r="AA455" s="22" t="str">
        <f aca="false">IFERROR(Y455/X455,"")</f>
        <v/>
      </c>
      <c r="AB455" s="16" t="n">
        <v>0</v>
      </c>
      <c r="AC455" s="21"/>
    </row>
    <row r="456" customFormat="false" ht="15" hidden="false" customHeight="true" outlineLevel="0" collapsed="false">
      <c r="A456" s="15" t="s">
        <v>4743</v>
      </c>
      <c r="B456" s="15" t="s">
        <v>4744</v>
      </c>
      <c r="C456" s="15" t="s">
        <v>4745</v>
      </c>
      <c r="D456" s="15" t="s">
        <v>4746</v>
      </c>
      <c r="E456" s="15" t="s">
        <v>4747</v>
      </c>
      <c r="F456" s="15"/>
      <c r="G456" s="15" t="s">
        <v>4748</v>
      </c>
      <c r="H456" s="15" t="s">
        <v>4749</v>
      </c>
      <c r="I456" s="15"/>
      <c r="J456" s="15" t="s">
        <v>1869</v>
      </c>
      <c r="K456" s="15" t="s">
        <v>1418</v>
      </c>
      <c r="L456" s="15" t="s">
        <v>4750</v>
      </c>
      <c r="M456" s="15" t="s">
        <v>4751</v>
      </c>
      <c r="N456" s="15" t="s">
        <v>73</v>
      </c>
      <c r="O456" s="16" t="n">
        <v>0</v>
      </c>
      <c r="P456" s="16" t="n">
        <v>0</v>
      </c>
      <c r="Q456" s="16" t="n">
        <v>0</v>
      </c>
      <c r="R456" s="16" t="n">
        <v>0</v>
      </c>
      <c r="S456" s="16" t="n">
        <v>0</v>
      </c>
      <c r="T456" s="17" t="n">
        <f aca="false">AVERAGE(O456:Q456)</f>
        <v>0</v>
      </c>
      <c r="U456" s="18" t="str">
        <f aca="false">IF(T456&gt;=$H$3,"Eligible","Not Eligible")</f>
        <v>Not Eligible</v>
      </c>
      <c r="V456" s="19" t="n">
        <f aca="false">IF(T456&lt;$H$3,0,IFERROR(T456/SUMIF($T$5:$T$999,"&gt;="&amp;$H$3),0))</f>
        <v>0</v>
      </c>
      <c r="W456" s="15" t="str">
        <f aca="false">IF(T456=0,"Win-Back","Active")</f>
        <v>Win-Back</v>
      </c>
      <c r="X456" s="20" t="n">
        <f aca="false">IF(T456=0,0,IF(T456&gt;=$H$3,ROUND(T456*$D$3/SUMIF($T$5:$T$999,"&gt;="&amp;$H$3),0),ROUNDUP(T456*$D$3/SUMIF($T$5:$T$999,"&gt;="&amp;$H$3),0)))</f>
        <v>0</v>
      </c>
      <c r="Y456" s="21"/>
      <c r="Z456" s="16" t="str">
        <f aca="false">IF(X456=0,"",X456-Y456)</f>
        <v/>
      </c>
      <c r="AA456" s="22" t="str">
        <f aca="false">IFERROR(Y456/X456,"")</f>
        <v/>
      </c>
      <c r="AB456" s="16" t="n">
        <v>0</v>
      </c>
      <c r="AC456" s="21"/>
    </row>
    <row r="457" customFormat="false" ht="15" hidden="false" customHeight="true" outlineLevel="0" collapsed="false">
      <c r="A457" s="15" t="s">
        <v>4752</v>
      </c>
      <c r="B457" s="15" t="s">
        <v>4753</v>
      </c>
      <c r="C457" s="15" t="s">
        <v>4754</v>
      </c>
      <c r="D457" s="15" t="s">
        <v>4755</v>
      </c>
      <c r="E457" s="15" t="s">
        <v>4756</v>
      </c>
      <c r="F457" s="15" t="s">
        <v>4757</v>
      </c>
      <c r="G457" s="15" t="s">
        <v>4758</v>
      </c>
      <c r="H457" s="15" t="s">
        <v>4759</v>
      </c>
      <c r="I457" s="15" t="s">
        <v>4760</v>
      </c>
      <c r="J457" s="15" t="s">
        <v>2688</v>
      </c>
      <c r="K457" s="15" t="s">
        <v>368</v>
      </c>
      <c r="L457" s="15" t="s">
        <v>4761</v>
      </c>
      <c r="M457" s="15" t="s">
        <v>4762</v>
      </c>
      <c r="N457" s="15" t="s">
        <v>73</v>
      </c>
      <c r="O457" s="16" t="n">
        <v>0</v>
      </c>
      <c r="P457" s="16" t="n">
        <v>0</v>
      </c>
      <c r="Q457" s="16" t="n">
        <v>0</v>
      </c>
      <c r="R457" s="16" t="n">
        <v>0</v>
      </c>
      <c r="S457" s="16" t="n">
        <v>0</v>
      </c>
      <c r="T457" s="17" t="n">
        <f aca="false">AVERAGE(O457:Q457)</f>
        <v>0</v>
      </c>
      <c r="U457" s="18" t="str">
        <f aca="false">IF(T457&gt;=$H$3,"Eligible","Not Eligible")</f>
        <v>Not Eligible</v>
      </c>
      <c r="V457" s="19" t="n">
        <f aca="false">IF(T457&lt;$H$3,0,IFERROR(T457/SUMIF($T$5:$T$999,"&gt;="&amp;$H$3),0))</f>
        <v>0</v>
      </c>
      <c r="W457" s="15" t="str">
        <f aca="false">IF(T457=0,"Win-Back","Active")</f>
        <v>Win-Back</v>
      </c>
      <c r="X457" s="20" t="n">
        <f aca="false">IF(T457=0,0,IF(T457&gt;=$H$3,ROUND(T457*$D$3/SUMIF($T$5:$T$999,"&gt;="&amp;$H$3),0),ROUNDUP(T457*$D$3/SUMIF($T$5:$T$999,"&gt;="&amp;$H$3),0)))</f>
        <v>0</v>
      </c>
      <c r="Y457" s="21"/>
      <c r="Z457" s="16" t="str">
        <f aca="false">IF(X457=0,"",X457-Y457)</f>
        <v/>
      </c>
      <c r="AA457" s="22" t="str">
        <f aca="false">IFERROR(Y457/X457,"")</f>
        <v/>
      </c>
      <c r="AB457" s="16" t="n">
        <v>0</v>
      </c>
      <c r="AC457" s="21"/>
    </row>
    <row r="458" customFormat="false" ht="15" hidden="false" customHeight="true" outlineLevel="0" collapsed="false">
      <c r="A458" s="15" t="s">
        <v>4763</v>
      </c>
      <c r="B458" s="15" t="s">
        <v>4764</v>
      </c>
      <c r="C458" s="15" t="s">
        <v>4765</v>
      </c>
      <c r="D458" s="15" t="s">
        <v>4766</v>
      </c>
      <c r="E458" s="15" t="s">
        <v>4767</v>
      </c>
      <c r="F458" s="15" t="s">
        <v>4768</v>
      </c>
      <c r="G458" s="15" t="s">
        <v>4769</v>
      </c>
      <c r="H458" s="15" t="s">
        <v>4770</v>
      </c>
      <c r="I458" s="15"/>
      <c r="J458" s="15" t="s">
        <v>689</v>
      </c>
      <c r="K458" s="15" t="s">
        <v>47</v>
      </c>
      <c r="L458" s="15" t="s">
        <v>4771</v>
      </c>
      <c r="M458" s="15" t="s">
        <v>4772</v>
      </c>
      <c r="N458" s="15" t="s">
        <v>73</v>
      </c>
      <c r="O458" s="16" t="n">
        <v>0</v>
      </c>
      <c r="P458" s="16" t="n">
        <v>0</v>
      </c>
      <c r="Q458" s="16" t="n">
        <v>0</v>
      </c>
      <c r="R458" s="16" t="n">
        <v>0</v>
      </c>
      <c r="S458" s="16" t="n">
        <v>0</v>
      </c>
      <c r="T458" s="17" t="n">
        <f aca="false">AVERAGE(O458:Q458)</f>
        <v>0</v>
      </c>
      <c r="U458" s="18" t="str">
        <f aca="false">IF(T458&gt;=$H$3,"Eligible","Not Eligible")</f>
        <v>Not Eligible</v>
      </c>
      <c r="V458" s="19" t="n">
        <f aca="false">IF(T458&lt;$H$3,0,IFERROR(T458/SUMIF($T$5:$T$999,"&gt;="&amp;$H$3),0))</f>
        <v>0</v>
      </c>
      <c r="W458" s="15" t="str">
        <f aca="false">IF(T458=0,"Win-Back","Active")</f>
        <v>Win-Back</v>
      </c>
      <c r="X458" s="20" t="n">
        <f aca="false">IF(T458=0,0,IF(T458&gt;=$H$3,ROUND(T458*$D$3/SUMIF($T$5:$T$999,"&gt;="&amp;$H$3),0),ROUNDUP(T458*$D$3/SUMIF($T$5:$T$999,"&gt;="&amp;$H$3),0)))</f>
        <v>0</v>
      </c>
      <c r="Y458" s="21"/>
      <c r="Z458" s="16" t="str">
        <f aca="false">IF(X458=0,"",X458-Y458)</f>
        <v/>
      </c>
      <c r="AA458" s="22" t="str">
        <f aca="false">IFERROR(Y458/X458,"")</f>
        <v/>
      </c>
      <c r="AB458" s="16" t="n">
        <v>0</v>
      </c>
      <c r="AC458" s="21"/>
    </row>
    <row r="459" customFormat="false" ht="15" hidden="false" customHeight="true" outlineLevel="0" collapsed="false">
      <c r="A459" s="15" t="s">
        <v>4773</v>
      </c>
      <c r="B459" s="15" t="s">
        <v>4774</v>
      </c>
      <c r="C459" s="15" t="s">
        <v>4775</v>
      </c>
      <c r="D459" s="15" t="s">
        <v>4776</v>
      </c>
      <c r="E459" s="15" t="s">
        <v>4777</v>
      </c>
      <c r="F459" s="15" t="s">
        <v>4778</v>
      </c>
      <c r="G459" s="15" t="s">
        <v>4779</v>
      </c>
      <c r="H459" s="15" t="s">
        <v>4780</v>
      </c>
      <c r="I459" s="15"/>
      <c r="J459" s="15" t="s">
        <v>492</v>
      </c>
      <c r="K459" s="15" t="s">
        <v>493</v>
      </c>
      <c r="L459" s="15" t="s">
        <v>636</v>
      </c>
      <c r="M459" s="15" t="s">
        <v>4781</v>
      </c>
      <c r="N459" s="15" t="s">
        <v>73</v>
      </c>
      <c r="O459" s="16" t="n">
        <v>0</v>
      </c>
      <c r="P459" s="16" t="n">
        <v>0</v>
      </c>
      <c r="Q459" s="16" t="n">
        <v>0</v>
      </c>
      <c r="R459" s="16" t="n">
        <v>0</v>
      </c>
      <c r="S459" s="16" t="n">
        <v>0</v>
      </c>
      <c r="T459" s="17" t="n">
        <f aca="false">AVERAGE(O459:Q459)</f>
        <v>0</v>
      </c>
      <c r="U459" s="18" t="str">
        <f aca="false">IF(T459&gt;=$H$3,"Eligible","Not Eligible")</f>
        <v>Not Eligible</v>
      </c>
      <c r="V459" s="19" t="n">
        <f aca="false">IF(T459&lt;$H$3,0,IFERROR(T459/SUMIF($T$5:$T$999,"&gt;="&amp;$H$3),0))</f>
        <v>0</v>
      </c>
      <c r="W459" s="15" t="str">
        <f aca="false">IF(T459=0,"Win-Back","Active")</f>
        <v>Win-Back</v>
      </c>
      <c r="X459" s="20" t="n">
        <f aca="false">IF(T459=0,0,IF(T459&gt;=$H$3,ROUND(T459*$D$3/SUMIF($T$5:$T$999,"&gt;="&amp;$H$3),0),ROUNDUP(T459*$D$3/SUMIF($T$5:$T$999,"&gt;="&amp;$H$3),0)))</f>
        <v>0</v>
      </c>
      <c r="Y459" s="21"/>
      <c r="Z459" s="16" t="str">
        <f aca="false">IF(X459=0,"",X459-Y459)</f>
        <v/>
      </c>
      <c r="AA459" s="22" t="str">
        <f aca="false">IFERROR(Y459/X459,"")</f>
        <v/>
      </c>
      <c r="AB459" s="16" t="n">
        <v>0</v>
      </c>
      <c r="AC459" s="21"/>
    </row>
    <row r="460" customFormat="false" ht="15" hidden="false" customHeight="true" outlineLevel="0" collapsed="false">
      <c r="A460" s="15"/>
      <c r="B460" s="15"/>
      <c r="C460" s="15" t="s">
        <v>4782</v>
      </c>
      <c r="D460" s="15" t="s">
        <v>4783</v>
      </c>
      <c r="E460" s="15" t="s">
        <v>4784</v>
      </c>
      <c r="F460" s="15"/>
      <c r="G460" s="15"/>
      <c r="H460" s="15" t="s">
        <v>4785</v>
      </c>
      <c r="I460" s="15"/>
      <c r="J460" s="15" t="s">
        <v>1869</v>
      </c>
      <c r="K460" s="15" t="s">
        <v>1418</v>
      </c>
      <c r="L460" s="15" t="s">
        <v>4786</v>
      </c>
      <c r="M460" s="15" t="s">
        <v>4617</v>
      </c>
      <c r="N460" s="15" t="s">
        <v>73</v>
      </c>
      <c r="O460" s="16" t="n">
        <v>0</v>
      </c>
      <c r="P460" s="16" t="n">
        <v>0</v>
      </c>
      <c r="Q460" s="16" t="n">
        <v>0</v>
      </c>
      <c r="R460" s="16" t="n">
        <v>0</v>
      </c>
      <c r="S460" s="16" t="n">
        <v>0</v>
      </c>
      <c r="T460" s="17" t="n">
        <f aca="false">AVERAGE(O460:Q460)</f>
        <v>0</v>
      </c>
      <c r="U460" s="18" t="str">
        <f aca="false">IF(T460&gt;=$H$3,"Eligible","Not Eligible")</f>
        <v>Not Eligible</v>
      </c>
      <c r="V460" s="19" t="n">
        <f aca="false">IF(T460&lt;$H$3,0,IFERROR(T460/SUMIF($T$5:$T$999,"&gt;="&amp;$H$3),0))</f>
        <v>0</v>
      </c>
      <c r="W460" s="15" t="str">
        <f aca="false">IF(T460=0,"Win-Back","Active")</f>
        <v>Win-Back</v>
      </c>
      <c r="X460" s="20" t="n">
        <f aca="false">IF(T460=0,0,IF(T460&gt;=$H$3,ROUND(T460*$D$3/SUMIF($T$5:$T$999,"&gt;="&amp;$H$3),0),ROUNDUP(T460*$D$3/SUMIF($T$5:$T$999,"&gt;="&amp;$H$3),0)))</f>
        <v>0</v>
      </c>
      <c r="Y460" s="21"/>
      <c r="Z460" s="16" t="str">
        <f aca="false">IF(X460=0,"",X460-Y460)</f>
        <v/>
      </c>
      <c r="AA460" s="22" t="str">
        <f aca="false">IFERROR(Y460/X460,"")</f>
        <v/>
      </c>
      <c r="AB460" s="16" t="n">
        <v>0</v>
      </c>
      <c r="AC460" s="21"/>
    </row>
    <row r="461" customFormat="false" ht="15" hidden="false" customHeight="true" outlineLevel="0" collapsed="false">
      <c r="A461" s="15" t="s">
        <v>4787</v>
      </c>
      <c r="B461" s="15" t="s">
        <v>4788</v>
      </c>
      <c r="C461" s="15" t="s">
        <v>4789</v>
      </c>
      <c r="D461" s="15" t="s">
        <v>4790</v>
      </c>
      <c r="E461" s="15" t="s">
        <v>4791</v>
      </c>
      <c r="F461" s="15" t="s">
        <v>4792</v>
      </c>
      <c r="G461" s="15" t="s">
        <v>4793</v>
      </c>
      <c r="H461" s="15" t="s">
        <v>4794</v>
      </c>
      <c r="I461" s="15" t="s">
        <v>148</v>
      </c>
      <c r="J461" s="15" t="s">
        <v>1341</v>
      </c>
      <c r="K461" s="15" t="s">
        <v>70</v>
      </c>
      <c r="L461" s="15" t="s">
        <v>1407</v>
      </c>
      <c r="M461" s="15" t="s">
        <v>4795</v>
      </c>
      <c r="N461" s="15" t="s">
        <v>73</v>
      </c>
      <c r="O461" s="16" t="n">
        <v>0</v>
      </c>
      <c r="P461" s="16" t="n">
        <v>0</v>
      </c>
      <c r="Q461" s="16" t="n">
        <v>0</v>
      </c>
      <c r="R461" s="16" t="n">
        <v>0</v>
      </c>
      <c r="S461" s="16" t="n">
        <v>0</v>
      </c>
      <c r="T461" s="17" t="n">
        <f aca="false">AVERAGE(O461:Q461)</f>
        <v>0</v>
      </c>
      <c r="U461" s="18" t="str">
        <f aca="false">IF(T461&gt;=$H$3,"Eligible","Not Eligible")</f>
        <v>Not Eligible</v>
      </c>
      <c r="V461" s="19" t="n">
        <f aca="false">IF(T461&lt;$H$3,0,IFERROR(T461/SUMIF($T$5:$T$999,"&gt;="&amp;$H$3),0))</f>
        <v>0</v>
      </c>
      <c r="W461" s="15" t="str">
        <f aca="false">IF(T461=0,"Win-Back","Active")</f>
        <v>Win-Back</v>
      </c>
      <c r="X461" s="20" t="n">
        <f aca="false">IF(T461=0,0,IF(T461&gt;=$H$3,ROUND(T461*$D$3/SUMIF($T$5:$T$999,"&gt;="&amp;$H$3),0),ROUNDUP(T461*$D$3/SUMIF($T$5:$T$999,"&gt;="&amp;$H$3),0)))</f>
        <v>0</v>
      </c>
      <c r="Y461" s="21"/>
      <c r="Z461" s="16" t="str">
        <f aca="false">IF(X461=0,"",X461-Y461)</f>
        <v/>
      </c>
      <c r="AA461" s="22" t="str">
        <f aca="false">IFERROR(Y461/X461,"")</f>
        <v/>
      </c>
      <c r="AB461" s="16" t="n">
        <v>0</v>
      </c>
      <c r="AC461" s="21"/>
    </row>
    <row r="462" customFormat="false" ht="15" hidden="false" customHeight="true" outlineLevel="0" collapsed="false">
      <c r="A462" s="15" t="s">
        <v>4796</v>
      </c>
      <c r="B462" s="15" t="s">
        <v>4797</v>
      </c>
      <c r="C462" s="15" t="s">
        <v>4798</v>
      </c>
      <c r="D462" s="15" t="s">
        <v>4799</v>
      </c>
      <c r="E462" s="15" t="s">
        <v>4800</v>
      </c>
      <c r="F462" s="15" t="s">
        <v>4801</v>
      </c>
      <c r="G462" s="15" t="s">
        <v>4802</v>
      </c>
      <c r="H462" s="15" t="s">
        <v>4803</v>
      </c>
      <c r="I462" s="15"/>
      <c r="J462" s="15" t="s">
        <v>4804</v>
      </c>
      <c r="K462" s="15" t="s">
        <v>1139</v>
      </c>
      <c r="L462" s="15" t="s">
        <v>4805</v>
      </c>
      <c r="M462" s="15" t="s">
        <v>4806</v>
      </c>
      <c r="N462" s="15" t="s">
        <v>73</v>
      </c>
      <c r="O462" s="16" t="n">
        <v>0</v>
      </c>
      <c r="P462" s="16" t="n">
        <v>0</v>
      </c>
      <c r="Q462" s="16" t="n">
        <v>0</v>
      </c>
      <c r="R462" s="16" t="n">
        <v>0</v>
      </c>
      <c r="S462" s="16" t="n">
        <v>0</v>
      </c>
      <c r="T462" s="17" t="n">
        <f aca="false">AVERAGE(O462:Q462)</f>
        <v>0</v>
      </c>
      <c r="U462" s="18" t="str">
        <f aca="false">IF(T462&gt;=$H$3,"Eligible","Not Eligible")</f>
        <v>Not Eligible</v>
      </c>
      <c r="V462" s="19" t="n">
        <f aca="false">IF(T462&lt;$H$3,0,IFERROR(T462/SUMIF($T$5:$T$999,"&gt;="&amp;$H$3),0))</f>
        <v>0</v>
      </c>
      <c r="W462" s="15" t="str">
        <f aca="false">IF(T462=0,"Win-Back","Active")</f>
        <v>Win-Back</v>
      </c>
      <c r="X462" s="20" t="n">
        <f aca="false">IF(T462=0,0,IF(T462&gt;=$H$3,ROUND(T462*$D$3/SUMIF($T$5:$T$999,"&gt;="&amp;$H$3),0),ROUNDUP(T462*$D$3/SUMIF($T$5:$T$999,"&gt;="&amp;$H$3),0)))</f>
        <v>0</v>
      </c>
      <c r="Y462" s="21"/>
      <c r="Z462" s="16" t="str">
        <f aca="false">IF(X462=0,"",X462-Y462)</f>
        <v/>
      </c>
      <c r="AA462" s="22" t="str">
        <f aca="false">IFERROR(Y462/X462,"")</f>
        <v/>
      </c>
      <c r="AB462" s="16" t="n">
        <v>0</v>
      </c>
      <c r="AC462" s="21"/>
    </row>
    <row r="463" customFormat="false" ht="15" hidden="false" customHeight="true" outlineLevel="0" collapsed="false">
      <c r="A463" s="15" t="s">
        <v>4807</v>
      </c>
      <c r="B463" s="15" t="s">
        <v>4808</v>
      </c>
      <c r="C463" s="15" t="s">
        <v>4809</v>
      </c>
      <c r="D463" s="15" t="s">
        <v>4810</v>
      </c>
      <c r="E463" s="15" t="s">
        <v>4811</v>
      </c>
      <c r="F463" s="15" t="s">
        <v>4812</v>
      </c>
      <c r="G463" s="15" t="s">
        <v>4813</v>
      </c>
      <c r="H463" s="15" t="s">
        <v>4814</v>
      </c>
      <c r="I463" s="15"/>
      <c r="J463" s="15" t="s">
        <v>4815</v>
      </c>
      <c r="K463" s="15" t="s">
        <v>1418</v>
      </c>
      <c r="L463" s="15" t="s">
        <v>4816</v>
      </c>
      <c r="M463" s="15" t="s">
        <v>4817</v>
      </c>
      <c r="N463" s="15" t="s">
        <v>73</v>
      </c>
      <c r="O463" s="16" t="n">
        <v>0</v>
      </c>
      <c r="P463" s="16" t="n">
        <v>0</v>
      </c>
      <c r="Q463" s="16" t="n">
        <v>0</v>
      </c>
      <c r="R463" s="16" t="n">
        <v>0</v>
      </c>
      <c r="S463" s="16" t="n">
        <v>0</v>
      </c>
      <c r="T463" s="17" t="n">
        <f aca="false">AVERAGE(O463:Q463)</f>
        <v>0</v>
      </c>
      <c r="U463" s="18" t="str">
        <f aca="false">IF(T463&gt;=$H$3,"Eligible","Not Eligible")</f>
        <v>Not Eligible</v>
      </c>
      <c r="V463" s="19" t="n">
        <f aca="false">IF(T463&lt;$H$3,0,IFERROR(T463/SUMIF($T$5:$T$999,"&gt;="&amp;$H$3),0))</f>
        <v>0</v>
      </c>
      <c r="W463" s="15" t="str">
        <f aca="false">IF(T463=0,"Win-Back","Active")</f>
        <v>Win-Back</v>
      </c>
      <c r="X463" s="20" t="n">
        <f aca="false">IF(T463=0,0,IF(T463&gt;=$H$3,ROUND(T463*$D$3/SUMIF($T$5:$T$999,"&gt;="&amp;$H$3),0),ROUNDUP(T463*$D$3/SUMIF($T$5:$T$999,"&gt;="&amp;$H$3),0)))</f>
        <v>0</v>
      </c>
      <c r="Y463" s="21" t="n">
        <v>1</v>
      </c>
      <c r="Z463" s="16" t="str">
        <f aca="false">IF(X463=0,"",X463-Y463)</f>
        <v/>
      </c>
      <c r="AA463" s="22" t="str">
        <f aca="false">IFERROR(Y463/X463,"")</f>
        <v/>
      </c>
      <c r="AB463" s="16" t="n">
        <v>0</v>
      </c>
      <c r="AC463" s="21"/>
    </row>
    <row r="464" customFormat="false" ht="15" hidden="false" customHeight="true" outlineLevel="0" collapsed="false">
      <c r="A464" s="15" t="s">
        <v>4818</v>
      </c>
      <c r="B464" s="15" t="s">
        <v>4819</v>
      </c>
      <c r="C464" s="15" t="s">
        <v>4820</v>
      </c>
      <c r="D464" s="15" t="s">
        <v>4821</v>
      </c>
      <c r="E464" s="15" t="s">
        <v>4822</v>
      </c>
      <c r="F464" s="15"/>
      <c r="G464" s="15" t="s">
        <v>4823</v>
      </c>
      <c r="H464" s="15" t="s">
        <v>4824</v>
      </c>
      <c r="I464" s="15"/>
      <c r="J464" s="15" t="s">
        <v>2195</v>
      </c>
      <c r="K464" s="15" t="s">
        <v>47</v>
      </c>
      <c r="L464" s="15" t="s">
        <v>2196</v>
      </c>
      <c r="M464" s="15" t="s">
        <v>4825</v>
      </c>
      <c r="N464" s="15" t="s">
        <v>73</v>
      </c>
      <c r="O464" s="16" t="n">
        <v>0</v>
      </c>
      <c r="P464" s="16" t="n">
        <v>0</v>
      </c>
      <c r="Q464" s="16" t="n">
        <v>0</v>
      </c>
      <c r="R464" s="16" t="n">
        <v>0</v>
      </c>
      <c r="S464" s="16" t="n">
        <v>0</v>
      </c>
      <c r="T464" s="17" t="n">
        <f aca="false">AVERAGE(O464:Q464)</f>
        <v>0</v>
      </c>
      <c r="U464" s="18" t="str">
        <f aca="false">IF(T464&gt;=$H$3,"Eligible","Not Eligible")</f>
        <v>Not Eligible</v>
      </c>
      <c r="V464" s="19" t="n">
        <f aca="false">IF(T464&lt;$H$3,0,IFERROR(T464/SUMIF($T$5:$T$999,"&gt;="&amp;$H$3),0))</f>
        <v>0</v>
      </c>
      <c r="W464" s="15" t="str">
        <f aca="false">IF(T464=0,"Win-Back","Active")</f>
        <v>Win-Back</v>
      </c>
      <c r="X464" s="20" t="n">
        <f aca="false">IF(T464=0,0,IF(T464&gt;=$H$3,ROUND(T464*$D$3/SUMIF($T$5:$T$999,"&gt;="&amp;$H$3),0),ROUNDUP(T464*$D$3/SUMIF($T$5:$T$999,"&gt;="&amp;$H$3),0)))</f>
        <v>0</v>
      </c>
      <c r="Y464" s="21"/>
      <c r="Z464" s="16" t="str">
        <f aca="false">IF(X464=0,"",X464-Y464)</f>
        <v/>
      </c>
      <c r="AA464" s="22" t="str">
        <f aca="false">IFERROR(Y464/X464,"")</f>
        <v/>
      </c>
      <c r="AB464" s="16" t="n">
        <v>0</v>
      </c>
      <c r="AC464" s="21"/>
    </row>
    <row r="465" customFormat="false" ht="15" hidden="false" customHeight="true" outlineLevel="0" collapsed="false">
      <c r="A465" s="15" t="s">
        <v>4826</v>
      </c>
      <c r="B465" s="15" t="s">
        <v>4827</v>
      </c>
      <c r="C465" s="15" t="s">
        <v>4828</v>
      </c>
      <c r="D465" s="15" t="s">
        <v>4829</v>
      </c>
      <c r="E465" s="15" t="s">
        <v>4830</v>
      </c>
      <c r="F465" s="15"/>
      <c r="G465" s="15" t="s">
        <v>4831</v>
      </c>
      <c r="H465" s="15" t="s">
        <v>4832</v>
      </c>
      <c r="I465" s="15"/>
      <c r="J465" s="15" t="s">
        <v>4833</v>
      </c>
      <c r="K465" s="15" t="s">
        <v>735</v>
      </c>
      <c r="L465" s="15" t="s">
        <v>4834</v>
      </c>
      <c r="M465" s="15" t="s">
        <v>4835</v>
      </c>
      <c r="N465" s="15" t="s">
        <v>73</v>
      </c>
      <c r="O465" s="16" t="n">
        <v>0</v>
      </c>
      <c r="P465" s="16" t="n">
        <v>0</v>
      </c>
      <c r="Q465" s="16" t="n">
        <v>0</v>
      </c>
      <c r="R465" s="16" t="n">
        <v>0</v>
      </c>
      <c r="S465" s="16" t="n">
        <v>0</v>
      </c>
      <c r="T465" s="17" t="n">
        <f aca="false">AVERAGE(O465:Q465)</f>
        <v>0</v>
      </c>
      <c r="U465" s="18" t="str">
        <f aca="false">IF(T465&gt;=$H$3,"Eligible","Not Eligible")</f>
        <v>Not Eligible</v>
      </c>
      <c r="V465" s="19" t="n">
        <f aca="false">IF(T465&lt;$H$3,0,IFERROR(T465/SUMIF($T$5:$T$999,"&gt;="&amp;$H$3),0))</f>
        <v>0</v>
      </c>
      <c r="W465" s="15" t="str">
        <f aca="false">IF(T465=0,"Win-Back","Active")</f>
        <v>Win-Back</v>
      </c>
      <c r="X465" s="20" t="n">
        <f aca="false">IF(T465=0,0,IF(T465&gt;=$H$3,ROUND(T465*$D$3/SUMIF($T$5:$T$999,"&gt;="&amp;$H$3),0),ROUNDUP(T465*$D$3/SUMIF($T$5:$T$999,"&gt;="&amp;$H$3),0)))</f>
        <v>0</v>
      </c>
      <c r="Y465" s="21"/>
      <c r="Z465" s="16" t="str">
        <f aca="false">IF(X465=0,"",X465-Y465)</f>
        <v/>
      </c>
      <c r="AA465" s="22" t="str">
        <f aca="false">IFERROR(Y465/X465,"")</f>
        <v/>
      </c>
      <c r="AB465" s="16" t="n">
        <v>0</v>
      </c>
      <c r="AC465" s="21"/>
    </row>
    <row r="466" customFormat="false" ht="15" hidden="false" customHeight="true" outlineLevel="0" collapsed="false">
      <c r="A466" s="15"/>
      <c r="B466" s="15"/>
      <c r="C466" s="15" t="s">
        <v>4836</v>
      </c>
      <c r="D466" s="15" t="s">
        <v>4837</v>
      </c>
      <c r="E466" s="15" t="s">
        <v>4838</v>
      </c>
      <c r="F466" s="15" t="s">
        <v>4839</v>
      </c>
      <c r="G466" s="15" t="s">
        <v>4840</v>
      </c>
      <c r="H466" s="15" t="s">
        <v>4841</v>
      </c>
      <c r="I466" s="15"/>
      <c r="J466" s="15" t="s">
        <v>4842</v>
      </c>
      <c r="K466" s="15" t="s">
        <v>70</v>
      </c>
      <c r="L466" s="15" t="s">
        <v>4843</v>
      </c>
      <c r="M466" s="15" t="s">
        <v>4844</v>
      </c>
      <c r="N466" s="15" t="s">
        <v>73</v>
      </c>
      <c r="O466" s="16" t="n">
        <v>0</v>
      </c>
      <c r="P466" s="16" t="n">
        <v>0</v>
      </c>
      <c r="Q466" s="16" t="n">
        <v>0</v>
      </c>
      <c r="R466" s="16" t="n">
        <v>0</v>
      </c>
      <c r="S466" s="16" t="n">
        <v>0</v>
      </c>
      <c r="T466" s="17" t="n">
        <f aca="false">AVERAGE(O466:Q466)</f>
        <v>0</v>
      </c>
      <c r="U466" s="18" t="str">
        <f aca="false">IF(T466&gt;=$H$3,"Eligible","Not Eligible")</f>
        <v>Not Eligible</v>
      </c>
      <c r="V466" s="19" t="n">
        <f aca="false">IF(T466&lt;$H$3,0,IFERROR(T466/SUMIF($T$5:$T$999,"&gt;="&amp;$H$3),0))</f>
        <v>0</v>
      </c>
      <c r="W466" s="15" t="str">
        <f aca="false">IF(T466=0,"Win-Back","Active")</f>
        <v>Win-Back</v>
      </c>
      <c r="X466" s="20" t="n">
        <f aca="false">IF(T466=0,0,IF(T466&gt;=$H$3,ROUND(T466*$D$3/SUMIF($T$5:$T$999,"&gt;="&amp;$H$3),0),ROUNDUP(T466*$D$3/SUMIF($T$5:$T$999,"&gt;="&amp;$H$3),0)))</f>
        <v>0</v>
      </c>
      <c r="Y466" s="21"/>
      <c r="Z466" s="16" t="str">
        <f aca="false">IF(X466=0,"",X466-Y466)</f>
        <v/>
      </c>
      <c r="AA466" s="22" t="str">
        <f aca="false">IFERROR(Y466/X466,"")</f>
        <v/>
      </c>
      <c r="AB466" s="16" t="n">
        <v>0</v>
      </c>
      <c r="AC466" s="21"/>
    </row>
    <row r="467" customFormat="false" ht="15" hidden="false" customHeight="true" outlineLevel="0" collapsed="false">
      <c r="A467" s="15" t="s">
        <v>4845</v>
      </c>
      <c r="B467" s="15" t="s">
        <v>4846</v>
      </c>
      <c r="C467" s="15" t="s">
        <v>4847</v>
      </c>
      <c r="D467" s="15" t="s">
        <v>4848</v>
      </c>
      <c r="E467" s="15" t="s">
        <v>4849</v>
      </c>
      <c r="F467" s="15" t="s">
        <v>4850</v>
      </c>
      <c r="G467" s="15" t="s">
        <v>4851</v>
      </c>
      <c r="H467" s="15" t="s">
        <v>4852</v>
      </c>
      <c r="I467" s="15" t="s">
        <v>2049</v>
      </c>
      <c r="J467" s="15" t="s">
        <v>286</v>
      </c>
      <c r="K467" s="15" t="s">
        <v>70</v>
      </c>
      <c r="L467" s="15" t="s">
        <v>4853</v>
      </c>
      <c r="M467" s="15" t="s">
        <v>4854</v>
      </c>
      <c r="N467" s="15" t="s">
        <v>73</v>
      </c>
      <c r="O467" s="16" t="n">
        <v>0</v>
      </c>
      <c r="P467" s="16" t="n">
        <v>0</v>
      </c>
      <c r="Q467" s="16" t="n">
        <v>0</v>
      </c>
      <c r="R467" s="16" t="n">
        <v>0</v>
      </c>
      <c r="S467" s="16" t="n">
        <v>0</v>
      </c>
      <c r="T467" s="17" t="n">
        <f aca="false">AVERAGE(O467:Q467)</f>
        <v>0</v>
      </c>
      <c r="U467" s="18" t="str">
        <f aca="false">IF(T467&gt;=$H$3,"Eligible","Not Eligible")</f>
        <v>Not Eligible</v>
      </c>
      <c r="V467" s="19" t="n">
        <f aca="false">IF(T467&lt;$H$3,0,IFERROR(T467/SUMIF($T$5:$T$999,"&gt;="&amp;$H$3),0))</f>
        <v>0</v>
      </c>
      <c r="W467" s="15" t="str">
        <f aca="false">IF(T467=0,"Win-Back","Active")</f>
        <v>Win-Back</v>
      </c>
      <c r="X467" s="20" t="n">
        <f aca="false">IF(T467=0,0,IF(T467&gt;=$H$3,ROUND(T467*$D$3/SUMIF($T$5:$T$999,"&gt;="&amp;$H$3),0),ROUNDUP(T467*$D$3/SUMIF($T$5:$T$999,"&gt;="&amp;$H$3),0)))</f>
        <v>0</v>
      </c>
      <c r="Y467" s="21"/>
      <c r="Z467" s="16" t="str">
        <f aca="false">IF(X467=0,"",X467-Y467)</f>
        <v/>
      </c>
      <c r="AA467" s="22" t="str">
        <f aca="false">IFERROR(Y467/X467,"")</f>
        <v/>
      </c>
      <c r="AB467" s="16" t="n">
        <v>0</v>
      </c>
      <c r="AC467" s="21"/>
    </row>
    <row r="468" customFormat="false" ht="15" hidden="false" customHeight="true" outlineLevel="0" collapsed="false">
      <c r="A468" s="15" t="s">
        <v>4855</v>
      </c>
      <c r="B468" s="15" t="s">
        <v>4856</v>
      </c>
      <c r="C468" s="15" t="s">
        <v>4857</v>
      </c>
      <c r="D468" s="15" t="s">
        <v>4858</v>
      </c>
      <c r="E468" s="15" t="s">
        <v>4859</v>
      </c>
      <c r="F468" s="15" t="s">
        <v>4860</v>
      </c>
      <c r="G468" s="15" t="s">
        <v>4861</v>
      </c>
      <c r="H468" s="15" t="s">
        <v>4862</v>
      </c>
      <c r="I468" s="15"/>
      <c r="J468" s="15" t="s">
        <v>4863</v>
      </c>
      <c r="K468" s="15" t="s">
        <v>735</v>
      </c>
      <c r="L468" s="15" t="s">
        <v>4864</v>
      </c>
      <c r="M468" s="15" t="s">
        <v>4865</v>
      </c>
      <c r="N468" s="15" t="s">
        <v>73</v>
      </c>
      <c r="O468" s="16" t="n">
        <v>0</v>
      </c>
      <c r="P468" s="16" t="n">
        <v>0</v>
      </c>
      <c r="Q468" s="16" t="n">
        <v>0</v>
      </c>
      <c r="R468" s="16" t="n">
        <v>0</v>
      </c>
      <c r="S468" s="16" t="n">
        <v>0</v>
      </c>
      <c r="T468" s="17" t="n">
        <f aca="false">AVERAGE(O468:Q468)</f>
        <v>0</v>
      </c>
      <c r="U468" s="18" t="str">
        <f aca="false">IF(T468&gt;=$H$3,"Eligible","Not Eligible")</f>
        <v>Not Eligible</v>
      </c>
      <c r="V468" s="19" t="n">
        <f aca="false">IF(T468&lt;$H$3,0,IFERROR(T468/SUMIF($T$5:$T$999,"&gt;="&amp;$H$3),0))</f>
        <v>0</v>
      </c>
      <c r="W468" s="15" t="str">
        <f aca="false">IF(T468=0,"Win-Back","Active")</f>
        <v>Win-Back</v>
      </c>
      <c r="X468" s="20" t="n">
        <f aca="false">IF(T468=0,0,IF(T468&gt;=$H$3,ROUND(T468*$D$3/SUMIF($T$5:$T$999,"&gt;="&amp;$H$3),0),ROUNDUP(T468*$D$3/SUMIF($T$5:$T$999,"&gt;="&amp;$H$3),0)))</f>
        <v>0</v>
      </c>
      <c r="Y468" s="21"/>
      <c r="Z468" s="16" t="str">
        <f aca="false">IF(X468=0,"",X468-Y468)</f>
        <v/>
      </c>
      <c r="AA468" s="22" t="str">
        <f aca="false">IFERROR(Y468/X468,"")</f>
        <v/>
      </c>
      <c r="AB468" s="16" t="n">
        <v>0</v>
      </c>
      <c r="AC468" s="21"/>
    </row>
    <row r="469" customFormat="false" ht="15" hidden="false" customHeight="true" outlineLevel="0" collapsed="false">
      <c r="A469" s="15" t="s">
        <v>4866</v>
      </c>
      <c r="B469" s="15" t="s">
        <v>4867</v>
      </c>
      <c r="C469" s="15" t="s">
        <v>4868</v>
      </c>
      <c r="D469" s="15" t="s">
        <v>4869</v>
      </c>
      <c r="E469" s="15" t="s">
        <v>4870</v>
      </c>
      <c r="F469" s="15" t="s">
        <v>4871</v>
      </c>
      <c r="G469" s="15" t="s">
        <v>4872</v>
      </c>
      <c r="H469" s="15" t="s">
        <v>4873</v>
      </c>
      <c r="I469" s="15"/>
      <c r="J469" s="15" t="s">
        <v>492</v>
      </c>
      <c r="K469" s="15" t="s">
        <v>493</v>
      </c>
      <c r="L469" s="15" t="s">
        <v>4874</v>
      </c>
      <c r="M469" s="15" t="s">
        <v>4875</v>
      </c>
      <c r="N469" s="15" t="s">
        <v>73</v>
      </c>
      <c r="O469" s="16" t="n">
        <v>0</v>
      </c>
      <c r="P469" s="16" t="n">
        <v>0</v>
      </c>
      <c r="Q469" s="16" t="n">
        <v>0</v>
      </c>
      <c r="R469" s="16" t="n">
        <v>0</v>
      </c>
      <c r="S469" s="16" t="n">
        <v>0</v>
      </c>
      <c r="T469" s="17" t="n">
        <f aca="false">AVERAGE(O469:Q469)</f>
        <v>0</v>
      </c>
      <c r="U469" s="18" t="str">
        <f aca="false">IF(T469&gt;=$H$3,"Eligible","Not Eligible")</f>
        <v>Not Eligible</v>
      </c>
      <c r="V469" s="19" t="n">
        <f aca="false">IF(T469&lt;$H$3,0,IFERROR(T469/SUMIF($T$5:$T$999,"&gt;="&amp;$H$3),0))</f>
        <v>0</v>
      </c>
      <c r="W469" s="15" t="str">
        <f aca="false">IF(T469=0,"Win-Back","Active")</f>
        <v>Win-Back</v>
      </c>
      <c r="X469" s="20" t="n">
        <f aca="false">IF(T469=0,0,IF(T469&gt;=$H$3,ROUND(T469*$D$3/SUMIF($T$5:$T$999,"&gt;="&amp;$H$3),0),ROUNDUP(T469*$D$3/SUMIF($T$5:$T$999,"&gt;="&amp;$H$3),0)))</f>
        <v>0</v>
      </c>
      <c r="Y469" s="21"/>
      <c r="Z469" s="16" t="str">
        <f aca="false">IF(X469=0,"",X469-Y469)</f>
        <v/>
      </c>
      <c r="AA469" s="22" t="str">
        <f aca="false">IFERROR(Y469/X469,"")</f>
        <v/>
      </c>
      <c r="AB469" s="16" t="n">
        <v>0</v>
      </c>
      <c r="AC469" s="21"/>
    </row>
    <row r="470" customFormat="false" ht="15" hidden="false" customHeight="true" outlineLevel="0" collapsed="false">
      <c r="A470" s="15" t="s">
        <v>4876</v>
      </c>
      <c r="B470" s="15" t="s">
        <v>4877</v>
      </c>
      <c r="C470" s="15" t="s">
        <v>4878</v>
      </c>
      <c r="D470" s="15" t="s">
        <v>4879</v>
      </c>
      <c r="E470" s="15" t="s">
        <v>4880</v>
      </c>
      <c r="F470" s="15" t="s">
        <v>4881</v>
      </c>
      <c r="G470" s="15" t="s">
        <v>4882</v>
      </c>
      <c r="H470" s="15" t="s">
        <v>4883</v>
      </c>
      <c r="I470" s="15"/>
      <c r="J470" s="15" t="s">
        <v>4884</v>
      </c>
      <c r="K470" s="15" t="s">
        <v>47</v>
      </c>
      <c r="L470" s="15" t="s">
        <v>4885</v>
      </c>
      <c r="M470" s="15" t="s">
        <v>4886</v>
      </c>
      <c r="N470" s="15" t="s">
        <v>73</v>
      </c>
      <c r="O470" s="16" t="n">
        <v>0</v>
      </c>
      <c r="P470" s="16" t="n">
        <v>0</v>
      </c>
      <c r="Q470" s="16" t="n">
        <v>0</v>
      </c>
      <c r="R470" s="16" t="n">
        <v>0</v>
      </c>
      <c r="S470" s="16" t="n">
        <v>0</v>
      </c>
      <c r="T470" s="17" t="n">
        <f aca="false">AVERAGE(O470:Q470)</f>
        <v>0</v>
      </c>
      <c r="U470" s="18" t="str">
        <f aca="false">IF(T470&gt;=$H$3,"Eligible","Not Eligible")</f>
        <v>Not Eligible</v>
      </c>
      <c r="V470" s="19" t="n">
        <f aca="false">IF(T470&lt;$H$3,0,IFERROR(T470/SUMIF($T$5:$T$999,"&gt;="&amp;$H$3),0))</f>
        <v>0</v>
      </c>
      <c r="W470" s="15" t="str">
        <f aca="false">IF(T470=0,"Win-Back","Active")</f>
        <v>Win-Back</v>
      </c>
      <c r="X470" s="20" t="n">
        <f aca="false">IF(T470=0,0,IF(T470&gt;=$H$3,ROUND(T470*$D$3/SUMIF($T$5:$T$999,"&gt;="&amp;$H$3),0),ROUNDUP(T470*$D$3/SUMIF($T$5:$T$999,"&gt;="&amp;$H$3),0)))</f>
        <v>0</v>
      </c>
      <c r="Y470" s="21"/>
      <c r="Z470" s="16" t="str">
        <f aca="false">IF(X470=0,"",X470-Y470)</f>
        <v/>
      </c>
      <c r="AA470" s="22" t="str">
        <f aca="false">IFERROR(Y470/X470,"")</f>
        <v/>
      </c>
      <c r="AB470" s="16" t="n">
        <v>0</v>
      </c>
      <c r="AC470" s="21"/>
    </row>
    <row r="471" customFormat="false" ht="15" hidden="false" customHeight="true" outlineLevel="0" collapsed="false">
      <c r="A471" s="15"/>
      <c r="B471" s="15"/>
      <c r="C471" s="15" t="s">
        <v>4887</v>
      </c>
      <c r="D471" s="15" t="s">
        <v>4888</v>
      </c>
      <c r="E471" s="15" t="s">
        <v>4889</v>
      </c>
      <c r="F471" s="15"/>
      <c r="G471" s="15"/>
      <c r="H471" s="15" t="s">
        <v>4890</v>
      </c>
      <c r="I471" s="15"/>
      <c r="J471" s="15" t="s">
        <v>4891</v>
      </c>
      <c r="K471" s="15" t="s">
        <v>4892</v>
      </c>
      <c r="L471" s="15" t="s">
        <v>4893</v>
      </c>
      <c r="M471" s="15" t="s">
        <v>4617</v>
      </c>
      <c r="N471" s="15" t="s">
        <v>73</v>
      </c>
      <c r="O471" s="16" t="n">
        <v>0</v>
      </c>
      <c r="P471" s="16" t="n">
        <v>0</v>
      </c>
      <c r="Q471" s="16" t="n">
        <v>0</v>
      </c>
      <c r="R471" s="16" t="n">
        <v>0</v>
      </c>
      <c r="S471" s="16" t="n">
        <v>0</v>
      </c>
      <c r="T471" s="17" t="n">
        <f aca="false">AVERAGE(O471:Q471)</f>
        <v>0</v>
      </c>
      <c r="U471" s="18" t="str">
        <f aca="false">IF(T471&gt;=$H$3,"Eligible","Not Eligible")</f>
        <v>Not Eligible</v>
      </c>
      <c r="V471" s="19" t="n">
        <f aca="false">IF(T471&lt;$H$3,0,IFERROR(T471/SUMIF($T$5:$T$999,"&gt;="&amp;$H$3),0))</f>
        <v>0</v>
      </c>
      <c r="W471" s="15" t="str">
        <f aca="false">IF(T471=0,"Win-Back","Active")</f>
        <v>Win-Back</v>
      </c>
      <c r="X471" s="20" t="n">
        <f aca="false">IF(T471=0,0,IF(T471&gt;=$H$3,ROUND(T471*$D$3/SUMIF($T$5:$T$999,"&gt;="&amp;$H$3),0),ROUNDUP(T471*$D$3/SUMIF($T$5:$T$999,"&gt;="&amp;$H$3),0)))</f>
        <v>0</v>
      </c>
      <c r="Y471" s="21"/>
      <c r="Z471" s="16" t="str">
        <f aca="false">IF(X471=0,"",X471-Y471)</f>
        <v/>
      </c>
      <c r="AA471" s="22" t="str">
        <f aca="false">IFERROR(Y471/X471,"")</f>
        <v/>
      </c>
      <c r="AB471" s="16" t="n">
        <v>0</v>
      </c>
      <c r="AC471" s="21"/>
    </row>
    <row r="472" customFormat="false" ht="15" hidden="false" customHeight="true" outlineLevel="0" collapsed="false">
      <c r="A472" s="15" t="s">
        <v>4894</v>
      </c>
      <c r="B472" s="15" t="s">
        <v>4895</v>
      </c>
      <c r="C472" s="15" t="s">
        <v>4896</v>
      </c>
      <c r="D472" s="15" t="s">
        <v>4897</v>
      </c>
      <c r="E472" s="15" t="s">
        <v>4898</v>
      </c>
      <c r="F472" s="15" t="s">
        <v>4899</v>
      </c>
      <c r="G472" s="15" t="s">
        <v>4900</v>
      </c>
      <c r="H472" s="15" t="s">
        <v>4901</v>
      </c>
      <c r="I472" s="15"/>
      <c r="J472" s="15" t="s">
        <v>4902</v>
      </c>
      <c r="K472" s="15" t="s">
        <v>1200</v>
      </c>
      <c r="L472" s="15" t="s">
        <v>4903</v>
      </c>
      <c r="M472" s="15" t="s">
        <v>4904</v>
      </c>
      <c r="N472" s="15" t="s">
        <v>73</v>
      </c>
      <c r="O472" s="16" t="n">
        <v>0</v>
      </c>
      <c r="P472" s="16" t="n">
        <v>0</v>
      </c>
      <c r="Q472" s="16" t="n">
        <v>0</v>
      </c>
      <c r="R472" s="16" t="n">
        <v>0</v>
      </c>
      <c r="S472" s="16" t="n">
        <v>0</v>
      </c>
      <c r="T472" s="17" t="n">
        <f aca="false">AVERAGE(O472:Q472)</f>
        <v>0</v>
      </c>
      <c r="U472" s="18" t="str">
        <f aca="false">IF(T472&gt;=$H$3,"Eligible","Not Eligible")</f>
        <v>Not Eligible</v>
      </c>
      <c r="V472" s="19" t="n">
        <f aca="false">IF(T472&lt;$H$3,0,IFERROR(T472/SUMIF($T$5:$T$999,"&gt;="&amp;$H$3),0))</f>
        <v>0</v>
      </c>
      <c r="W472" s="15" t="str">
        <f aca="false">IF(T472=0,"Win-Back","Active")</f>
        <v>Win-Back</v>
      </c>
      <c r="X472" s="20" t="n">
        <f aca="false">IF(T472=0,0,IF(T472&gt;=$H$3,ROUND(T472*$D$3/SUMIF($T$5:$T$999,"&gt;="&amp;$H$3),0),ROUNDUP(T472*$D$3/SUMIF($T$5:$T$999,"&gt;="&amp;$H$3),0)))</f>
        <v>0</v>
      </c>
      <c r="Y472" s="21" t="n">
        <v>1</v>
      </c>
      <c r="Z472" s="16" t="str">
        <f aca="false">IF(X472=0,"",X472-Y472)</f>
        <v/>
      </c>
      <c r="AA472" s="22" t="str">
        <f aca="false">IFERROR(Y472/X472,"")</f>
        <v/>
      </c>
      <c r="AB472" s="16" t="n">
        <v>0</v>
      </c>
      <c r="AC472" s="21"/>
    </row>
    <row r="473" customFormat="false" ht="15" hidden="false" customHeight="true" outlineLevel="0" collapsed="false">
      <c r="A473" s="15" t="s">
        <v>4905</v>
      </c>
      <c r="B473" s="15" t="s">
        <v>4906</v>
      </c>
      <c r="C473" s="15" t="s">
        <v>4907</v>
      </c>
      <c r="D473" s="15" t="s">
        <v>4908</v>
      </c>
      <c r="E473" s="15" t="s">
        <v>4909</v>
      </c>
      <c r="F473" s="15" t="s">
        <v>4910</v>
      </c>
      <c r="G473" s="15" t="s">
        <v>4911</v>
      </c>
      <c r="H473" s="15" t="s">
        <v>4912</v>
      </c>
      <c r="I473" s="15" t="s">
        <v>68</v>
      </c>
      <c r="J473" s="15" t="s">
        <v>2367</v>
      </c>
      <c r="K473" s="15" t="s">
        <v>368</v>
      </c>
      <c r="L473" s="15" t="s">
        <v>2368</v>
      </c>
      <c r="M473" s="15" t="s">
        <v>4913</v>
      </c>
      <c r="N473" s="15" t="s">
        <v>73</v>
      </c>
      <c r="O473" s="16" t="n">
        <v>0</v>
      </c>
      <c r="P473" s="16" t="n">
        <v>0</v>
      </c>
      <c r="Q473" s="16" t="n">
        <v>0</v>
      </c>
      <c r="R473" s="16" t="n">
        <v>0</v>
      </c>
      <c r="S473" s="16" t="n">
        <v>0</v>
      </c>
      <c r="T473" s="17" t="n">
        <f aca="false">AVERAGE(O473:Q473)</f>
        <v>0</v>
      </c>
      <c r="U473" s="18" t="str">
        <f aca="false">IF(T473&gt;=$H$3,"Eligible","Not Eligible")</f>
        <v>Not Eligible</v>
      </c>
      <c r="V473" s="19" t="n">
        <f aca="false">IF(T473&lt;$H$3,0,IFERROR(T473/SUMIF($T$5:$T$999,"&gt;="&amp;$H$3),0))</f>
        <v>0</v>
      </c>
      <c r="W473" s="15" t="str">
        <f aca="false">IF(T473=0,"Win-Back","Active")</f>
        <v>Win-Back</v>
      </c>
      <c r="X473" s="20" t="n">
        <f aca="false">IF(T473=0,0,IF(T473&gt;=$H$3,ROUND(T473*$D$3/SUMIF($T$5:$T$999,"&gt;="&amp;$H$3),0),ROUNDUP(T473*$D$3/SUMIF($T$5:$T$999,"&gt;="&amp;$H$3),0)))</f>
        <v>0</v>
      </c>
      <c r="Y473" s="21"/>
      <c r="Z473" s="16" t="str">
        <f aca="false">IF(X473=0,"",X473-Y473)</f>
        <v/>
      </c>
      <c r="AA473" s="22" t="str">
        <f aca="false">IFERROR(Y473/X473,"")</f>
        <v/>
      </c>
      <c r="AB473" s="16" t="n">
        <v>0</v>
      </c>
      <c r="AC473" s="21"/>
    </row>
    <row r="474" customFormat="false" ht="15" hidden="false" customHeight="true" outlineLevel="0" collapsed="false">
      <c r="A474" s="15" t="s">
        <v>4914</v>
      </c>
      <c r="B474" s="15" t="s">
        <v>4915</v>
      </c>
      <c r="C474" s="15" t="s">
        <v>4916</v>
      </c>
      <c r="D474" s="15" t="s">
        <v>4917</v>
      </c>
      <c r="E474" s="15" t="s">
        <v>4918</v>
      </c>
      <c r="F474" s="15" t="s">
        <v>4919</v>
      </c>
      <c r="G474" s="15" t="s">
        <v>4920</v>
      </c>
      <c r="H474" s="15" t="s">
        <v>4921</v>
      </c>
      <c r="I474" s="15" t="s">
        <v>968</v>
      </c>
      <c r="J474" s="15" t="s">
        <v>4922</v>
      </c>
      <c r="K474" s="15" t="s">
        <v>368</v>
      </c>
      <c r="L474" s="15" t="s">
        <v>4923</v>
      </c>
      <c r="M474" s="15" t="s">
        <v>4924</v>
      </c>
      <c r="N474" s="15" t="s">
        <v>73</v>
      </c>
      <c r="O474" s="16" t="n">
        <v>0</v>
      </c>
      <c r="P474" s="16" t="n">
        <v>0</v>
      </c>
      <c r="Q474" s="16" t="n">
        <v>0</v>
      </c>
      <c r="R474" s="16" t="n">
        <v>0</v>
      </c>
      <c r="S474" s="16" t="n">
        <v>0</v>
      </c>
      <c r="T474" s="17" t="n">
        <f aca="false">AVERAGE(O474:Q474)</f>
        <v>0</v>
      </c>
      <c r="U474" s="18" t="str">
        <f aca="false">IF(T474&gt;=$H$3,"Eligible","Not Eligible")</f>
        <v>Not Eligible</v>
      </c>
      <c r="V474" s="19" t="n">
        <f aca="false">IF(T474&lt;$H$3,0,IFERROR(T474/SUMIF($T$5:$T$999,"&gt;="&amp;$H$3),0))</f>
        <v>0</v>
      </c>
      <c r="W474" s="15" t="str">
        <f aca="false">IF(T474=0,"Win-Back","Active")</f>
        <v>Win-Back</v>
      </c>
      <c r="X474" s="20" t="n">
        <f aca="false">IF(T474=0,0,IF(T474&gt;=$H$3,ROUND(T474*$D$3/SUMIF($T$5:$T$999,"&gt;="&amp;$H$3),0),ROUNDUP(T474*$D$3/SUMIF($T$5:$T$999,"&gt;="&amp;$H$3),0)))</f>
        <v>0</v>
      </c>
      <c r="Y474" s="21"/>
      <c r="Z474" s="16" t="str">
        <f aca="false">IF(X474=0,"",X474-Y474)</f>
        <v/>
      </c>
      <c r="AA474" s="22" t="str">
        <f aca="false">IFERROR(Y474/X474,"")</f>
        <v/>
      </c>
      <c r="AB474" s="16" t="n">
        <v>0</v>
      </c>
      <c r="AC474" s="21"/>
    </row>
    <row r="475" customFormat="false" ht="15" hidden="false" customHeight="true" outlineLevel="0" collapsed="false">
      <c r="A475" s="15" t="s">
        <v>4925</v>
      </c>
      <c r="B475" s="15" t="s">
        <v>4926</v>
      </c>
      <c r="C475" s="15" t="s">
        <v>4927</v>
      </c>
      <c r="D475" s="15" t="s">
        <v>4928</v>
      </c>
      <c r="E475" s="15" t="s">
        <v>4929</v>
      </c>
      <c r="F475" s="15" t="s">
        <v>4930</v>
      </c>
      <c r="G475" s="15" t="s">
        <v>4931</v>
      </c>
      <c r="H475" s="15" t="s">
        <v>4932</v>
      </c>
      <c r="I475" s="15" t="s">
        <v>4933</v>
      </c>
      <c r="J475" s="15" t="s">
        <v>2367</v>
      </c>
      <c r="K475" s="15" t="s">
        <v>368</v>
      </c>
      <c r="L475" s="15" t="s">
        <v>2368</v>
      </c>
      <c r="M475" s="15" t="s">
        <v>4934</v>
      </c>
      <c r="N475" s="15" t="s">
        <v>73</v>
      </c>
      <c r="O475" s="16" t="n">
        <v>0</v>
      </c>
      <c r="P475" s="16" t="n">
        <v>0</v>
      </c>
      <c r="Q475" s="16" t="n">
        <v>0</v>
      </c>
      <c r="R475" s="16" t="n">
        <v>0</v>
      </c>
      <c r="S475" s="16" t="n">
        <v>0</v>
      </c>
      <c r="T475" s="17" t="n">
        <f aca="false">AVERAGE(O475:Q475)</f>
        <v>0</v>
      </c>
      <c r="U475" s="18" t="str">
        <f aca="false">IF(T475&gt;=$H$3,"Eligible","Not Eligible")</f>
        <v>Not Eligible</v>
      </c>
      <c r="V475" s="19" t="n">
        <f aca="false">IF(T475&lt;$H$3,0,IFERROR(T475/SUMIF($T$5:$T$999,"&gt;="&amp;$H$3),0))</f>
        <v>0</v>
      </c>
      <c r="W475" s="15" t="str">
        <f aca="false">IF(T475=0,"Win-Back","Active")</f>
        <v>Win-Back</v>
      </c>
      <c r="X475" s="20" t="n">
        <f aca="false">IF(T475=0,0,IF(T475&gt;=$H$3,ROUND(T475*$D$3/SUMIF($T$5:$T$999,"&gt;="&amp;$H$3),0),ROUNDUP(T475*$D$3/SUMIF($T$5:$T$999,"&gt;="&amp;$H$3),0)))</f>
        <v>0</v>
      </c>
      <c r="Y475" s="21"/>
      <c r="Z475" s="16" t="str">
        <f aca="false">IF(X475=0,"",X475-Y475)</f>
        <v/>
      </c>
      <c r="AA475" s="22" t="str">
        <f aca="false">IFERROR(Y475/X475,"")</f>
        <v/>
      </c>
      <c r="AB475" s="16" t="n">
        <v>0</v>
      </c>
      <c r="AC475" s="21"/>
    </row>
    <row r="476" customFormat="false" ht="15" hidden="false" customHeight="true" outlineLevel="0" collapsed="false">
      <c r="A476" s="15" t="s">
        <v>4935</v>
      </c>
      <c r="B476" s="15" t="s">
        <v>4936</v>
      </c>
      <c r="C476" s="15" t="s">
        <v>4937</v>
      </c>
      <c r="D476" s="15" t="s">
        <v>4938</v>
      </c>
      <c r="E476" s="15" t="s">
        <v>4939</v>
      </c>
      <c r="F476" s="15" t="s">
        <v>4940</v>
      </c>
      <c r="G476" s="15" t="s">
        <v>4941</v>
      </c>
      <c r="H476" s="15" t="s">
        <v>4942</v>
      </c>
      <c r="I476" s="15"/>
      <c r="J476" s="15" t="s">
        <v>2097</v>
      </c>
      <c r="K476" s="15" t="s">
        <v>2098</v>
      </c>
      <c r="L476" s="15" t="s">
        <v>3138</v>
      </c>
      <c r="M476" s="15" t="s">
        <v>4943</v>
      </c>
      <c r="N476" s="15" t="s">
        <v>73</v>
      </c>
      <c r="O476" s="16" t="n">
        <v>0</v>
      </c>
      <c r="P476" s="16" t="n">
        <v>0</v>
      </c>
      <c r="Q476" s="16" t="n">
        <v>0</v>
      </c>
      <c r="R476" s="16" t="n">
        <v>0</v>
      </c>
      <c r="S476" s="16" t="n">
        <v>0</v>
      </c>
      <c r="T476" s="17" t="n">
        <f aca="false">AVERAGE(O476:Q476)</f>
        <v>0</v>
      </c>
      <c r="U476" s="18" t="str">
        <f aca="false">IF(T476&gt;=$H$3,"Eligible","Not Eligible")</f>
        <v>Not Eligible</v>
      </c>
      <c r="V476" s="19" t="n">
        <f aca="false">IF(T476&lt;$H$3,0,IFERROR(T476/SUMIF($T$5:$T$999,"&gt;="&amp;$H$3),0))</f>
        <v>0</v>
      </c>
      <c r="W476" s="15" t="str">
        <f aca="false">IF(T476=0,"Win-Back","Active")</f>
        <v>Win-Back</v>
      </c>
      <c r="X476" s="20" t="n">
        <f aca="false">IF(T476=0,0,IF(T476&gt;=$H$3,ROUND(T476*$D$3/SUMIF($T$5:$T$999,"&gt;="&amp;$H$3),0),ROUNDUP(T476*$D$3/SUMIF($T$5:$T$999,"&gt;="&amp;$H$3),0)))</f>
        <v>0</v>
      </c>
      <c r="Y476" s="21"/>
      <c r="Z476" s="16" t="str">
        <f aca="false">IF(X476=0,"",X476-Y476)</f>
        <v/>
      </c>
      <c r="AA476" s="22" t="str">
        <f aca="false">IFERROR(Y476/X476,"")</f>
        <v/>
      </c>
      <c r="AB476" s="16" t="n">
        <v>0</v>
      </c>
      <c r="AC476" s="21"/>
    </row>
    <row r="477" customFormat="false" ht="15" hidden="false" customHeight="true" outlineLevel="0" collapsed="false">
      <c r="A477" s="15" t="s">
        <v>4944</v>
      </c>
      <c r="B477" s="15" t="s">
        <v>4945</v>
      </c>
      <c r="C477" s="15" t="s">
        <v>4946</v>
      </c>
      <c r="D477" s="15" t="s">
        <v>4947</v>
      </c>
      <c r="E477" s="15" t="s">
        <v>4948</v>
      </c>
      <c r="F477" s="15" t="s">
        <v>4949</v>
      </c>
      <c r="G477" s="15" t="s">
        <v>4950</v>
      </c>
      <c r="H477" s="15" t="s">
        <v>4951</v>
      </c>
      <c r="I477" s="15"/>
      <c r="J477" s="15" t="s">
        <v>2367</v>
      </c>
      <c r="K477" s="15" t="s">
        <v>368</v>
      </c>
      <c r="L477" s="15" t="s">
        <v>2368</v>
      </c>
      <c r="M477" s="15" t="s">
        <v>4952</v>
      </c>
      <c r="N477" s="15" t="s">
        <v>73</v>
      </c>
      <c r="O477" s="16" t="n">
        <v>0</v>
      </c>
      <c r="P477" s="16" t="n">
        <v>0</v>
      </c>
      <c r="Q477" s="16" t="n">
        <v>0</v>
      </c>
      <c r="R477" s="16" t="n">
        <v>0</v>
      </c>
      <c r="S477" s="16" t="n">
        <v>0</v>
      </c>
      <c r="T477" s="17" t="n">
        <f aca="false">AVERAGE(O477:Q477)</f>
        <v>0</v>
      </c>
      <c r="U477" s="18" t="str">
        <f aca="false">IF(T477&gt;=$H$3,"Eligible","Not Eligible")</f>
        <v>Not Eligible</v>
      </c>
      <c r="V477" s="19" t="n">
        <f aca="false">IF(T477&lt;$H$3,0,IFERROR(T477/SUMIF($T$5:$T$999,"&gt;="&amp;$H$3),0))</f>
        <v>0</v>
      </c>
      <c r="W477" s="15" t="str">
        <f aca="false">IF(T477=0,"Win-Back","Active")</f>
        <v>Win-Back</v>
      </c>
      <c r="X477" s="20" t="n">
        <f aca="false">IF(T477=0,0,IF(T477&gt;=$H$3,ROUND(T477*$D$3/SUMIF($T$5:$T$999,"&gt;="&amp;$H$3),0),ROUNDUP(T477*$D$3/SUMIF($T$5:$T$999,"&gt;="&amp;$H$3),0)))</f>
        <v>0</v>
      </c>
      <c r="Y477" s="21"/>
      <c r="Z477" s="16" t="str">
        <f aca="false">IF(X477=0,"",X477-Y477)</f>
        <v/>
      </c>
      <c r="AA477" s="22" t="str">
        <f aca="false">IFERROR(Y477/X477,"")</f>
        <v/>
      </c>
      <c r="AB477" s="16" t="n">
        <v>0</v>
      </c>
      <c r="AC477" s="21"/>
    </row>
    <row r="478" customFormat="false" ht="15" hidden="false" customHeight="true" outlineLevel="0" collapsed="false">
      <c r="A478" s="15" t="s">
        <v>4953</v>
      </c>
      <c r="B478" s="15" t="s">
        <v>4954</v>
      </c>
      <c r="C478" s="15" t="s">
        <v>4955</v>
      </c>
      <c r="D478" s="15" t="s">
        <v>4956</v>
      </c>
      <c r="E478" s="15" t="s">
        <v>4957</v>
      </c>
      <c r="F478" s="15" t="s">
        <v>4958</v>
      </c>
      <c r="G478" s="15" t="s">
        <v>4959</v>
      </c>
      <c r="H478" s="15" t="s">
        <v>4960</v>
      </c>
      <c r="I478" s="15" t="s">
        <v>4961</v>
      </c>
      <c r="J478" s="15" t="s">
        <v>936</v>
      </c>
      <c r="K478" s="15" t="s">
        <v>2098</v>
      </c>
      <c r="L478" s="15" t="s">
        <v>4962</v>
      </c>
      <c r="M478" s="15" t="s">
        <v>4963</v>
      </c>
      <c r="N478" s="15" t="s">
        <v>73</v>
      </c>
      <c r="O478" s="16" t="n">
        <v>0</v>
      </c>
      <c r="P478" s="16" t="n">
        <v>0</v>
      </c>
      <c r="Q478" s="16" t="n">
        <v>0</v>
      </c>
      <c r="R478" s="16" t="n">
        <v>0</v>
      </c>
      <c r="S478" s="16" t="n">
        <v>0</v>
      </c>
      <c r="T478" s="17" t="n">
        <f aca="false">AVERAGE(O478:Q478)</f>
        <v>0</v>
      </c>
      <c r="U478" s="18" t="str">
        <f aca="false">IF(T478&gt;=$H$3,"Eligible","Not Eligible")</f>
        <v>Not Eligible</v>
      </c>
      <c r="V478" s="19" t="n">
        <f aca="false">IF(T478&lt;$H$3,0,IFERROR(T478/SUMIF($T$5:$T$999,"&gt;="&amp;$H$3),0))</f>
        <v>0</v>
      </c>
      <c r="W478" s="15" t="str">
        <f aca="false">IF(T478=0,"Win-Back","Active")</f>
        <v>Win-Back</v>
      </c>
      <c r="X478" s="20" t="n">
        <f aca="false">IF(T478=0,0,IF(T478&gt;=$H$3,ROUND(T478*$D$3/SUMIF($T$5:$T$999,"&gt;="&amp;$H$3),0),ROUNDUP(T478*$D$3/SUMIF($T$5:$T$999,"&gt;="&amp;$H$3),0)))</f>
        <v>0</v>
      </c>
      <c r="Y478" s="21"/>
      <c r="Z478" s="16" t="str">
        <f aca="false">IF(X478=0,"",X478-Y478)</f>
        <v/>
      </c>
      <c r="AA478" s="22" t="str">
        <f aca="false">IFERROR(Y478/X478,"")</f>
        <v/>
      </c>
      <c r="AB478" s="16" t="n">
        <v>0</v>
      </c>
      <c r="AC478" s="21"/>
    </row>
    <row r="479" customFormat="false" ht="15" hidden="false" customHeight="true" outlineLevel="0" collapsed="false">
      <c r="A479" s="15" t="s">
        <v>4964</v>
      </c>
      <c r="B479" s="15" t="s">
        <v>4965</v>
      </c>
      <c r="C479" s="15" t="s">
        <v>4966</v>
      </c>
      <c r="D479" s="15" t="s">
        <v>4967</v>
      </c>
      <c r="E479" s="15" t="s">
        <v>4968</v>
      </c>
      <c r="F479" s="15" t="s">
        <v>4969</v>
      </c>
      <c r="G479" s="15" t="s">
        <v>4970</v>
      </c>
      <c r="H479" s="15" t="s">
        <v>4971</v>
      </c>
      <c r="I479" s="15" t="s">
        <v>968</v>
      </c>
      <c r="J479" s="15" t="s">
        <v>4972</v>
      </c>
      <c r="K479" s="15" t="s">
        <v>1890</v>
      </c>
      <c r="L479" s="15" t="s">
        <v>4973</v>
      </c>
      <c r="M479" s="15" t="s">
        <v>4974</v>
      </c>
      <c r="N479" s="15" t="s">
        <v>73</v>
      </c>
      <c r="O479" s="16" t="n">
        <v>0</v>
      </c>
      <c r="P479" s="16" t="n">
        <v>0</v>
      </c>
      <c r="Q479" s="16" t="n">
        <v>0</v>
      </c>
      <c r="R479" s="16" t="n">
        <v>0</v>
      </c>
      <c r="S479" s="16" t="n">
        <v>0</v>
      </c>
      <c r="T479" s="17" t="n">
        <f aca="false">AVERAGE(O479:Q479)</f>
        <v>0</v>
      </c>
      <c r="U479" s="18" t="str">
        <f aca="false">IF(T479&gt;=$H$3,"Eligible","Not Eligible")</f>
        <v>Not Eligible</v>
      </c>
      <c r="V479" s="19" t="n">
        <f aca="false">IF(T479&lt;$H$3,0,IFERROR(T479/SUMIF($T$5:$T$999,"&gt;="&amp;$H$3),0))</f>
        <v>0</v>
      </c>
      <c r="W479" s="15" t="str">
        <f aca="false">IF(T479=0,"Win-Back","Active")</f>
        <v>Win-Back</v>
      </c>
      <c r="X479" s="20" t="n">
        <f aca="false">IF(T479=0,0,IF(T479&gt;=$H$3,ROUND(T479*$D$3/SUMIF($T$5:$T$999,"&gt;="&amp;$H$3),0),ROUNDUP(T479*$D$3/SUMIF($T$5:$T$999,"&gt;="&amp;$H$3),0)))</f>
        <v>0</v>
      </c>
      <c r="Y479" s="21"/>
      <c r="Z479" s="16" t="str">
        <f aca="false">IF(X479=0,"",X479-Y479)</f>
        <v/>
      </c>
      <c r="AA479" s="22" t="str">
        <f aca="false">IFERROR(Y479/X479,"")</f>
        <v/>
      </c>
      <c r="AB479" s="16" t="n">
        <v>0</v>
      </c>
      <c r="AC479" s="21"/>
    </row>
    <row r="480" customFormat="false" ht="15" hidden="false" customHeight="true" outlineLevel="0" collapsed="false">
      <c r="A480" s="15" t="s">
        <v>4975</v>
      </c>
      <c r="B480" s="15" t="s">
        <v>4976</v>
      </c>
      <c r="C480" s="15" t="s">
        <v>4977</v>
      </c>
      <c r="D480" s="15" t="s">
        <v>4978</v>
      </c>
      <c r="E480" s="15" t="s">
        <v>4979</v>
      </c>
      <c r="F480" s="15" t="s">
        <v>4980</v>
      </c>
      <c r="G480" s="15" t="s">
        <v>4981</v>
      </c>
      <c r="H480" s="15" t="s">
        <v>4982</v>
      </c>
      <c r="I480" s="15"/>
      <c r="J480" s="15" t="s">
        <v>3804</v>
      </c>
      <c r="K480" s="15" t="s">
        <v>678</v>
      </c>
      <c r="L480" s="15" t="s">
        <v>3805</v>
      </c>
      <c r="M480" s="15" t="s">
        <v>4983</v>
      </c>
      <c r="N480" s="15" t="s">
        <v>73</v>
      </c>
      <c r="O480" s="16" t="n">
        <v>0</v>
      </c>
      <c r="P480" s="16" t="n">
        <v>0</v>
      </c>
      <c r="Q480" s="16" t="n">
        <v>0</v>
      </c>
      <c r="R480" s="16" t="n">
        <v>0</v>
      </c>
      <c r="S480" s="16" t="n">
        <v>0</v>
      </c>
      <c r="T480" s="17" t="n">
        <f aca="false">AVERAGE(O480:Q480)</f>
        <v>0</v>
      </c>
      <c r="U480" s="18" t="str">
        <f aca="false">IF(T480&gt;=$H$3,"Eligible","Not Eligible")</f>
        <v>Not Eligible</v>
      </c>
      <c r="V480" s="19" t="n">
        <f aca="false">IF(T480&lt;$H$3,0,IFERROR(T480/SUMIF($T$5:$T$999,"&gt;="&amp;$H$3),0))</f>
        <v>0</v>
      </c>
      <c r="W480" s="15" t="str">
        <f aca="false">IF(T480=0,"Win-Back","Active")</f>
        <v>Win-Back</v>
      </c>
      <c r="X480" s="20" t="n">
        <f aca="false">IF(T480=0,0,IF(T480&gt;=$H$3,ROUND(T480*$D$3/SUMIF($T$5:$T$999,"&gt;="&amp;$H$3),0),ROUNDUP(T480*$D$3/SUMIF($T$5:$T$999,"&gt;="&amp;$H$3),0)))</f>
        <v>0</v>
      </c>
      <c r="Y480" s="21"/>
      <c r="Z480" s="16" t="str">
        <f aca="false">IF(X480=0,"",X480-Y480)</f>
        <v/>
      </c>
      <c r="AA480" s="22" t="str">
        <f aca="false">IFERROR(Y480/X480,"")</f>
        <v/>
      </c>
      <c r="AB480" s="16" t="n">
        <v>0</v>
      </c>
      <c r="AC480" s="21"/>
    </row>
    <row r="481" customFormat="false" ht="15" hidden="false" customHeight="true" outlineLevel="0" collapsed="false">
      <c r="A481" s="15" t="s">
        <v>4984</v>
      </c>
      <c r="B481" s="15" t="s">
        <v>4985</v>
      </c>
      <c r="C481" s="15" t="s">
        <v>4986</v>
      </c>
      <c r="D481" s="15" t="s">
        <v>4987</v>
      </c>
      <c r="E481" s="15" t="s">
        <v>4988</v>
      </c>
      <c r="F481" s="15" t="s">
        <v>4989</v>
      </c>
      <c r="G481" s="15" t="s">
        <v>4990</v>
      </c>
      <c r="H481" s="15" t="s">
        <v>4991</v>
      </c>
      <c r="I481" s="15"/>
      <c r="J481" s="15" t="s">
        <v>677</v>
      </c>
      <c r="K481" s="15" t="s">
        <v>678</v>
      </c>
      <c r="L481" s="15" t="s">
        <v>4992</v>
      </c>
      <c r="M481" s="15" t="s">
        <v>4993</v>
      </c>
      <c r="N481" s="15" t="s">
        <v>73</v>
      </c>
      <c r="O481" s="16" t="n">
        <v>0</v>
      </c>
      <c r="P481" s="16" t="n">
        <v>0</v>
      </c>
      <c r="Q481" s="16" t="n">
        <v>0</v>
      </c>
      <c r="R481" s="16" t="n">
        <v>0</v>
      </c>
      <c r="S481" s="16" t="n">
        <v>0</v>
      </c>
      <c r="T481" s="17" t="n">
        <f aca="false">AVERAGE(O481:Q481)</f>
        <v>0</v>
      </c>
      <c r="U481" s="18" t="str">
        <f aca="false">IF(T481&gt;=$H$3,"Eligible","Not Eligible")</f>
        <v>Not Eligible</v>
      </c>
      <c r="V481" s="19" t="n">
        <f aca="false">IF(T481&lt;$H$3,0,IFERROR(T481/SUMIF($T$5:$T$999,"&gt;="&amp;$H$3),0))</f>
        <v>0</v>
      </c>
      <c r="W481" s="15" t="str">
        <f aca="false">IF(T481=0,"Win-Back","Active")</f>
        <v>Win-Back</v>
      </c>
      <c r="X481" s="20" t="n">
        <f aca="false">IF(T481=0,0,IF(T481&gt;=$H$3,ROUND(T481*$D$3/SUMIF($T$5:$T$999,"&gt;="&amp;$H$3),0),ROUNDUP(T481*$D$3/SUMIF($T$5:$T$999,"&gt;="&amp;$H$3),0)))</f>
        <v>0</v>
      </c>
      <c r="Y481" s="21"/>
      <c r="Z481" s="16" t="str">
        <f aca="false">IF(X481=0,"",X481-Y481)</f>
        <v/>
      </c>
      <c r="AA481" s="22" t="str">
        <f aca="false">IFERROR(Y481/X481,"")</f>
        <v/>
      </c>
      <c r="AB481" s="16" t="n">
        <v>0</v>
      </c>
      <c r="AC481" s="21"/>
    </row>
    <row r="482" customFormat="false" ht="15" hidden="false" customHeight="true" outlineLevel="0" collapsed="false">
      <c r="A482" s="15" t="s">
        <v>4994</v>
      </c>
      <c r="B482" s="15" t="s">
        <v>4995</v>
      </c>
      <c r="C482" s="15" t="s">
        <v>4996</v>
      </c>
      <c r="D482" s="15" t="s">
        <v>4997</v>
      </c>
      <c r="E482" s="15" t="s">
        <v>4998</v>
      </c>
      <c r="F482" s="15" t="s">
        <v>4999</v>
      </c>
      <c r="G482" s="15" t="s">
        <v>5000</v>
      </c>
      <c r="H482" s="15" t="s">
        <v>5001</v>
      </c>
      <c r="I482" s="15"/>
      <c r="J482" s="15" t="s">
        <v>5002</v>
      </c>
      <c r="K482" s="15" t="s">
        <v>563</v>
      </c>
      <c r="L482" s="15" t="s">
        <v>5003</v>
      </c>
      <c r="M482" s="15" t="s">
        <v>5004</v>
      </c>
      <c r="N482" s="15" t="s">
        <v>73</v>
      </c>
      <c r="O482" s="16" t="n">
        <v>0</v>
      </c>
      <c r="P482" s="16" t="n">
        <v>0</v>
      </c>
      <c r="Q482" s="16" t="n">
        <v>0</v>
      </c>
      <c r="R482" s="16" t="n">
        <v>0</v>
      </c>
      <c r="S482" s="16" t="n">
        <v>0</v>
      </c>
      <c r="T482" s="17" t="n">
        <f aca="false">AVERAGE(O482:Q482)</f>
        <v>0</v>
      </c>
      <c r="U482" s="18" t="str">
        <f aca="false">IF(T482&gt;=$H$3,"Eligible","Not Eligible")</f>
        <v>Not Eligible</v>
      </c>
      <c r="V482" s="19" t="n">
        <f aca="false">IF(T482&lt;$H$3,0,IFERROR(T482/SUMIF($T$5:$T$999,"&gt;="&amp;$H$3),0))</f>
        <v>0</v>
      </c>
      <c r="W482" s="15" t="str">
        <f aca="false">IF(T482=0,"Win-Back","Active")</f>
        <v>Win-Back</v>
      </c>
      <c r="X482" s="20" t="n">
        <f aca="false">IF(T482=0,0,IF(T482&gt;=$H$3,ROUND(T482*$D$3/SUMIF($T$5:$T$999,"&gt;="&amp;$H$3),0),ROUNDUP(T482*$D$3/SUMIF($T$5:$T$999,"&gt;="&amp;$H$3),0)))</f>
        <v>0</v>
      </c>
      <c r="Y482" s="21"/>
      <c r="Z482" s="16" t="str">
        <f aca="false">IF(X482=0,"",X482-Y482)</f>
        <v/>
      </c>
      <c r="AA482" s="22" t="str">
        <f aca="false">IFERROR(Y482/X482,"")</f>
        <v/>
      </c>
      <c r="AB482" s="16" t="n">
        <v>0</v>
      </c>
      <c r="AC482" s="21"/>
    </row>
    <row r="483" customFormat="false" ht="15" hidden="false" customHeight="true" outlineLevel="0" collapsed="false">
      <c r="A483" s="15" t="s">
        <v>5005</v>
      </c>
      <c r="B483" s="15" t="s">
        <v>5006</v>
      </c>
      <c r="C483" s="15" t="s">
        <v>5007</v>
      </c>
      <c r="D483" s="15" t="s">
        <v>5008</v>
      </c>
      <c r="E483" s="15" t="s">
        <v>4998</v>
      </c>
      <c r="F483" s="15" t="s">
        <v>4999</v>
      </c>
      <c r="G483" s="15" t="s">
        <v>5009</v>
      </c>
      <c r="H483" s="15" t="s">
        <v>5010</v>
      </c>
      <c r="I483" s="15" t="s">
        <v>5011</v>
      </c>
      <c r="J483" s="15" t="s">
        <v>3036</v>
      </c>
      <c r="K483" s="15" t="s">
        <v>563</v>
      </c>
      <c r="L483" s="15" t="s">
        <v>5003</v>
      </c>
      <c r="M483" s="15" t="s">
        <v>5012</v>
      </c>
      <c r="N483" s="15" t="s">
        <v>73</v>
      </c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7" t="n">
        <f aca="false">AVERAGE(O483:Q483)</f>
        <v>0</v>
      </c>
      <c r="U483" s="18" t="str">
        <f aca="false">IF(T483&gt;=$H$3,"Eligible","Not Eligible")</f>
        <v>Not Eligible</v>
      </c>
      <c r="V483" s="19" t="n">
        <f aca="false">IF(T483&lt;$H$3,0,IFERROR(T483/SUMIF($T$5:$T$999,"&gt;="&amp;$H$3),0))</f>
        <v>0</v>
      </c>
      <c r="W483" s="15" t="str">
        <f aca="false">IF(T483=0,"Win-Back","Active")</f>
        <v>Win-Back</v>
      </c>
      <c r="X483" s="20" t="n">
        <f aca="false">IF(T483=0,0,IF(T483&gt;=$H$3,ROUND(T483*$D$3/SUMIF($T$5:$T$999,"&gt;="&amp;$H$3),0),ROUNDUP(T483*$D$3/SUMIF($T$5:$T$999,"&gt;="&amp;$H$3),0)))</f>
        <v>0</v>
      </c>
      <c r="Y483" s="21"/>
      <c r="Z483" s="16" t="str">
        <f aca="false">IF(X483=0,"",X483-Y483)</f>
        <v/>
      </c>
      <c r="AA483" s="22" t="str">
        <f aca="false">IFERROR(Y483/X483,"")</f>
        <v/>
      </c>
      <c r="AB483" s="16" t="n">
        <v>0</v>
      </c>
      <c r="AC483" s="21"/>
    </row>
    <row r="484" customFormat="false" ht="15" hidden="false" customHeight="true" outlineLevel="0" collapsed="false">
      <c r="A484" s="15" t="s">
        <v>5013</v>
      </c>
      <c r="B484" s="15" t="s">
        <v>5014</v>
      </c>
      <c r="C484" s="15" t="s">
        <v>5015</v>
      </c>
      <c r="D484" s="15" t="s">
        <v>5016</v>
      </c>
      <c r="E484" s="15" t="s">
        <v>5017</v>
      </c>
      <c r="F484" s="15" t="s">
        <v>5018</v>
      </c>
      <c r="G484" s="15" t="s">
        <v>5019</v>
      </c>
      <c r="H484" s="15" t="s">
        <v>5020</v>
      </c>
      <c r="I484" s="15"/>
      <c r="J484" s="15" t="s">
        <v>5021</v>
      </c>
      <c r="K484" s="15" t="s">
        <v>70</v>
      </c>
      <c r="L484" s="15" t="s">
        <v>5022</v>
      </c>
      <c r="M484" s="15" t="s">
        <v>5023</v>
      </c>
      <c r="N484" s="15" t="s">
        <v>73</v>
      </c>
      <c r="O484" s="16" t="n">
        <v>0</v>
      </c>
      <c r="P484" s="16" t="n">
        <v>0</v>
      </c>
      <c r="Q484" s="16" t="n">
        <v>0</v>
      </c>
      <c r="R484" s="16" t="n">
        <v>0</v>
      </c>
      <c r="S484" s="16" t="n">
        <v>0</v>
      </c>
      <c r="T484" s="17" t="n">
        <f aca="false">AVERAGE(O484:Q484)</f>
        <v>0</v>
      </c>
      <c r="U484" s="18" t="str">
        <f aca="false">IF(T484&gt;=$H$3,"Eligible","Not Eligible")</f>
        <v>Not Eligible</v>
      </c>
      <c r="V484" s="19" t="n">
        <f aca="false">IF(T484&lt;$H$3,0,IFERROR(T484/SUMIF($T$5:$T$999,"&gt;="&amp;$H$3),0))</f>
        <v>0</v>
      </c>
      <c r="W484" s="15" t="str">
        <f aca="false">IF(T484=0,"Win-Back","Active")</f>
        <v>Win-Back</v>
      </c>
      <c r="X484" s="20" t="n">
        <f aca="false">IF(T484=0,0,IF(T484&gt;=$H$3,ROUND(T484*$D$3/SUMIF($T$5:$T$999,"&gt;="&amp;$H$3),0),ROUNDUP(T484*$D$3/SUMIF($T$5:$T$999,"&gt;="&amp;$H$3),0)))</f>
        <v>0</v>
      </c>
      <c r="Y484" s="21"/>
      <c r="Z484" s="16" t="str">
        <f aca="false">IF(X484=0,"",X484-Y484)</f>
        <v/>
      </c>
      <c r="AA484" s="22" t="str">
        <f aca="false">IFERROR(Y484/X484,"")</f>
        <v/>
      </c>
      <c r="AB484" s="16" t="n">
        <v>0</v>
      </c>
      <c r="AC484" s="21"/>
    </row>
    <row r="485" customFormat="false" ht="15" hidden="false" customHeight="true" outlineLevel="0" collapsed="false">
      <c r="A485" s="15" t="s">
        <v>5024</v>
      </c>
      <c r="B485" s="15" t="s">
        <v>5025</v>
      </c>
      <c r="C485" s="15" t="s">
        <v>5026</v>
      </c>
      <c r="D485" s="15" t="s">
        <v>5027</v>
      </c>
      <c r="E485" s="15" t="s">
        <v>5028</v>
      </c>
      <c r="F485" s="15" t="s">
        <v>5029</v>
      </c>
      <c r="G485" s="15" t="s">
        <v>5030</v>
      </c>
      <c r="H485" s="15" t="s">
        <v>5031</v>
      </c>
      <c r="I485" s="15"/>
      <c r="J485" s="15" t="s">
        <v>367</v>
      </c>
      <c r="K485" s="15" t="s">
        <v>368</v>
      </c>
      <c r="L485" s="15" t="s">
        <v>5032</v>
      </c>
      <c r="M485" s="15" t="s">
        <v>5033</v>
      </c>
      <c r="N485" s="15" t="s">
        <v>73</v>
      </c>
      <c r="O485" s="16" t="n">
        <v>0</v>
      </c>
      <c r="P485" s="16" t="n">
        <v>0</v>
      </c>
      <c r="Q485" s="16" t="n">
        <v>0</v>
      </c>
      <c r="R485" s="16" t="n">
        <v>0</v>
      </c>
      <c r="S485" s="16" t="n">
        <v>0</v>
      </c>
      <c r="T485" s="17" t="n">
        <f aca="false">AVERAGE(O485:Q485)</f>
        <v>0</v>
      </c>
      <c r="U485" s="18" t="str">
        <f aca="false">IF(T485&gt;=$H$3,"Eligible","Not Eligible")</f>
        <v>Not Eligible</v>
      </c>
      <c r="V485" s="19" t="n">
        <f aca="false">IF(T485&lt;$H$3,0,IFERROR(T485/SUMIF($T$5:$T$999,"&gt;="&amp;$H$3),0))</f>
        <v>0</v>
      </c>
      <c r="W485" s="15" t="str">
        <f aca="false">IF(T485=0,"Win-Back","Active")</f>
        <v>Win-Back</v>
      </c>
      <c r="X485" s="20" t="n">
        <f aca="false">IF(T485=0,0,IF(T485&gt;=$H$3,ROUND(T485*$D$3/SUMIF($T$5:$T$999,"&gt;="&amp;$H$3),0),ROUNDUP(T485*$D$3/SUMIF($T$5:$T$999,"&gt;="&amp;$H$3),0)))</f>
        <v>0</v>
      </c>
      <c r="Y485" s="21"/>
      <c r="Z485" s="16" t="str">
        <f aca="false">IF(X485=0,"",X485-Y485)</f>
        <v/>
      </c>
      <c r="AA485" s="22" t="str">
        <f aca="false">IFERROR(Y485/X485,"")</f>
        <v/>
      </c>
      <c r="AB485" s="16" t="n">
        <v>0</v>
      </c>
      <c r="AC485" s="21"/>
    </row>
    <row r="486" customFormat="false" ht="15" hidden="false" customHeight="true" outlineLevel="0" collapsed="false">
      <c r="A486" s="15" t="s">
        <v>5034</v>
      </c>
      <c r="B486" s="15" t="s">
        <v>5035</v>
      </c>
      <c r="C486" s="15" t="s">
        <v>5036</v>
      </c>
      <c r="D486" s="15" t="s">
        <v>5037</v>
      </c>
      <c r="E486" s="15" t="s">
        <v>5038</v>
      </c>
      <c r="F486" s="15" t="s">
        <v>5039</v>
      </c>
      <c r="G486" s="15" t="s">
        <v>5040</v>
      </c>
      <c r="H486" s="15" t="s">
        <v>5041</v>
      </c>
      <c r="I486" s="15"/>
      <c r="J486" s="15" t="s">
        <v>5042</v>
      </c>
      <c r="K486" s="15" t="s">
        <v>70</v>
      </c>
      <c r="L486" s="15" t="s">
        <v>5043</v>
      </c>
      <c r="M486" s="15" t="s">
        <v>5044</v>
      </c>
      <c r="N486" s="15" t="s">
        <v>73</v>
      </c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7" t="n">
        <f aca="false">AVERAGE(O486:Q486)</f>
        <v>0</v>
      </c>
      <c r="U486" s="18" t="str">
        <f aca="false">IF(T486&gt;=$H$3,"Eligible","Not Eligible")</f>
        <v>Not Eligible</v>
      </c>
      <c r="V486" s="19" t="n">
        <f aca="false">IF(T486&lt;$H$3,0,IFERROR(T486/SUMIF($T$5:$T$999,"&gt;="&amp;$H$3),0))</f>
        <v>0</v>
      </c>
      <c r="W486" s="15" t="str">
        <f aca="false">IF(T486=0,"Win-Back","Active")</f>
        <v>Win-Back</v>
      </c>
      <c r="X486" s="20" t="n">
        <f aca="false">IF(T486=0,0,IF(T486&gt;=$H$3,ROUND(T486*$D$3/SUMIF($T$5:$T$999,"&gt;="&amp;$H$3),0),ROUNDUP(T486*$D$3/SUMIF($T$5:$T$999,"&gt;="&amp;$H$3),0)))</f>
        <v>0</v>
      </c>
      <c r="Y486" s="21"/>
      <c r="Z486" s="16" t="str">
        <f aca="false">IF(X486=0,"",X486-Y486)</f>
        <v/>
      </c>
      <c r="AA486" s="22" t="str">
        <f aca="false">IFERROR(Y486/X486,"")</f>
        <v/>
      </c>
      <c r="AB486" s="16" t="n">
        <v>0</v>
      </c>
      <c r="AC486" s="21"/>
    </row>
    <row r="487" customFormat="false" ht="15" hidden="false" customHeight="true" outlineLevel="0" collapsed="false">
      <c r="A487" s="15"/>
      <c r="B487" s="15"/>
      <c r="C487" s="15" t="s">
        <v>5045</v>
      </c>
      <c r="D487" s="15" t="s">
        <v>5046</v>
      </c>
      <c r="E487" s="15" t="s">
        <v>1519</v>
      </c>
      <c r="F487" s="15"/>
      <c r="G487" s="15"/>
      <c r="H487" s="15" t="s">
        <v>5047</v>
      </c>
      <c r="I487" s="15"/>
      <c r="J487" s="15" t="s">
        <v>2619</v>
      </c>
      <c r="K487" s="15" t="s">
        <v>735</v>
      </c>
      <c r="L487" s="15" t="s">
        <v>2620</v>
      </c>
      <c r="M487" s="15" t="s">
        <v>4617</v>
      </c>
      <c r="N487" s="15" t="s">
        <v>73</v>
      </c>
      <c r="O487" s="16" t="n">
        <v>0</v>
      </c>
      <c r="P487" s="16" t="n">
        <v>0</v>
      </c>
      <c r="Q487" s="16" t="n">
        <v>0</v>
      </c>
      <c r="R487" s="16" t="n">
        <v>0</v>
      </c>
      <c r="S487" s="16" t="n">
        <v>0</v>
      </c>
      <c r="T487" s="17" t="n">
        <f aca="false">AVERAGE(O487:Q487)</f>
        <v>0</v>
      </c>
      <c r="U487" s="18" t="str">
        <f aca="false">IF(T487&gt;=$H$3,"Eligible","Not Eligible")</f>
        <v>Not Eligible</v>
      </c>
      <c r="V487" s="19" t="n">
        <f aca="false">IF(T487&lt;$H$3,0,IFERROR(T487/SUMIF($T$5:$T$999,"&gt;="&amp;$H$3),0))</f>
        <v>0</v>
      </c>
      <c r="W487" s="15" t="str">
        <f aca="false">IF(T487=0,"Win-Back","Active")</f>
        <v>Win-Back</v>
      </c>
      <c r="X487" s="20" t="n">
        <f aca="false">IF(T487=0,0,IF(T487&gt;=$H$3,ROUND(T487*$D$3/SUMIF($T$5:$T$999,"&gt;="&amp;$H$3),0),ROUNDUP(T487*$D$3/SUMIF($T$5:$T$999,"&gt;="&amp;$H$3),0)))</f>
        <v>0</v>
      </c>
      <c r="Y487" s="21"/>
      <c r="Z487" s="16" t="str">
        <f aca="false">IF(X487=0,"",X487-Y487)</f>
        <v/>
      </c>
      <c r="AA487" s="22" t="str">
        <f aca="false">IFERROR(Y487/X487,"")</f>
        <v/>
      </c>
      <c r="AB487" s="16" t="n">
        <v>0</v>
      </c>
      <c r="AC487" s="21"/>
    </row>
    <row r="488" customFormat="false" ht="15" hidden="false" customHeight="true" outlineLevel="0" collapsed="false">
      <c r="A488" s="15" t="s">
        <v>5048</v>
      </c>
      <c r="B488" s="15" t="s">
        <v>5049</v>
      </c>
      <c r="C488" s="15" t="s">
        <v>5050</v>
      </c>
      <c r="D488" s="15" t="s">
        <v>5051</v>
      </c>
      <c r="E488" s="15" t="s">
        <v>5052</v>
      </c>
      <c r="F488" s="15" t="s">
        <v>5053</v>
      </c>
      <c r="G488" s="15" t="s">
        <v>5054</v>
      </c>
      <c r="H488" s="15" t="s">
        <v>5055</v>
      </c>
      <c r="I488" s="15"/>
      <c r="J488" s="15" t="s">
        <v>5056</v>
      </c>
      <c r="K488" s="15" t="s">
        <v>70</v>
      </c>
      <c r="L488" s="15" t="s">
        <v>5057</v>
      </c>
      <c r="M488" s="15" t="s">
        <v>5058</v>
      </c>
      <c r="N488" s="15" t="s">
        <v>73</v>
      </c>
      <c r="O488" s="16" t="n">
        <v>0</v>
      </c>
      <c r="P488" s="16" t="n">
        <v>0</v>
      </c>
      <c r="Q488" s="16" t="n">
        <v>0</v>
      </c>
      <c r="R488" s="16" t="n">
        <v>0</v>
      </c>
      <c r="S488" s="16" t="n">
        <v>0</v>
      </c>
      <c r="T488" s="17" t="n">
        <f aca="false">AVERAGE(O488:Q488)</f>
        <v>0</v>
      </c>
      <c r="U488" s="18" t="str">
        <f aca="false">IF(T488&gt;=$H$3,"Eligible","Not Eligible")</f>
        <v>Not Eligible</v>
      </c>
      <c r="V488" s="19" t="n">
        <f aca="false">IF(T488&lt;$H$3,0,IFERROR(T488/SUMIF($T$5:$T$999,"&gt;="&amp;$H$3),0))</f>
        <v>0</v>
      </c>
      <c r="W488" s="15" t="str">
        <f aca="false">IF(T488=0,"Win-Back","Active")</f>
        <v>Win-Back</v>
      </c>
      <c r="X488" s="20" t="n">
        <f aca="false">IF(T488=0,0,IF(T488&gt;=$H$3,ROUND(T488*$D$3/SUMIF($T$5:$T$999,"&gt;="&amp;$H$3),0),ROUNDUP(T488*$D$3/SUMIF($T$5:$T$999,"&gt;="&amp;$H$3),0)))</f>
        <v>0</v>
      </c>
      <c r="Y488" s="21"/>
      <c r="Z488" s="16" t="str">
        <f aca="false">IF(X488=0,"",X488-Y488)</f>
        <v/>
      </c>
      <c r="AA488" s="22" t="str">
        <f aca="false">IFERROR(Y488/X488,"")</f>
        <v/>
      </c>
      <c r="AB488" s="16" t="n">
        <v>0</v>
      </c>
      <c r="AC488" s="21"/>
    </row>
    <row r="489" customFormat="false" ht="15" hidden="false" customHeight="true" outlineLevel="0" collapsed="false">
      <c r="A489" s="15" t="s">
        <v>5059</v>
      </c>
      <c r="B489" s="15" t="s">
        <v>5060</v>
      </c>
      <c r="C489" s="15" t="s">
        <v>5061</v>
      </c>
      <c r="D489" s="15" t="s">
        <v>5062</v>
      </c>
      <c r="E489" s="15" t="s">
        <v>5063</v>
      </c>
      <c r="F489" s="15" t="s">
        <v>5064</v>
      </c>
      <c r="G489" s="15" t="s">
        <v>3790</v>
      </c>
      <c r="H489" s="15" t="s">
        <v>5065</v>
      </c>
      <c r="I489" s="15" t="s">
        <v>2049</v>
      </c>
      <c r="J489" s="15" t="s">
        <v>3792</v>
      </c>
      <c r="K489" s="15" t="s">
        <v>3793</v>
      </c>
      <c r="L489" s="15" t="s">
        <v>3794</v>
      </c>
      <c r="M489" s="15" t="s">
        <v>3795</v>
      </c>
      <c r="N489" s="15" t="s">
        <v>73</v>
      </c>
      <c r="O489" s="16" t="n">
        <v>0</v>
      </c>
      <c r="P489" s="16" t="n">
        <v>0</v>
      </c>
      <c r="Q489" s="16" t="n">
        <v>0</v>
      </c>
      <c r="R489" s="16" t="n">
        <v>0</v>
      </c>
      <c r="S489" s="16" t="n">
        <v>0</v>
      </c>
      <c r="T489" s="17" t="n">
        <f aca="false">AVERAGE(O489:Q489)</f>
        <v>0</v>
      </c>
      <c r="U489" s="18" t="str">
        <f aca="false">IF(T489&gt;=$H$3,"Eligible","Not Eligible")</f>
        <v>Not Eligible</v>
      </c>
      <c r="V489" s="19" t="n">
        <f aca="false">IF(T489&lt;$H$3,0,IFERROR(T489/SUMIF($T$5:$T$999,"&gt;="&amp;$H$3),0))</f>
        <v>0</v>
      </c>
      <c r="W489" s="15" t="str">
        <f aca="false">IF(T489=0,"Win-Back","Active")</f>
        <v>Win-Back</v>
      </c>
      <c r="X489" s="20" t="n">
        <f aca="false">IF(T489=0,0,IF(T489&gt;=$H$3,ROUND(T489*$D$3/SUMIF($T$5:$T$999,"&gt;="&amp;$H$3),0),ROUNDUP(T489*$D$3/SUMIF($T$5:$T$999,"&gt;="&amp;$H$3),0)))</f>
        <v>0</v>
      </c>
      <c r="Y489" s="21"/>
      <c r="Z489" s="16" t="str">
        <f aca="false">IF(X489=0,"",X489-Y489)</f>
        <v/>
      </c>
      <c r="AA489" s="22" t="str">
        <f aca="false">IFERROR(Y489/X489,"")</f>
        <v/>
      </c>
      <c r="AB489" s="16" t="n">
        <v>0</v>
      </c>
      <c r="AC489" s="21"/>
    </row>
    <row r="490" customFormat="false" ht="15" hidden="false" customHeight="true" outlineLevel="0" collapsed="false">
      <c r="A490" s="15"/>
      <c r="B490" s="15"/>
      <c r="C490" s="15" t="s">
        <v>5066</v>
      </c>
      <c r="D490" s="15" t="s">
        <v>5067</v>
      </c>
      <c r="E490" s="15" t="s">
        <v>5068</v>
      </c>
      <c r="F490" s="15"/>
      <c r="G490" s="15"/>
      <c r="H490" s="15" t="s">
        <v>4368</v>
      </c>
      <c r="I490" s="15" t="s">
        <v>186</v>
      </c>
      <c r="J490" s="15" t="s">
        <v>3771</v>
      </c>
      <c r="K490" s="15" t="s">
        <v>70</v>
      </c>
      <c r="L490" s="15" t="s">
        <v>4369</v>
      </c>
      <c r="M490" s="15" t="s">
        <v>4617</v>
      </c>
      <c r="N490" s="15" t="s">
        <v>73</v>
      </c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7" t="n">
        <f aca="false">AVERAGE(O490:Q490)</f>
        <v>0</v>
      </c>
      <c r="U490" s="18" t="str">
        <f aca="false">IF(T490&gt;=$H$3,"Eligible","Not Eligible")</f>
        <v>Not Eligible</v>
      </c>
      <c r="V490" s="19" t="n">
        <f aca="false">IF(T490&lt;$H$3,0,IFERROR(T490/SUMIF($T$5:$T$999,"&gt;="&amp;$H$3),0))</f>
        <v>0</v>
      </c>
      <c r="W490" s="15" t="str">
        <f aca="false">IF(T490=0,"Win-Back","Active")</f>
        <v>Win-Back</v>
      </c>
      <c r="X490" s="20" t="n">
        <f aca="false">IF(T490=0,0,IF(T490&gt;=$H$3,ROUND(T490*$D$3/SUMIF($T$5:$T$999,"&gt;="&amp;$H$3),0),ROUNDUP(T490*$D$3/SUMIF($T$5:$T$999,"&gt;="&amp;$H$3),0)))</f>
        <v>0</v>
      </c>
      <c r="Y490" s="21"/>
      <c r="Z490" s="16" t="str">
        <f aca="false">IF(X490=0,"",X490-Y490)</f>
        <v/>
      </c>
      <c r="AA490" s="22" t="str">
        <f aca="false">IFERROR(Y490/X490,"")</f>
        <v/>
      </c>
      <c r="AB490" s="16" t="n">
        <v>0</v>
      </c>
      <c r="AC490" s="21"/>
    </row>
    <row r="491" customFormat="false" ht="15" hidden="false" customHeight="true" outlineLevel="0" collapsed="false">
      <c r="A491" s="15" t="s">
        <v>5069</v>
      </c>
      <c r="B491" s="15" t="s">
        <v>5070</v>
      </c>
      <c r="C491" s="15" t="s">
        <v>5071</v>
      </c>
      <c r="D491" s="15" t="s">
        <v>5072</v>
      </c>
      <c r="E491" s="15" t="s">
        <v>5073</v>
      </c>
      <c r="F491" s="15" t="s">
        <v>5074</v>
      </c>
      <c r="G491" s="15" t="s">
        <v>5075</v>
      </c>
      <c r="H491" s="15" t="s">
        <v>5076</v>
      </c>
      <c r="I491" s="15" t="s">
        <v>5077</v>
      </c>
      <c r="J491" s="15" t="s">
        <v>5078</v>
      </c>
      <c r="K491" s="15" t="s">
        <v>70</v>
      </c>
      <c r="L491" s="15" t="s">
        <v>5079</v>
      </c>
      <c r="M491" s="15" t="s">
        <v>5080</v>
      </c>
      <c r="N491" s="15" t="s">
        <v>73</v>
      </c>
      <c r="O491" s="16" t="n">
        <v>0</v>
      </c>
      <c r="P491" s="16" t="n">
        <v>0</v>
      </c>
      <c r="Q491" s="16" t="n">
        <v>0</v>
      </c>
      <c r="R491" s="16" t="n">
        <v>0</v>
      </c>
      <c r="S491" s="16" t="n">
        <v>0</v>
      </c>
      <c r="T491" s="17" t="n">
        <f aca="false">AVERAGE(O491:Q491)</f>
        <v>0</v>
      </c>
      <c r="U491" s="18" t="str">
        <f aca="false">IF(T491&gt;=$H$3,"Eligible","Not Eligible")</f>
        <v>Not Eligible</v>
      </c>
      <c r="V491" s="19" t="n">
        <f aca="false">IF(T491&lt;$H$3,0,IFERROR(T491/SUMIF($T$5:$T$999,"&gt;="&amp;$H$3),0))</f>
        <v>0</v>
      </c>
      <c r="W491" s="15" t="str">
        <f aca="false">IF(T491=0,"Win-Back","Active")</f>
        <v>Win-Back</v>
      </c>
      <c r="X491" s="20" t="n">
        <f aca="false">IF(T491=0,0,IF(T491&gt;=$H$3,ROUND(T491*$D$3/SUMIF($T$5:$T$999,"&gt;="&amp;$H$3),0),ROUNDUP(T491*$D$3/SUMIF($T$5:$T$999,"&gt;="&amp;$H$3),0)))</f>
        <v>0</v>
      </c>
      <c r="Y491" s="21"/>
      <c r="Z491" s="16" t="str">
        <f aca="false">IF(X491=0,"",X491-Y491)</f>
        <v/>
      </c>
      <c r="AA491" s="22" t="str">
        <f aca="false">IFERROR(Y491/X491,"")</f>
        <v/>
      </c>
      <c r="AB491" s="16" t="n">
        <v>0</v>
      </c>
      <c r="AC491" s="21"/>
    </row>
    <row r="492" customFormat="false" ht="15" hidden="false" customHeight="true" outlineLevel="0" collapsed="false">
      <c r="A492" s="15" t="s">
        <v>5081</v>
      </c>
      <c r="B492" s="15" t="s">
        <v>5082</v>
      </c>
      <c r="C492" s="15" t="s">
        <v>5083</v>
      </c>
      <c r="D492" s="15" t="s">
        <v>5084</v>
      </c>
      <c r="E492" s="15" t="s">
        <v>5085</v>
      </c>
      <c r="F492" s="15" t="s">
        <v>5086</v>
      </c>
      <c r="G492" s="15" t="s">
        <v>5087</v>
      </c>
      <c r="H492" s="15" t="s">
        <v>5088</v>
      </c>
      <c r="I492" s="15"/>
      <c r="J492" s="15" t="s">
        <v>5056</v>
      </c>
      <c r="K492" s="15" t="s">
        <v>70</v>
      </c>
      <c r="L492" s="15" t="s">
        <v>5089</v>
      </c>
      <c r="M492" s="15" t="s">
        <v>5090</v>
      </c>
      <c r="N492" s="15" t="s">
        <v>73</v>
      </c>
      <c r="O492" s="16" t="n">
        <v>0</v>
      </c>
      <c r="P492" s="16" t="n">
        <v>0</v>
      </c>
      <c r="Q492" s="16" t="n">
        <v>0</v>
      </c>
      <c r="R492" s="16" t="n">
        <v>0</v>
      </c>
      <c r="S492" s="16" t="n">
        <v>0</v>
      </c>
      <c r="T492" s="17" t="n">
        <f aca="false">AVERAGE(O492:Q492)</f>
        <v>0</v>
      </c>
      <c r="U492" s="18" t="str">
        <f aca="false">IF(T492&gt;=$H$3,"Eligible","Not Eligible")</f>
        <v>Not Eligible</v>
      </c>
      <c r="V492" s="19" t="n">
        <f aca="false">IF(T492&lt;$H$3,0,IFERROR(T492/SUMIF($T$5:$T$999,"&gt;="&amp;$H$3),0))</f>
        <v>0</v>
      </c>
      <c r="W492" s="15" t="str">
        <f aca="false">IF(T492=0,"Win-Back","Active")</f>
        <v>Win-Back</v>
      </c>
      <c r="X492" s="20" t="n">
        <f aca="false">IF(T492=0,0,IF(T492&gt;=$H$3,ROUND(T492*$D$3/SUMIF($T$5:$T$999,"&gt;="&amp;$H$3),0),ROUNDUP(T492*$D$3/SUMIF($T$5:$T$999,"&gt;="&amp;$H$3),0)))</f>
        <v>0</v>
      </c>
      <c r="Y492" s="21"/>
      <c r="Z492" s="16" t="str">
        <f aca="false">IF(X492=0,"",X492-Y492)</f>
        <v/>
      </c>
      <c r="AA492" s="22" t="str">
        <f aca="false">IFERROR(Y492/X492,"")</f>
        <v/>
      </c>
      <c r="AB492" s="16" t="n">
        <v>0</v>
      </c>
      <c r="AC492" s="21"/>
    </row>
    <row r="493" customFormat="false" ht="15" hidden="false" customHeight="true" outlineLevel="0" collapsed="false">
      <c r="A493" s="15" t="s">
        <v>5091</v>
      </c>
      <c r="B493" s="15" t="s">
        <v>5092</v>
      </c>
      <c r="C493" s="15" t="s">
        <v>5093</v>
      </c>
      <c r="D493" s="15" t="s">
        <v>5094</v>
      </c>
      <c r="E493" s="15" t="s">
        <v>3144</v>
      </c>
      <c r="F493" s="15" t="s">
        <v>3145</v>
      </c>
      <c r="G493" s="15" t="s">
        <v>5095</v>
      </c>
      <c r="H493" s="15" t="s">
        <v>5096</v>
      </c>
      <c r="I493" s="15"/>
      <c r="J493" s="15" t="s">
        <v>5097</v>
      </c>
      <c r="K493" s="15" t="s">
        <v>1418</v>
      </c>
      <c r="L493" s="15" t="s">
        <v>5098</v>
      </c>
      <c r="M493" s="15" t="s">
        <v>5099</v>
      </c>
      <c r="N493" s="15" t="s">
        <v>73</v>
      </c>
      <c r="O493" s="16" t="n">
        <v>0</v>
      </c>
      <c r="P493" s="16" t="n">
        <v>0</v>
      </c>
      <c r="Q493" s="16" t="n">
        <v>0</v>
      </c>
      <c r="R493" s="16" t="n">
        <v>0</v>
      </c>
      <c r="S493" s="16" t="n">
        <v>0</v>
      </c>
      <c r="T493" s="17" t="n">
        <f aca="false">AVERAGE(O493:Q493)</f>
        <v>0</v>
      </c>
      <c r="U493" s="18" t="str">
        <f aca="false">IF(T493&gt;=$H$3,"Eligible","Not Eligible")</f>
        <v>Not Eligible</v>
      </c>
      <c r="V493" s="19" t="n">
        <f aca="false">IF(T493&lt;$H$3,0,IFERROR(T493/SUMIF($T$5:$T$999,"&gt;="&amp;$H$3),0))</f>
        <v>0</v>
      </c>
      <c r="W493" s="15" t="str">
        <f aca="false">IF(T493=0,"Win-Back","Active")</f>
        <v>Win-Back</v>
      </c>
      <c r="X493" s="20" t="n">
        <f aca="false">IF(T493=0,0,IF(T493&gt;=$H$3,ROUND(T493*$D$3/SUMIF($T$5:$T$999,"&gt;="&amp;$H$3),0),ROUNDUP(T493*$D$3/SUMIF($T$5:$T$999,"&gt;="&amp;$H$3),0)))</f>
        <v>0</v>
      </c>
      <c r="Y493" s="21"/>
      <c r="Z493" s="16" t="str">
        <f aca="false">IF(X493=0,"",X493-Y493)</f>
        <v/>
      </c>
      <c r="AA493" s="22" t="str">
        <f aca="false">IFERROR(Y493/X493,"")</f>
        <v/>
      </c>
      <c r="AB493" s="16" t="n">
        <v>0</v>
      </c>
      <c r="AC493" s="21"/>
    </row>
    <row r="494" customFormat="false" ht="15" hidden="false" customHeight="true" outlineLevel="0" collapsed="false">
      <c r="A494" s="15" t="s">
        <v>5100</v>
      </c>
      <c r="B494" s="15" t="s">
        <v>5101</v>
      </c>
      <c r="C494" s="15" t="s">
        <v>5102</v>
      </c>
      <c r="D494" s="15" t="s">
        <v>5103</v>
      </c>
      <c r="E494" s="15" t="s">
        <v>5104</v>
      </c>
      <c r="F494" s="15" t="s">
        <v>5105</v>
      </c>
      <c r="G494" s="15" t="s">
        <v>5106</v>
      </c>
      <c r="H494" s="15" t="s">
        <v>5107</v>
      </c>
      <c r="I494" s="15"/>
      <c r="J494" s="15" t="s">
        <v>5108</v>
      </c>
      <c r="K494" s="15" t="s">
        <v>735</v>
      </c>
      <c r="L494" s="15" t="s">
        <v>5109</v>
      </c>
      <c r="M494" s="15" t="s">
        <v>5110</v>
      </c>
      <c r="N494" s="15" t="s">
        <v>73</v>
      </c>
      <c r="O494" s="16" t="n">
        <v>0</v>
      </c>
      <c r="P494" s="16" t="n">
        <v>0</v>
      </c>
      <c r="Q494" s="16" t="n">
        <v>0</v>
      </c>
      <c r="R494" s="16" t="n">
        <v>0</v>
      </c>
      <c r="S494" s="16" t="n">
        <v>0</v>
      </c>
      <c r="T494" s="17" t="n">
        <f aca="false">AVERAGE(O494:Q494)</f>
        <v>0</v>
      </c>
      <c r="U494" s="18" t="str">
        <f aca="false">IF(T494&gt;=$H$3,"Eligible","Not Eligible")</f>
        <v>Not Eligible</v>
      </c>
      <c r="V494" s="19" t="n">
        <f aca="false">IF(T494&lt;$H$3,0,IFERROR(T494/SUMIF($T$5:$T$999,"&gt;="&amp;$H$3),0))</f>
        <v>0</v>
      </c>
      <c r="W494" s="15" t="str">
        <f aca="false">IF(T494=0,"Win-Back","Active")</f>
        <v>Win-Back</v>
      </c>
      <c r="X494" s="20" t="n">
        <f aca="false">IF(T494=0,0,IF(T494&gt;=$H$3,ROUND(T494*$D$3/SUMIF($T$5:$T$999,"&gt;="&amp;$H$3),0),ROUNDUP(T494*$D$3/SUMIF($T$5:$T$999,"&gt;="&amp;$H$3),0)))</f>
        <v>0</v>
      </c>
      <c r="Y494" s="21"/>
      <c r="Z494" s="16" t="str">
        <f aca="false">IF(X494=0,"",X494-Y494)</f>
        <v/>
      </c>
      <c r="AA494" s="22" t="str">
        <f aca="false">IFERROR(Y494/X494,"")</f>
        <v/>
      </c>
      <c r="AB494" s="16" t="n">
        <v>0</v>
      </c>
      <c r="AC494" s="21"/>
    </row>
    <row r="495" customFormat="false" ht="15" hidden="false" customHeight="true" outlineLevel="0" collapsed="false">
      <c r="A495" s="15"/>
      <c r="B495" s="15"/>
      <c r="C495" s="15" t="s">
        <v>5111</v>
      </c>
      <c r="D495" s="15" t="s">
        <v>5112</v>
      </c>
      <c r="E495" s="15" t="s">
        <v>5113</v>
      </c>
      <c r="F495" s="15"/>
      <c r="G495" s="15"/>
      <c r="H495" s="15" t="s">
        <v>5114</v>
      </c>
      <c r="I495" s="15"/>
      <c r="J495" s="15" t="s">
        <v>5115</v>
      </c>
      <c r="K495" s="15" t="s">
        <v>1200</v>
      </c>
      <c r="L495" s="15" t="s">
        <v>5116</v>
      </c>
      <c r="M495" s="15" t="s">
        <v>4617</v>
      </c>
      <c r="N495" s="15" t="s">
        <v>73</v>
      </c>
      <c r="O495" s="16" t="n">
        <v>0</v>
      </c>
      <c r="P495" s="16" t="n">
        <v>0</v>
      </c>
      <c r="Q495" s="16" t="n">
        <v>0</v>
      </c>
      <c r="R495" s="16" t="n">
        <v>0</v>
      </c>
      <c r="S495" s="16" t="n">
        <v>0</v>
      </c>
      <c r="T495" s="17" t="n">
        <f aca="false">AVERAGE(O495:Q495)</f>
        <v>0</v>
      </c>
      <c r="U495" s="18" t="str">
        <f aca="false">IF(T495&gt;=$H$3,"Eligible","Not Eligible")</f>
        <v>Not Eligible</v>
      </c>
      <c r="V495" s="19" t="n">
        <f aca="false">IF(T495&lt;$H$3,0,IFERROR(T495/SUMIF($T$5:$T$999,"&gt;="&amp;$H$3),0))</f>
        <v>0</v>
      </c>
      <c r="W495" s="15" t="str">
        <f aca="false">IF(T495=0,"Win-Back","Active")</f>
        <v>Win-Back</v>
      </c>
      <c r="X495" s="20" t="n">
        <f aca="false">IF(T495=0,0,IF(T495&gt;=$H$3,ROUND(T495*$D$3/SUMIF($T$5:$T$999,"&gt;="&amp;$H$3),0),ROUNDUP(T495*$D$3/SUMIF($T$5:$T$999,"&gt;="&amp;$H$3),0)))</f>
        <v>0</v>
      </c>
      <c r="Y495" s="21"/>
      <c r="Z495" s="16" t="str">
        <f aca="false">IF(X495=0,"",X495-Y495)</f>
        <v/>
      </c>
      <c r="AA495" s="22" t="str">
        <f aca="false">IFERROR(Y495/X495,"")</f>
        <v/>
      </c>
      <c r="AB495" s="16" t="n">
        <v>0</v>
      </c>
      <c r="AC495" s="21"/>
    </row>
    <row r="496" customFormat="false" ht="15" hidden="false" customHeight="true" outlineLevel="0" collapsed="false">
      <c r="A496" s="15"/>
      <c r="B496" s="15"/>
      <c r="C496" s="15" t="s">
        <v>5117</v>
      </c>
      <c r="D496" s="15" t="s">
        <v>5118</v>
      </c>
      <c r="E496" s="15" t="s">
        <v>5119</v>
      </c>
      <c r="F496" s="15"/>
      <c r="G496" s="15"/>
      <c r="H496" s="15" t="s">
        <v>5120</v>
      </c>
      <c r="I496" s="15"/>
      <c r="J496" s="15" t="s">
        <v>5121</v>
      </c>
      <c r="K496" s="15" t="s">
        <v>70</v>
      </c>
      <c r="L496" s="15" t="s">
        <v>5122</v>
      </c>
      <c r="M496" s="15" t="s">
        <v>4617</v>
      </c>
      <c r="N496" s="15" t="s">
        <v>73</v>
      </c>
      <c r="O496" s="16" t="n">
        <v>0</v>
      </c>
      <c r="P496" s="16" t="n">
        <v>0</v>
      </c>
      <c r="Q496" s="16" t="n">
        <v>0</v>
      </c>
      <c r="R496" s="16" t="n">
        <v>0</v>
      </c>
      <c r="S496" s="16" t="n">
        <v>0</v>
      </c>
      <c r="T496" s="17" t="n">
        <f aca="false">AVERAGE(O496:Q496)</f>
        <v>0</v>
      </c>
      <c r="U496" s="18" t="str">
        <f aca="false">IF(T496&gt;=$H$3,"Eligible","Not Eligible")</f>
        <v>Not Eligible</v>
      </c>
      <c r="V496" s="19" t="n">
        <f aca="false">IF(T496&lt;$H$3,0,IFERROR(T496/SUMIF($T$5:$T$999,"&gt;="&amp;$H$3),0))</f>
        <v>0</v>
      </c>
      <c r="W496" s="15" t="str">
        <f aca="false">IF(T496=0,"Win-Back","Active")</f>
        <v>Win-Back</v>
      </c>
      <c r="X496" s="20" t="n">
        <f aca="false">IF(T496=0,0,IF(T496&gt;=$H$3,ROUND(T496*$D$3/SUMIF($T$5:$T$999,"&gt;="&amp;$H$3),0),ROUNDUP(T496*$D$3/SUMIF($T$5:$T$999,"&gt;="&amp;$H$3),0)))</f>
        <v>0</v>
      </c>
      <c r="Y496" s="21"/>
      <c r="Z496" s="16" t="str">
        <f aca="false">IF(X496=0,"",X496-Y496)</f>
        <v/>
      </c>
      <c r="AA496" s="22" t="str">
        <f aca="false">IFERROR(Y496/X496,"")</f>
        <v/>
      </c>
      <c r="AB496" s="16" t="n">
        <v>0</v>
      </c>
      <c r="AC496" s="21"/>
    </row>
    <row r="497" customFormat="false" ht="15" hidden="false" customHeight="true" outlineLevel="0" collapsed="false">
      <c r="A497" s="15"/>
      <c r="B497" s="15"/>
      <c r="C497" s="15" t="s">
        <v>5123</v>
      </c>
      <c r="D497" s="15" t="s">
        <v>5124</v>
      </c>
      <c r="E497" s="15" t="s">
        <v>5125</v>
      </c>
      <c r="F497" s="15"/>
      <c r="G497" s="15"/>
      <c r="H497" s="15" t="s">
        <v>5126</v>
      </c>
      <c r="I497" s="15" t="s">
        <v>2378</v>
      </c>
      <c r="J497" s="15" t="s">
        <v>5127</v>
      </c>
      <c r="K497" s="15" t="s">
        <v>70</v>
      </c>
      <c r="L497" s="15" t="s">
        <v>5128</v>
      </c>
      <c r="M497" s="15" t="s">
        <v>4617</v>
      </c>
      <c r="N497" s="15" t="s">
        <v>73</v>
      </c>
      <c r="O497" s="16" t="n">
        <v>0</v>
      </c>
      <c r="P497" s="16" t="n">
        <v>0</v>
      </c>
      <c r="Q497" s="16" t="n">
        <v>0</v>
      </c>
      <c r="R497" s="16" t="n">
        <v>0</v>
      </c>
      <c r="S497" s="16" t="n">
        <v>0</v>
      </c>
      <c r="T497" s="17" t="n">
        <f aca="false">AVERAGE(O497:Q497)</f>
        <v>0</v>
      </c>
      <c r="U497" s="18" t="str">
        <f aca="false">IF(T497&gt;=$H$3,"Eligible","Not Eligible")</f>
        <v>Not Eligible</v>
      </c>
      <c r="V497" s="19" t="n">
        <f aca="false">IF(T497&lt;$H$3,0,IFERROR(T497/SUMIF($T$5:$T$999,"&gt;="&amp;$H$3),0))</f>
        <v>0</v>
      </c>
      <c r="W497" s="15" t="str">
        <f aca="false">IF(T497=0,"Win-Back","Active")</f>
        <v>Win-Back</v>
      </c>
      <c r="X497" s="20" t="n">
        <f aca="false">IF(T497=0,0,IF(T497&gt;=$H$3,ROUND(T497*$D$3/SUMIF($T$5:$T$999,"&gt;="&amp;$H$3),0),ROUNDUP(T497*$D$3/SUMIF($T$5:$T$999,"&gt;="&amp;$H$3),0)))</f>
        <v>0</v>
      </c>
      <c r="Y497" s="21"/>
      <c r="Z497" s="16" t="str">
        <f aca="false">IF(X497=0,"",X497-Y497)</f>
        <v/>
      </c>
      <c r="AA497" s="22" t="str">
        <f aca="false">IFERROR(Y497/X497,"")</f>
        <v/>
      </c>
      <c r="AB497" s="16" t="n">
        <v>0</v>
      </c>
      <c r="AC497" s="21"/>
    </row>
    <row r="498" customFormat="false" ht="15" hidden="false" customHeight="true" outlineLevel="0" collapsed="false">
      <c r="A498" s="15" t="s">
        <v>5129</v>
      </c>
      <c r="B498" s="15" t="s">
        <v>5130</v>
      </c>
      <c r="C498" s="15" t="s">
        <v>5131</v>
      </c>
      <c r="D498" s="15" t="s">
        <v>5132</v>
      </c>
      <c r="E498" s="15" t="s">
        <v>5133</v>
      </c>
      <c r="F498" s="15" t="s">
        <v>5134</v>
      </c>
      <c r="G498" s="15" t="s">
        <v>5135</v>
      </c>
      <c r="H498" s="15" t="s">
        <v>5136</v>
      </c>
      <c r="I498" s="15" t="s">
        <v>5137</v>
      </c>
      <c r="J498" s="15" t="s">
        <v>5138</v>
      </c>
      <c r="K498" s="15" t="s">
        <v>2325</v>
      </c>
      <c r="L498" s="15" t="s">
        <v>5139</v>
      </c>
      <c r="M498" s="15" t="s">
        <v>5140</v>
      </c>
      <c r="N498" s="15" t="s">
        <v>73</v>
      </c>
      <c r="O498" s="16" t="n">
        <v>0</v>
      </c>
      <c r="P498" s="16" t="n">
        <v>0</v>
      </c>
      <c r="Q498" s="16" t="n">
        <v>0</v>
      </c>
      <c r="R498" s="16" t="n">
        <v>0</v>
      </c>
      <c r="S498" s="16" t="n">
        <v>0</v>
      </c>
      <c r="T498" s="17" t="n">
        <f aca="false">AVERAGE(O498:Q498)</f>
        <v>0</v>
      </c>
      <c r="U498" s="18" t="str">
        <f aca="false">IF(T498&gt;=$H$3,"Eligible","Not Eligible")</f>
        <v>Not Eligible</v>
      </c>
      <c r="V498" s="19" t="n">
        <f aca="false">IF(T498&lt;$H$3,0,IFERROR(T498/SUMIF($T$5:$T$999,"&gt;="&amp;$H$3),0))</f>
        <v>0</v>
      </c>
      <c r="W498" s="15" t="str">
        <f aca="false">IF(T498=0,"Win-Back","Active")</f>
        <v>Win-Back</v>
      </c>
      <c r="X498" s="20" t="n">
        <f aca="false">IF(T498=0,0,IF(T498&gt;=$H$3,ROUND(T498*$D$3/SUMIF($T$5:$T$999,"&gt;="&amp;$H$3),0),ROUNDUP(T498*$D$3/SUMIF($T$5:$T$999,"&gt;="&amp;$H$3),0)))</f>
        <v>0</v>
      </c>
      <c r="Y498" s="21"/>
      <c r="Z498" s="16" t="str">
        <f aca="false">IF(X498=0,"",X498-Y498)</f>
        <v/>
      </c>
      <c r="AA498" s="22" t="str">
        <f aca="false">IFERROR(Y498/X498,"")</f>
        <v/>
      </c>
      <c r="AB498" s="16" t="n">
        <v>0</v>
      </c>
      <c r="AC498" s="21"/>
    </row>
    <row r="499" customFormat="false" ht="15" hidden="false" customHeight="true" outlineLevel="0" collapsed="false">
      <c r="A499" s="15"/>
      <c r="B499" s="15"/>
      <c r="C499" s="15" t="s">
        <v>5141</v>
      </c>
      <c r="D499" s="15" t="s">
        <v>5142</v>
      </c>
      <c r="E499" s="15" t="s">
        <v>5143</v>
      </c>
      <c r="F499" s="15"/>
      <c r="G499" s="15"/>
      <c r="H499" s="15" t="s">
        <v>3791</v>
      </c>
      <c r="I499" s="15" t="s">
        <v>1265</v>
      </c>
      <c r="J499" s="15" t="s">
        <v>3792</v>
      </c>
      <c r="K499" s="15" t="s">
        <v>3793</v>
      </c>
      <c r="L499" s="15" t="s">
        <v>3794</v>
      </c>
      <c r="M499" s="15" t="s">
        <v>4617</v>
      </c>
      <c r="N499" s="15" t="s">
        <v>73</v>
      </c>
      <c r="O499" s="16" t="n">
        <v>0</v>
      </c>
      <c r="P499" s="16" t="n">
        <v>0</v>
      </c>
      <c r="Q499" s="16" t="n">
        <v>0</v>
      </c>
      <c r="R499" s="16" t="n">
        <v>0</v>
      </c>
      <c r="S499" s="16" t="n">
        <v>0</v>
      </c>
      <c r="T499" s="17" t="n">
        <f aca="false">AVERAGE(O499:Q499)</f>
        <v>0</v>
      </c>
      <c r="U499" s="18" t="str">
        <f aca="false">IF(T499&gt;=$H$3,"Eligible","Not Eligible")</f>
        <v>Not Eligible</v>
      </c>
      <c r="V499" s="19" t="n">
        <f aca="false">IF(T499&lt;$H$3,0,IFERROR(T499/SUMIF($T$5:$T$999,"&gt;="&amp;$H$3),0))</f>
        <v>0</v>
      </c>
      <c r="W499" s="15" t="str">
        <f aca="false">IF(T499=0,"Win-Back","Active")</f>
        <v>Win-Back</v>
      </c>
      <c r="X499" s="20" t="n">
        <f aca="false">IF(T499=0,0,IF(T499&gt;=$H$3,ROUND(T499*$D$3/SUMIF($T$5:$T$999,"&gt;="&amp;$H$3),0),ROUNDUP(T499*$D$3/SUMIF($T$5:$T$999,"&gt;="&amp;$H$3),0)))</f>
        <v>0</v>
      </c>
      <c r="Y499" s="21"/>
      <c r="Z499" s="16" t="str">
        <f aca="false">IF(X499=0,"",X499-Y499)</f>
        <v/>
      </c>
      <c r="AA499" s="22" t="str">
        <f aca="false">IFERROR(Y499/X499,"")</f>
        <v/>
      </c>
      <c r="AB499" s="16" t="n">
        <v>0</v>
      </c>
      <c r="AC499" s="21"/>
    </row>
    <row r="500" customFormat="false" ht="15" hidden="false" customHeight="true" outlineLevel="0" collapsed="false">
      <c r="A500" s="15" t="s">
        <v>5144</v>
      </c>
      <c r="B500" s="15" t="s">
        <v>5145</v>
      </c>
      <c r="C500" s="15" t="s">
        <v>5146</v>
      </c>
      <c r="D500" s="15" t="s">
        <v>5147</v>
      </c>
      <c r="E500" s="15" t="s">
        <v>5148</v>
      </c>
      <c r="F500" s="15" t="s">
        <v>5149</v>
      </c>
      <c r="G500" s="15" t="s">
        <v>5150</v>
      </c>
      <c r="H500" s="15" t="s">
        <v>5151</v>
      </c>
      <c r="I500" s="15" t="s">
        <v>5152</v>
      </c>
      <c r="J500" s="15" t="s">
        <v>5153</v>
      </c>
      <c r="K500" s="15" t="s">
        <v>735</v>
      </c>
      <c r="L500" s="15" t="s">
        <v>2155</v>
      </c>
      <c r="M500" s="15" t="s">
        <v>5154</v>
      </c>
      <c r="N500" s="15" t="s">
        <v>73</v>
      </c>
      <c r="O500" s="16" t="n">
        <v>0</v>
      </c>
      <c r="P500" s="16" t="n">
        <v>0</v>
      </c>
      <c r="Q500" s="16" t="n">
        <v>0</v>
      </c>
      <c r="R500" s="16" t="n">
        <v>0</v>
      </c>
      <c r="S500" s="16" t="n">
        <v>0</v>
      </c>
      <c r="T500" s="17" t="n">
        <f aca="false">AVERAGE(O500:Q500)</f>
        <v>0</v>
      </c>
      <c r="U500" s="18" t="str">
        <f aca="false">IF(T500&gt;=$H$3,"Eligible","Not Eligible")</f>
        <v>Not Eligible</v>
      </c>
      <c r="V500" s="19" t="n">
        <f aca="false">IF(T500&lt;$H$3,0,IFERROR(T500/SUMIF($T$5:$T$999,"&gt;="&amp;$H$3),0))</f>
        <v>0</v>
      </c>
      <c r="W500" s="15" t="str">
        <f aca="false">IF(T500=0,"Win-Back","Active")</f>
        <v>Win-Back</v>
      </c>
      <c r="X500" s="20" t="n">
        <f aca="false">IF(T500=0,0,IF(T500&gt;=$H$3,ROUND(T500*$D$3/SUMIF($T$5:$T$999,"&gt;="&amp;$H$3),0),ROUNDUP(T500*$D$3/SUMIF($T$5:$T$999,"&gt;="&amp;$H$3),0)))</f>
        <v>0</v>
      </c>
      <c r="Y500" s="21"/>
      <c r="Z500" s="16" t="str">
        <f aca="false">IF(X500=0,"",X500-Y500)</f>
        <v/>
      </c>
      <c r="AA500" s="22" t="str">
        <f aca="false">IFERROR(Y500/X500,"")</f>
        <v/>
      </c>
      <c r="AB500" s="16" t="n">
        <v>0</v>
      </c>
      <c r="AC500" s="21"/>
    </row>
    <row r="501" customFormat="false" ht="15" hidden="false" customHeight="true" outlineLevel="0" collapsed="false">
      <c r="A501" s="15"/>
      <c r="B501" s="15"/>
      <c r="C501" s="15" t="s">
        <v>5155</v>
      </c>
      <c r="D501" s="15" t="s">
        <v>5156</v>
      </c>
      <c r="E501" s="15" t="s">
        <v>5157</v>
      </c>
      <c r="F501" s="15"/>
      <c r="G501" s="15"/>
      <c r="H501" s="15" t="s">
        <v>5158</v>
      </c>
      <c r="I501" s="15"/>
      <c r="J501" s="15" t="s">
        <v>367</v>
      </c>
      <c r="K501" s="15" t="s">
        <v>368</v>
      </c>
      <c r="L501" s="15" t="s">
        <v>4255</v>
      </c>
      <c r="M501" s="15" t="s">
        <v>4617</v>
      </c>
      <c r="N501" s="15" t="s">
        <v>73</v>
      </c>
      <c r="O501" s="16" t="n">
        <v>0</v>
      </c>
      <c r="P501" s="16" t="n">
        <v>0</v>
      </c>
      <c r="Q501" s="16" t="n">
        <v>0</v>
      </c>
      <c r="R501" s="16" t="n">
        <v>0</v>
      </c>
      <c r="S501" s="16" t="n">
        <v>0</v>
      </c>
      <c r="T501" s="17" t="n">
        <f aca="false">AVERAGE(O501:Q501)</f>
        <v>0</v>
      </c>
      <c r="U501" s="18" t="str">
        <f aca="false">IF(T501&gt;=$H$3,"Eligible","Not Eligible")</f>
        <v>Not Eligible</v>
      </c>
      <c r="V501" s="19" t="n">
        <f aca="false">IF(T501&lt;$H$3,0,IFERROR(T501/SUMIF($T$5:$T$999,"&gt;="&amp;$H$3),0))</f>
        <v>0</v>
      </c>
      <c r="W501" s="15" t="str">
        <f aca="false">IF(T501=0,"Win-Back","Active")</f>
        <v>Win-Back</v>
      </c>
      <c r="X501" s="20" t="n">
        <f aca="false">IF(T501=0,0,IF(T501&gt;=$H$3,ROUND(T501*$D$3/SUMIF($T$5:$T$999,"&gt;="&amp;$H$3),0),ROUNDUP(T501*$D$3/SUMIF($T$5:$T$999,"&gt;="&amp;$H$3),0)))</f>
        <v>0</v>
      </c>
      <c r="Y501" s="21"/>
      <c r="Z501" s="16" t="str">
        <f aca="false">IF(X501=0,"",X501-Y501)</f>
        <v/>
      </c>
      <c r="AA501" s="22" t="str">
        <f aca="false">IFERROR(Y501/X501,"")</f>
        <v/>
      </c>
      <c r="AB501" s="16" t="n">
        <v>0</v>
      </c>
      <c r="AC501" s="21"/>
    </row>
    <row r="502" customFormat="false" ht="15" hidden="false" customHeight="true" outlineLevel="0" collapsed="false">
      <c r="A502" s="15" t="s">
        <v>5159</v>
      </c>
      <c r="B502" s="15" t="s">
        <v>5160</v>
      </c>
      <c r="C502" s="15" t="s">
        <v>5161</v>
      </c>
      <c r="D502" s="15" t="s">
        <v>5162</v>
      </c>
      <c r="E502" s="15" t="s">
        <v>5163</v>
      </c>
      <c r="F502" s="15" t="s">
        <v>5164</v>
      </c>
      <c r="G502" s="15" t="s">
        <v>5165</v>
      </c>
      <c r="H502" s="15" t="s">
        <v>5166</v>
      </c>
      <c r="I502" s="15" t="s">
        <v>68</v>
      </c>
      <c r="J502" s="15" t="s">
        <v>367</v>
      </c>
      <c r="K502" s="15" t="s">
        <v>368</v>
      </c>
      <c r="L502" s="15" t="s">
        <v>5167</v>
      </c>
      <c r="M502" s="15" t="s">
        <v>5168</v>
      </c>
      <c r="N502" s="15" t="s">
        <v>73</v>
      </c>
      <c r="O502" s="16" t="n">
        <v>0</v>
      </c>
      <c r="P502" s="16" t="n">
        <v>0</v>
      </c>
      <c r="Q502" s="16" t="n">
        <v>0</v>
      </c>
      <c r="R502" s="16" t="n">
        <v>0</v>
      </c>
      <c r="S502" s="16" t="n">
        <v>0</v>
      </c>
      <c r="T502" s="17" t="n">
        <f aca="false">AVERAGE(O502:Q502)</f>
        <v>0</v>
      </c>
      <c r="U502" s="18" t="str">
        <f aca="false">IF(T502&gt;=$H$3,"Eligible","Not Eligible")</f>
        <v>Not Eligible</v>
      </c>
      <c r="V502" s="19" t="n">
        <f aca="false">IF(T502&lt;$H$3,0,IFERROR(T502/SUMIF($T$5:$T$999,"&gt;="&amp;$H$3),0))</f>
        <v>0</v>
      </c>
      <c r="W502" s="15" t="str">
        <f aca="false">IF(T502=0,"Win-Back","Active")</f>
        <v>Win-Back</v>
      </c>
      <c r="X502" s="20" t="n">
        <f aca="false">IF(T502=0,0,IF(T502&gt;=$H$3,ROUND(T502*$D$3/SUMIF($T$5:$T$999,"&gt;="&amp;$H$3),0),ROUNDUP(T502*$D$3/SUMIF($T$5:$T$999,"&gt;="&amp;$H$3),0)))</f>
        <v>0</v>
      </c>
      <c r="Y502" s="21"/>
      <c r="Z502" s="16" t="str">
        <f aca="false">IF(X502=0,"",X502-Y502)</f>
        <v/>
      </c>
      <c r="AA502" s="22" t="str">
        <f aca="false">IFERROR(Y502/X502,"")</f>
        <v/>
      </c>
      <c r="AB502" s="16" t="n">
        <v>0</v>
      </c>
      <c r="AC502" s="21"/>
    </row>
    <row r="503" customFormat="false" ht="15" hidden="false" customHeight="true" outlineLevel="0" collapsed="false">
      <c r="A503" s="15"/>
      <c r="B503" s="15"/>
      <c r="C503" s="15" t="s">
        <v>5169</v>
      </c>
      <c r="D503" s="15" t="s">
        <v>5170</v>
      </c>
      <c r="E503" s="15" t="s">
        <v>5171</v>
      </c>
      <c r="F503" s="15"/>
      <c r="G503" s="15"/>
      <c r="H503" s="15" t="s">
        <v>5172</v>
      </c>
      <c r="I503" s="15" t="s">
        <v>1168</v>
      </c>
      <c r="J503" s="15" t="s">
        <v>5173</v>
      </c>
      <c r="K503" s="15" t="s">
        <v>368</v>
      </c>
      <c r="L503" s="15" t="s">
        <v>5174</v>
      </c>
      <c r="M503" s="15" t="s">
        <v>4617</v>
      </c>
      <c r="N503" s="15" t="s">
        <v>73</v>
      </c>
      <c r="O503" s="16" t="n">
        <v>0</v>
      </c>
      <c r="P503" s="16" t="n">
        <v>0</v>
      </c>
      <c r="Q503" s="16" t="n">
        <v>0</v>
      </c>
      <c r="R503" s="16" t="n">
        <v>0</v>
      </c>
      <c r="S503" s="16" t="n">
        <v>0</v>
      </c>
      <c r="T503" s="17" t="n">
        <f aca="false">AVERAGE(O503:Q503)</f>
        <v>0</v>
      </c>
      <c r="U503" s="18" t="str">
        <f aca="false">IF(T503&gt;=$H$3,"Eligible","Not Eligible")</f>
        <v>Not Eligible</v>
      </c>
      <c r="V503" s="19" t="n">
        <f aca="false">IF(T503&lt;$H$3,0,IFERROR(T503/SUMIF($T$5:$T$999,"&gt;="&amp;$H$3),0))</f>
        <v>0</v>
      </c>
      <c r="W503" s="15" t="str">
        <f aca="false">IF(T503=0,"Win-Back","Active")</f>
        <v>Win-Back</v>
      </c>
      <c r="X503" s="20" t="n">
        <f aca="false">IF(T503=0,0,IF(T503&gt;=$H$3,ROUND(T503*$D$3/SUMIF($T$5:$T$999,"&gt;="&amp;$H$3),0),ROUNDUP(T503*$D$3/SUMIF($T$5:$T$999,"&gt;="&amp;$H$3),0)))</f>
        <v>0</v>
      </c>
      <c r="Y503" s="21"/>
      <c r="Z503" s="16" t="str">
        <f aca="false">IF(X503=0,"",X503-Y503)</f>
        <v/>
      </c>
      <c r="AA503" s="22" t="str">
        <f aca="false">IFERROR(Y503/X503,"")</f>
        <v/>
      </c>
      <c r="AB503" s="16" t="n">
        <v>0</v>
      </c>
      <c r="AC503" s="21"/>
    </row>
    <row r="504" customFormat="false" ht="15" hidden="false" customHeight="true" outlineLevel="0" collapsed="false">
      <c r="A504" s="15" t="s">
        <v>5175</v>
      </c>
      <c r="B504" s="15" t="s">
        <v>5176</v>
      </c>
      <c r="C504" s="15" t="s">
        <v>5177</v>
      </c>
      <c r="D504" s="15" t="s">
        <v>5178</v>
      </c>
      <c r="E504" s="15" t="s">
        <v>5179</v>
      </c>
      <c r="F504" s="15" t="s">
        <v>5180</v>
      </c>
      <c r="G504" s="15" t="s">
        <v>5181</v>
      </c>
      <c r="H504" s="15" t="s">
        <v>5182</v>
      </c>
      <c r="I504" s="15"/>
      <c r="J504" s="15" t="s">
        <v>5183</v>
      </c>
      <c r="K504" s="15" t="s">
        <v>563</v>
      </c>
      <c r="L504" s="15" t="s">
        <v>5184</v>
      </c>
      <c r="M504" s="15" t="s">
        <v>5185</v>
      </c>
      <c r="N504" s="15" t="s">
        <v>73</v>
      </c>
      <c r="O504" s="16" t="n">
        <v>0</v>
      </c>
      <c r="P504" s="16" t="n">
        <v>0</v>
      </c>
      <c r="Q504" s="16" t="n">
        <v>0</v>
      </c>
      <c r="R504" s="16" t="n">
        <v>0</v>
      </c>
      <c r="S504" s="16" t="n">
        <v>0</v>
      </c>
      <c r="T504" s="17" t="n">
        <f aca="false">AVERAGE(O504:Q504)</f>
        <v>0</v>
      </c>
      <c r="U504" s="18" t="str">
        <f aca="false">IF(T504&gt;=$H$3,"Eligible","Not Eligible")</f>
        <v>Not Eligible</v>
      </c>
      <c r="V504" s="19" t="n">
        <f aca="false">IF(T504&lt;$H$3,0,IFERROR(T504/SUMIF($T$5:$T$999,"&gt;="&amp;$H$3),0))</f>
        <v>0</v>
      </c>
      <c r="W504" s="15" t="str">
        <f aca="false">IF(T504=0,"Win-Back","Active")</f>
        <v>Win-Back</v>
      </c>
      <c r="X504" s="20" t="n">
        <f aca="false">IF(T504=0,0,IF(T504&gt;=$H$3,ROUND(T504*$D$3/SUMIF($T$5:$T$999,"&gt;="&amp;$H$3),0),ROUNDUP(T504*$D$3/SUMIF($T$5:$T$999,"&gt;="&amp;$H$3),0)))</f>
        <v>0</v>
      </c>
      <c r="Y504" s="21"/>
      <c r="Z504" s="16" t="str">
        <f aca="false">IF(X504=0,"",X504-Y504)</f>
        <v/>
      </c>
      <c r="AA504" s="22" t="str">
        <f aca="false">IFERROR(Y504/X504,"")</f>
        <v/>
      </c>
      <c r="AB504" s="16" t="n">
        <v>0</v>
      </c>
      <c r="AC504" s="21"/>
    </row>
    <row r="505" customFormat="false" ht="15" hidden="false" customHeight="true" outlineLevel="0" collapsed="false">
      <c r="A505" s="15" t="s">
        <v>5186</v>
      </c>
      <c r="B505" s="15" t="s">
        <v>5187</v>
      </c>
      <c r="C505" s="15" t="s">
        <v>5188</v>
      </c>
      <c r="D505" s="15" t="s">
        <v>5189</v>
      </c>
      <c r="E505" s="15" t="s">
        <v>5190</v>
      </c>
      <c r="F505" s="15" t="s">
        <v>5191</v>
      </c>
      <c r="G505" s="15" t="s">
        <v>5192</v>
      </c>
      <c r="H505" s="15" t="s">
        <v>5193</v>
      </c>
      <c r="I505" s="15"/>
      <c r="J505" s="15" t="s">
        <v>5194</v>
      </c>
      <c r="K505" s="15" t="s">
        <v>2098</v>
      </c>
      <c r="L505" s="15" t="s">
        <v>5195</v>
      </c>
      <c r="M505" s="15" t="s">
        <v>5196</v>
      </c>
      <c r="N505" s="15" t="s">
        <v>73</v>
      </c>
      <c r="O505" s="16" t="n">
        <v>0</v>
      </c>
      <c r="P505" s="16" t="n">
        <v>0</v>
      </c>
      <c r="Q505" s="16" t="n">
        <v>0</v>
      </c>
      <c r="R505" s="16" t="n">
        <v>0</v>
      </c>
      <c r="S505" s="16" t="n">
        <v>0</v>
      </c>
      <c r="T505" s="17" t="n">
        <f aca="false">AVERAGE(O505:Q505)</f>
        <v>0</v>
      </c>
      <c r="U505" s="18" t="str">
        <f aca="false">IF(T505&gt;=$H$3,"Eligible","Not Eligible")</f>
        <v>Not Eligible</v>
      </c>
      <c r="V505" s="19" t="n">
        <f aca="false">IF(T505&lt;$H$3,0,IFERROR(T505/SUMIF($T$5:$T$999,"&gt;="&amp;$H$3),0))</f>
        <v>0</v>
      </c>
      <c r="W505" s="15" t="str">
        <f aca="false">IF(T505=0,"Win-Back","Active")</f>
        <v>Win-Back</v>
      </c>
      <c r="X505" s="20" t="n">
        <f aca="false">IF(T505=0,0,IF(T505&gt;=$H$3,ROUND(T505*$D$3/SUMIF($T$5:$T$999,"&gt;="&amp;$H$3),0),ROUNDUP(T505*$D$3/SUMIF($T$5:$T$999,"&gt;="&amp;$H$3),0)))</f>
        <v>0</v>
      </c>
      <c r="Y505" s="21"/>
      <c r="Z505" s="16" t="str">
        <f aca="false">IF(X505=0,"",X505-Y505)</f>
        <v/>
      </c>
      <c r="AA505" s="22" t="str">
        <f aca="false">IFERROR(Y505/X505,"")</f>
        <v/>
      </c>
      <c r="AB505" s="16" t="n">
        <v>0</v>
      </c>
      <c r="AC505" s="21"/>
    </row>
    <row r="506" customFormat="false" ht="15" hidden="false" customHeight="true" outlineLevel="0" collapsed="false">
      <c r="A506" s="15" t="s">
        <v>5197</v>
      </c>
      <c r="B506" s="15" t="s">
        <v>5198</v>
      </c>
      <c r="C506" s="15" t="s">
        <v>5199</v>
      </c>
      <c r="D506" s="15" t="s">
        <v>5200</v>
      </c>
      <c r="E506" s="15" t="s">
        <v>5201</v>
      </c>
      <c r="F506" s="15" t="s">
        <v>5202</v>
      </c>
      <c r="G506" s="15" t="s">
        <v>5203</v>
      </c>
      <c r="H506" s="15" t="s">
        <v>5204</v>
      </c>
      <c r="I506" s="15"/>
      <c r="J506" s="15" t="s">
        <v>677</v>
      </c>
      <c r="K506" s="15" t="s">
        <v>678</v>
      </c>
      <c r="L506" s="15" t="s">
        <v>5205</v>
      </c>
      <c r="M506" s="15" t="s">
        <v>5206</v>
      </c>
      <c r="N506" s="15" t="s">
        <v>73</v>
      </c>
      <c r="O506" s="16" t="n">
        <v>0</v>
      </c>
      <c r="P506" s="16" t="n">
        <v>0</v>
      </c>
      <c r="Q506" s="16" t="n">
        <v>0</v>
      </c>
      <c r="R506" s="16" t="n">
        <v>0</v>
      </c>
      <c r="S506" s="16" t="n">
        <v>0</v>
      </c>
      <c r="T506" s="17" t="n">
        <f aca="false">AVERAGE(O506:Q506)</f>
        <v>0</v>
      </c>
      <c r="U506" s="18" t="str">
        <f aca="false">IF(T506&gt;=$H$3,"Eligible","Not Eligible")</f>
        <v>Not Eligible</v>
      </c>
      <c r="V506" s="19" t="n">
        <f aca="false">IF(T506&lt;$H$3,0,IFERROR(T506/SUMIF($T$5:$T$999,"&gt;="&amp;$H$3),0))</f>
        <v>0</v>
      </c>
      <c r="W506" s="15" t="str">
        <f aca="false">IF(T506=0,"Win-Back","Active")</f>
        <v>Win-Back</v>
      </c>
      <c r="X506" s="20" t="n">
        <f aca="false">IF(T506=0,0,IF(T506&gt;=$H$3,ROUND(T506*$D$3/SUMIF($T$5:$T$999,"&gt;="&amp;$H$3),0),ROUNDUP(T506*$D$3/SUMIF($T$5:$T$999,"&gt;="&amp;$H$3),0)))</f>
        <v>0</v>
      </c>
      <c r="Y506" s="21"/>
      <c r="Z506" s="16" t="str">
        <f aca="false">IF(X506=0,"",X506-Y506)</f>
        <v/>
      </c>
      <c r="AA506" s="22" t="str">
        <f aca="false">IFERROR(Y506/X506,"")</f>
        <v/>
      </c>
      <c r="AB506" s="16" t="n">
        <v>0</v>
      </c>
      <c r="AC506" s="21"/>
    </row>
    <row r="507" customFormat="false" ht="15" hidden="false" customHeight="true" outlineLevel="0" collapsed="false">
      <c r="A507" s="15" t="s">
        <v>5207</v>
      </c>
      <c r="B507" s="15" t="s">
        <v>5208</v>
      </c>
      <c r="C507" s="15" t="s">
        <v>5209</v>
      </c>
      <c r="D507" s="15" t="s">
        <v>5210</v>
      </c>
      <c r="E507" s="15" t="s">
        <v>5211</v>
      </c>
      <c r="F507" s="15" t="s">
        <v>5212</v>
      </c>
      <c r="G507" s="15" t="s">
        <v>5213</v>
      </c>
      <c r="H507" s="15" t="s">
        <v>5214</v>
      </c>
      <c r="I507" s="15"/>
      <c r="J507" s="15" t="s">
        <v>5215</v>
      </c>
      <c r="K507" s="15" t="s">
        <v>70</v>
      </c>
      <c r="L507" s="15" t="s">
        <v>5216</v>
      </c>
      <c r="M507" s="15" t="s">
        <v>5217</v>
      </c>
      <c r="N507" s="15" t="s">
        <v>73</v>
      </c>
      <c r="O507" s="16" t="n">
        <v>0</v>
      </c>
      <c r="P507" s="16" t="n">
        <v>0</v>
      </c>
      <c r="Q507" s="16" t="n">
        <v>0</v>
      </c>
      <c r="R507" s="16" t="n">
        <v>0</v>
      </c>
      <c r="S507" s="16" t="n">
        <v>0</v>
      </c>
      <c r="T507" s="17" t="n">
        <f aca="false">AVERAGE(O507:Q507)</f>
        <v>0</v>
      </c>
      <c r="U507" s="18" t="str">
        <f aca="false">IF(T507&gt;=$H$3,"Eligible","Not Eligible")</f>
        <v>Not Eligible</v>
      </c>
      <c r="V507" s="19" t="n">
        <f aca="false">IF(T507&lt;$H$3,0,IFERROR(T507/SUMIF($T$5:$T$999,"&gt;="&amp;$H$3),0))</f>
        <v>0</v>
      </c>
      <c r="W507" s="15" t="str">
        <f aca="false">IF(T507=0,"Win-Back","Active")</f>
        <v>Win-Back</v>
      </c>
      <c r="X507" s="20" t="n">
        <f aca="false">IF(T507=0,0,IF(T507&gt;=$H$3,ROUND(T507*$D$3/SUMIF($T$5:$T$999,"&gt;="&amp;$H$3),0),ROUNDUP(T507*$D$3/SUMIF($T$5:$T$999,"&gt;="&amp;$H$3),0)))</f>
        <v>0</v>
      </c>
      <c r="Y507" s="21"/>
      <c r="Z507" s="16" t="str">
        <f aca="false">IF(X507=0,"",X507-Y507)</f>
        <v/>
      </c>
      <c r="AA507" s="22" t="str">
        <f aca="false">IFERROR(Y507/X507,"")</f>
        <v/>
      </c>
      <c r="AB507" s="16" t="n">
        <v>0</v>
      </c>
      <c r="AC507" s="21"/>
    </row>
    <row r="508" customFormat="false" ht="15" hidden="false" customHeight="true" outlineLevel="0" collapsed="false">
      <c r="A508" s="15" t="s">
        <v>5218</v>
      </c>
      <c r="B508" s="15" t="s">
        <v>5219</v>
      </c>
      <c r="C508" s="15" t="s">
        <v>5220</v>
      </c>
      <c r="D508" s="15" t="s">
        <v>5221</v>
      </c>
      <c r="E508" s="15" t="s">
        <v>5222</v>
      </c>
      <c r="F508" s="15" t="s">
        <v>5223</v>
      </c>
      <c r="G508" s="15" t="s">
        <v>5224</v>
      </c>
      <c r="H508" s="15" t="s">
        <v>5225</v>
      </c>
      <c r="I508" s="15" t="s">
        <v>5226</v>
      </c>
      <c r="J508" s="15" t="s">
        <v>5227</v>
      </c>
      <c r="K508" s="15" t="s">
        <v>70</v>
      </c>
      <c r="L508" s="15" t="s">
        <v>5228</v>
      </c>
      <c r="M508" s="15" t="s">
        <v>5229</v>
      </c>
      <c r="N508" s="15" t="s">
        <v>73</v>
      </c>
      <c r="O508" s="16" t="n">
        <v>0</v>
      </c>
      <c r="P508" s="16" t="n">
        <v>0</v>
      </c>
      <c r="Q508" s="16" t="n">
        <v>0</v>
      </c>
      <c r="R508" s="16" t="n">
        <v>0</v>
      </c>
      <c r="S508" s="16" t="n">
        <v>0</v>
      </c>
      <c r="T508" s="17" t="n">
        <f aca="false">AVERAGE(O508:Q508)</f>
        <v>0</v>
      </c>
      <c r="U508" s="18" t="str">
        <f aca="false">IF(T508&gt;=$H$3,"Eligible","Not Eligible")</f>
        <v>Not Eligible</v>
      </c>
      <c r="V508" s="19" t="n">
        <f aca="false">IF(T508&lt;$H$3,0,IFERROR(T508/SUMIF($T$5:$T$999,"&gt;="&amp;$H$3),0))</f>
        <v>0</v>
      </c>
      <c r="W508" s="15" t="str">
        <f aca="false">IF(T508=0,"Win-Back","Active")</f>
        <v>Win-Back</v>
      </c>
      <c r="X508" s="20" t="n">
        <f aca="false">IF(T508=0,0,IF(T508&gt;=$H$3,ROUND(T508*$D$3/SUMIF($T$5:$T$999,"&gt;="&amp;$H$3),0),ROUNDUP(T508*$D$3/SUMIF($T$5:$T$999,"&gt;="&amp;$H$3),0)))</f>
        <v>0</v>
      </c>
      <c r="Y508" s="21"/>
      <c r="Z508" s="16" t="str">
        <f aca="false">IF(X508=0,"",X508-Y508)</f>
        <v/>
      </c>
      <c r="AA508" s="22" t="str">
        <f aca="false">IFERROR(Y508/X508,"")</f>
        <v/>
      </c>
      <c r="AB508" s="16" t="n">
        <v>0</v>
      </c>
      <c r="AC508" s="21"/>
    </row>
    <row r="509" customFormat="false" ht="15" hidden="false" customHeight="true" outlineLevel="0" collapsed="false">
      <c r="A509" s="15" t="s">
        <v>5230</v>
      </c>
      <c r="B509" s="15" t="s">
        <v>5231</v>
      </c>
      <c r="C509" s="15" t="s">
        <v>5232</v>
      </c>
      <c r="D509" s="15" t="s">
        <v>5233</v>
      </c>
      <c r="E509" s="15" t="s">
        <v>5234</v>
      </c>
      <c r="F509" s="15" t="s">
        <v>5235</v>
      </c>
      <c r="G509" s="15" t="s">
        <v>5236</v>
      </c>
      <c r="H509" s="15" t="s">
        <v>5237</v>
      </c>
      <c r="I509" s="15"/>
      <c r="J509" s="15" t="s">
        <v>367</v>
      </c>
      <c r="K509" s="15" t="s">
        <v>368</v>
      </c>
      <c r="L509" s="15" t="s">
        <v>5238</v>
      </c>
      <c r="M509" s="15" t="s">
        <v>5239</v>
      </c>
      <c r="N509" s="15" t="s">
        <v>73</v>
      </c>
      <c r="O509" s="16" t="n">
        <v>0</v>
      </c>
      <c r="P509" s="16" t="n">
        <v>0</v>
      </c>
      <c r="Q509" s="16" t="n">
        <v>0</v>
      </c>
      <c r="R509" s="16" t="n">
        <v>0</v>
      </c>
      <c r="S509" s="16" t="n">
        <v>0</v>
      </c>
      <c r="T509" s="17" t="n">
        <f aca="false">AVERAGE(O509:Q509)</f>
        <v>0</v>
      </c>
      <c r="U509" s="18" t="str">
        <f aca="false">IF(T509&gt;=$H$3,"Eligible","Not Eligible")</f>
        <v>Not Eligible</v>
      </c>
      <c r="V509" s="19" t="n">
        <f aca="false">IF(T509&lt;$H$3,0,IFERROR(T509/SUMIF($T$5:$T$999,"&gt;="&amp;$H$3),0))</f>
        <v>0</v>
      </c>
      <c r="W509" s="15" t="str">
        <f aca="false">IF(T509=0,"Win-Back","Active")</f>
        <v>Win-Back</v>
      </c>
      <c r="X509" s="20" t="n">
        <f aca="false">IF(T509=0,0,IF(T509&gt;=$H$3,ROUND(T509*$D$3/SUMIF($T$5:$T$999,"&gt;="&amp;$H$3),0),ROUNDUP(T509*$D$3/SUMIF($T$5:$T$999,"&gt;="&amp;$H$3),0)))</f>
        <v>0</v>
      </c>
      <c r="Y509" s="21"/>
      <c r="Z509" s="16" t="str">
        <f aca="false">IF(X509=0,"",X509-Y509)</f>
        <v/>
      </c>
      <c r="AA509" s="22" t="str">
        <f aca="false">IFERROR(Y509/X509,"")</f>
        <v/>
      </c>
      <c r="AB509" s="16" t="n">
        <v>0</v>
      </c>
      <c r="AC509" s="21"/>
    </row>
    <row r="510" customFormat="false" ht="15" hidden="false" customHeight="true" outlineLevel="0" collapsed="false">
      <c r="A510" s="15" t="s">
        <v>5240</v>
      </c>
      <c r="B510" s="15" t="s">
        <v>5241</v>
      </c>
      <c r="C510" s="15" t="s">
        <v>5242</v>
      </c>
      <c r="D510" s="15" t="s">
        <v>5243</v>
      </c>
      <c r="E510" s="15" t="s">
        <v>5244</v>
      </c>
      <c r="F510" s="15" t="s">
        <v>5245</v>
      </c>
      <c r="G510" s="15" t="s">
        <v>5246</v>
      </c>
      <c r="H510" s="15" t="s">
        <v>5247</v>
      </c>
      <c r="I510" s="15"/>
      <c r="J510" s="15" t="s">
        <v>5248</v>
      </c>
      <c r="K510" s="15" t="s">
        <v>1139</v>
      </c>
      <c r="L510" s="15" t="s">
        <v>5249</v>
      </c>
      <c r="M510" s="15" t="s">
        <v>5250</v>
      </c>
      <c r="N510" s="15" t="s">
        <v>73</v>
      </c>
      <c r="O510" s="16" t="n">
        <v>0</v>
      </c>
      <c r="P510" s="16" t="n">
        <v>0</v>
      </c>
      <c r="Q510" s="16" t="n">
        <v>0</v>
      </c>
      <c r="R510" s="16" t="n">
        <v>0</v>
      </c>
      <c r="S510" s="16" t="n">
        <v>0</v>
      </c>
      <c r="T510" s="17" t="n">
        <f aca="false">AVERAGE(O510:Q510)</f>
        <v>0</v>
      </c>
      <c r="U510" s="18" t="str">
        <f aca="false">IF(T510&gt;=$H$3,"Eligible","Not Eligible")</f>
        <v>Not Eligible</v>
      </c>
      <c r="V510" s="19" t="n">
        <f aca="false">IF(T510&lt;$H$3,0,IFERROR(T510/SUMIF($T$5:$T$999,"&gt;="&amp;$H$3),0))</f>
        <v>0</v>
      </c>
      <c r="W510" s="15" t="str">
        <f aca="false">IF(T510=0,"Win-Back","Active")</f>
        <v>Win-Back</v>
      </c>
      <c r="X510" s="20" t="n">
        <f aca="false">IF(T510=0,0,IF(T510&gt;=$H$3,ROUND(T510*$D$3/SUMIF($T$5:$T$999,"&gt;="&amp;$H$3),0),ROUNDUP(T510*$D$3/SUMIF($T$5:$T$999,"&gt;="&amp;$H$3),0)))</f>
        <v>0</v>
      </c>
      <c r="Y510" s="21"/>
      <c r="Z510" s="16" t="str">
        <f aca="false">IF(X510=0,"",X510-Y510)</f>
        <v/>
      </c>
      <c r="AA510" s="22" t="str">
        <f aca="false">IFERROR(Y510/X510,"")</f>
        <v/>
      </c>
      <c r="AB510" s="16" t="n">
        <v>0</v>
      </c>
      <c r="AC510" s="21"/>
    </row>
    <row r="511" customFormat="false" ht="15" hidden="false" customHeight="true" outlineLevel="0" collapsed="false">
      <c r="A511" s="15" t="s">
        <v>5251</v>
      </c>
      <c r="B511" s="15" t="s">
        <v>5252</v>
      </c>
      <c r="C511" s="15" t="s">
        <v>5253</v>
      </c>
      <c r="D511" s="15" t="s">
        <v>5254</v>
      </c>
      <c r="E511" s="15" t="s">
        <v>5255</v>
      </c>
      <c r="F511" s="15" t="s">
        <v>5256</v>
      </c>
      <c r="G511" s="15" t="s">
        <v>5257</v>
      </c>
      <c r="H511" s="15" t="s">
        <v>5258</v>
      </c>
      <c r="I511" s="15"/>
      <c r="J511" s="15" t="s">
        <v>367</v>
      </c>
      <c r="K511" s="15" t="s">
        <v>368</v>
      </c>
      <c r="L511" s="15" t="s">
        <v>5259</v>
      </c>
      <c r="M511" s="15" t="s">
        <v>5260</v>
      </c>
      <c r="N511" s="15" t="s">
        <v>73</v>
      </c>
      <c r="O511" s="16" t="n">
        <v>0</v>
      </c>
      <c r="P511" s="16" t="n">
        <v>0</v>
      </c>
      <c r="Q511" s="16" t="n">
        <v>0</v>
      </c>
      <c r="R511" s="16" t="n">
        <v>0</v>
      </c>
      <c r="S511" s="16" t="n">
        <v>0</v>
      </c>
      <c r="T511" s="17" t="n">
        <f aca="false">AVERAGE(O511:Q511)</f>
        <v>0</v>
      </c>
      <c r="U511" s="18" t="str">
        <f aca="false">IF(T511&gt;=$H$3,"Eligible","Not Eligible")</f>
        <v>Not Eligible</v>
      </c>
      <c r="V511" s="19" t="n">
        <f aca="false">IF(T511&lt;$H$3,0,IFERROR(T511/SUMIF($T$5:$T$999,"&gt;="&amp;$H$3),0))</f>
        <v>0</v>
      </c>
      <c r="W511" s="15" t="str">
        <f aca="false">IF(T511=0,"Win-Back","Active")</f>
        <v>Win-Back</v>
      </c>
      <c r="X511" s="20" t="n">
        <f aca="false">IF(T511=0,0,IF(T511&gt;=$H$3,ROUND(T511*$D$3/SUMIF($T$5:$T$999,"&gt;="&amp;$H$3),0),ROUNDUP(T511*$D$3/SUMIF($T$5:$T$999,"&gt;="&amp;$H$3),0)))</f>
        <v>0</v>
      </c>
      <c r="Y511" s="21"/>
      <c r="Z511" s="16" t="str">
        <f aca="false">IF(X511=0,"",X511-Y511)</f>
        <v/>
      </c>
      <c r="AA511" s="22" t="str">
        <f aca="false">IFERROR(Y511/X511,"")</f>
        <v/>
      </c>
      <c r="AB511" s="16" t="n">
        <v>0</v>
      </c>
      <c r="AC511" s="21"/>
    </row>
    <row r="512" customFormat="false" ht="15" hidden="false" customHeight="true" outlineLevel="0" collapsed="false">
      <c r="A512" s="15" t="s">
        <v>5261</v>
      </c>
      <c r="B512" s="15" t="s">
        <v>5262</v>
      </c>
      <c r="C512" s="15" t="s">
        <v>5263</v>
      </c>
      <c r="D512" s="15" t="s">
        <v>5264</v>
      </c>
      <c r="E512" s="15" t="s">
        <v>5265</v>
      </c>
      <c r="F512" s="15" t="s">
        <v>5266</v>
      </c>
      <c r="G512" s="15" t="s">
        <v>5267</v>
      </c>
      <c r="H512" s="15" t="s">
        <v>5268</v>
      </c>
      <c r="I512" s="15"/>
      <c r="J512" s="15" t="s">
        <v>5227</v>
      </c>
      <c r="K512" s="15" t="s">
        <v>70</v>
      </c>
      <c r="L512" s="15" t="s">
        <v>5228</v>
      </c>
      <c r="M512" s="15" t="s">
        <v>5269</v>
      </c>
      <c r="N512" s="15" t="s">
        <v>73</v>
      </c>
      <c r="O512" s="16" t="n">
        <v>0</v>
      </c>
      <c r="P512" s="16" t="n">
        <v>0</v>
      </c>
      <c r="Q512" s="16" t="n">
        <v>0</v>
      </c>
      <c r="R512" s="16" t="n">
        <v>0</v>
      </c>
      <c r="S512" s="16" t="n">
        <v>0</v>
      </c>
      <c r="T512" s="17" t="n">
        <f aca="false">AVERAGE(O512:Q512)</f>
        <v>0</v>
      </c>
      <c r="U512" s="18" t="str">
        <f aca="false">IF(T512&gt;=$H$3,"Eligible","Not Eligible")</f>
        <v>Not Eligible</v>
      </c>
      <c r="V512" s="19" t="n">
        <f aca="false">IF(T512&lt;$H$3,0,IFERROR(T512/SUMIF($T$5:$T$999,"&gt;="&amp;$H$3),0))</f>
        <v>0</v>
      </c>
      <c r="W512" s="15" t="str">
        <f aca="false">IF(T512=0,"Win-Back","Active")</f>
        <v>Win-Back</v>
      </c>
      <c r="X512" s="20" t="n">
        <f aca="false">IF(T512=0,0,IF(T512&gt;=$H$3,ROUND(T512*$D$3/SUMIF($T$5:$T$999,"&gt;="&amp;$H$3),0),ROUNDUP(T512*$D$3/SUMIF($T$5:$T$999,"&gt;="&amp;$H$3),0)))</f>
        <v>0</v>
      </c>
      <c r="Y512" s="21"/>
      <c r="Z512" s="16" t="str">
        <f aca="false">IF(X512=0,"",X512-Y512)</f>
        <v/>
      </c>
      <c r="AA512" s="22" t="str">
        <f aca="false">IFERROR(Y512/X512,"")</f>
        <v/>
      </c>
      <c r="AB512" s="16" t="n">
        <v>0</v>
      </c>
      <c r="AC512" s="21"/>
    </row>
    <row r="513" customFormat="false" ht="15" hidden="false" customHeight="true" outlineLevel="0" collapsed="false">
      <c r="A513" s="15" t="s">
        <v>5270</v>
      </c>
      <c r="B513" s="15" t="s">
        <v>5271</v>
      </c>
      <c r="C513" s="15" t="s">
        <v>5272</v>
      </c>
      <c r="D513" s="15" t="s">
        <v>5273</v>
      </c>
      <c r="E513" s="15" t="s">
        <v>5274</v>
      </c>
      <c r="F513" s="15" t="s">
        <v>5275</v>
      </c>
      <c r="G513" s="15" t="s">
        <v>5276</v>
      </c>
      <c r="H513" s="15" t="s">
        <v>5277</v>
      </c>
      <c r="I513" s="15"/>
      <c r="J513" s="15" t="s">
        <v>677</v>
      </c>
      <c r="K513" s="15" t="s">
        <v>678</v>
      </c>
      <c r="L513" s="15" t="s">
        <v>2399</v>
      </c>
      <c r="M513" s="15" t="s">
        <v>5278</v>
      </c>
      <c r="N513" s="15" t="s">
        <v>73</v>
      </c>
      <c r="O513" s="16" t="n">
        <v>0</v>
      </c>
      <c r="P513" s="16" t="n">
        <v>0</v>
      </c>
      <c r="Q513" s="16" t="n">
        <v>0</v>
      </c>
      <c r="R513" s="16" t="n">
        <v>0</v>
      </c>
      <c r="S513" s="16" t="n">
        <v>0</v>
      </c>
      <c r="T513" s="17" t="n">
        <f aca="false">AVERAGE(O513:Q513)</f>
        <v>0</v>
      </c>
      <c r="U513" s="18" t="str">
        <f aca="false">IF(T513&gt;=$H$3,"Eligible","Not Eligible")</f>
        <v>Not Eligible</v>
      </c>
      <c r="V513" s="19" t="n">
        <f aca="false">IF(T513&lt;$H$3,0,IFERROR(T513/SUMIF($T$5:$T$999,"&gt;="&amp;$H$3),0))</f>
        <v>0</v>
      </c>
      <c r="W513" s="15" t="str">
        <f aca="false">IF(T513=0,"Win-Back","Active")</f>
        <v>Win-Back</v>
      </c>
      <c r="X513" s="20" t="n">
        <f aca="false">IF(T513=0,0,IF(T513&gt;=$H$3,ROUND(T513*$D$3/SUMIF($T$5:$T$999,"&gt;="&amp;$H$3),0),ROUNDUP(T513*$D$3/SUMIF($T$5:$T$999,"&gt;="&amp;$H$3),0)))</f>
        <v>0</v>
      </c>
      <c r="Y513" s="21"/>
      <c r="Z513" s="16" t="str">
        <f aca="false">IF(X513=0,"",X513-Y513)</f>
        <v/>
      </c>
      <c r="AA513" s="22" t="str">
        <f aca="false">IFERROR(Y513/X513,"")</f>
        <v/>
      </c>
      <c r="AB513" s="16" t="n">
        <v>0</v>
      </c>
      <c r="AC513" s="21"/>
    </row>
    <row r="514" customFormat="false" ht="15" hidden="false" customHeight="true" outlineLevel="0" collapsed="false">
      <c r="A514" s="15" t="s">
        <v>5279</v>
      </c>
      <c r="B514" s="15" t="s">
        <v>5280</v>
      </c>
      <c r="C514" s="15" t="s">
        <v>5281</v>
      </c>
      <c r="D514" s="15" t="s">
        <v>5282</v>
      </c>
      <c r="E514" s="15" t="s">
        <v>5283</v>
      </c>
      <c r="F514" s="15" t="s">
        <v>5284</v>
      </c>
      <c r="G514" s="15" t="s">
        <v>5285</v>
      </c>
      <c r="H514" s="15" t="s">
        <v>5286</v>
      </c>
      <c r="I514" s="15" t="s">
        <v>5287</v>
      </c>
      <c r="J514" s="15" t="s">
        <v>5288</v>
      </c>
      <c r="K514" s="15" t="s">
        <v>70</v>
      </c>
      <c r="L514" s="15" t="s">
        <v>5289</v>
      </c>
      <c r="M514" s="15" t="s">
        <v>5290</v>
      </c>
      <c r="N514" s="15" t="s">
        <v>73</v>
      </c>
      <c r="O514" s="16" t="n">
        <v>0</v>
      </c>
      <c r="P514" s="16" t="n">
        <v>0</v>
      </c>
      <c r="Q514" s="16" t="n">
        <v>0</v>
      </c>
      <c r="R514" s="16" t="n">
        <v>0</v>
      </c>
      <c r="S514" s="16" t="n">
        <v>0</v>
      </c>
      <c r="T514" s="17" t="n">
        <f aca="false">AVERAGE(O514:Q514)</f>
        <v>0</v>
      </c>
      <c r="U514" s="18" t="str">
        <f aca="false">IF(T514&gt;=$H$3,"Eligible","Not Eligible")</f>
        <v>Not Eligible</v>
      </c>
      <c r="V514" s="19" t="n">
        <f aca="false">IF(T514&lt;$H$3,0,IFERROR(T514/SUMIF($T$5:$T$999,"&gt;="&amp;$H$3),0))</f>
        <v>0</v>
      </c>
      <c r="W514" s="15" t="str">
        <f aca="false">IF(T514=0,"Win-Back","Active")</f>
        <v>Win-Back</v>
      </c>
      <c r="X514" s="20" t="n">
        <f aca="false">IF(T514=0,0,IF(T514&gt;=$H$3,ROUND(T514*$D$3/SUMIF($T$5:$T$999,"&gt;="&amp;$H$3),0),ROUNDUP(T514*$D$3/SUMIF($T$5:$T$999,"&gt;="&amp;$H$3),0)))</f>
        <v>0</v>
      </c>
      <c r="Y514" s="21" t="n">
        <v>1</v>
      </c>
      <c r="Z514" s="16" t="str">
        <f aca="false">IF(X514=0,"",X514-Y514)</f>
        <v/>
      </c>
      <c r="AA514" s="22" t="str">
        <f aca="false">IFERROR(Y514/X514,"")</f>
        <v/>
      </c>
      <c r="AB514" s="16" t="n">
        <v>0</v>
      </c>
      <c r="AC514" s="21" t="n">
        <v>6</v>
      </c>
    </row>
    <row r="515" customFormat="false" ht="15" hidden="false" customHeight="true" outlineLevel="0" collapsed="false">
      <c r="A515" s="15" t="s">
        <v>5291</v>
      </c>
      <c r="B515" s="15" t="s">
        <v>5292</v>
      </c>
      <c r="C515" s="15" t="s">
        <v>5293</v>
      </c>
      <c r="D515" s="15" t="s">
        <v>5294</v>
      </c>
      <c r="E515" s="15" t="s">
        <v>5295</v>
      </c>
      <c r="F515" s="15" t="s">
        <v>5296</v>
      </c>
      <c r="G515" s="15" t="s">
        <v>5297</v>
      </c>
      <c r="H515" s="15" t="s">
        <v>5298</v>
      </c>
      <c r="I515" s="15"/>
      <c r="J515" s="15" t="s">
        <v>5299</v>
      </c>
      <c r="K515" s="15" t="s">
        <v>563</v>
      </c>
      <c r="L515" s="15" t="s">
        <v>5300</v>
      </c>
      <c r="M515" s="15" t="s">
        <v>5301</v>
      </c>
      <c r="N515" s="15" t="s">
        <v>73</v>
      </c>
      <c r="O515" s="16" t="n">
        <v>0</v>
      </c>
      <c r="P515" s="16" t="n">
        <v>0</v>
      </c>
      <c r="Q515" s="16" t="n">
        <v>0</v>
      </c>
      <c r="R515" s="16" t="n">
        <v>0</v>
      </c>
      <c r="S515" s="16" t="n">
        <v>0</v>
      </c>
      <c r="T515" s="17" t="n">
        <f aca="false">AVERAGE(O515:Q515)</f>
        <v>0</v>
      </c>
      <c r="U515" s="18" t="str">
        <f aca="false">IF(T515&gt;=$H$3,"Eligible","Not Eligible")</f>
        <v>Not Eligible</v>
      </c>
      <c r="V515" s="19" t="n">
        <f aca="false">IF(T515&lt;$H$3,0,IFERROR(T515/SUMIF($T$5:$T$999,"&gt;="&amp;$H$3),0))</f>
        <v>0</v>
      </c>
      <c r="W515" s="15" t="str">
        <f aca="false">IF(T515=0,"Win-Back","Active")</f>
        <v>Win-Back</v>
      </c>
      <c r="X515" s="20" t="n">
        <f aca="false">IF(T515=0,0,IF(T515&gt;=$H$3,ROUND(T515*$D$3/SUMIF($T$5:$T$999,"&gt;="&amp;$H$3),0),ROUNDUP(T515*$D$3/SUMIF($T$5:$T$999,"&gt;="&amp;$H$3),0)))</f>
        <v>0</v>
      </c>
      <c r="Y515" s="21"/>
      <c r="Z515" s="16" t="str">
        <f aca="false">IF(X515=0,"",X515-Y515)</f>
        <v/>
      </c>
      <c r="AA515" s="22" t="str">
        <f aca="false">IFERROR(Y515/X515,"")</f>
        <v/>
      </c>
      <c r="AB515" s="16" t="n">
        <v>0</v>
      </c>
      <c r="AC515" s="21"/>
    </row>
    <row r="516" customFormat="false" ht="15" hidden="false" customHeight="true" outlineLevel="0" collapsed="false">
      <c r="A516" s="15" t="s">
        <v>5302</v>
      </c>
      <c r="B516" s="15" t="s">
        <v>5303</v>
      </c>
      <c r="C516" s="15" t="s">
        <v>5304</v>
      </c>
      <c r="D516" s="15" t="s">
        <v>5305</v>
      </c>
      <c r="E516" s="15" t="s">
        <v>5306</v>
      </c>
      <c r="F516" s="15" t="s">
        <v>5307</v>
      </c>
      <c r="G516" s="15" t="s">
        <v>5308</v>
      </c>
      <c r="H516" s="15" t="s">
        <v>5309</v>
      </c>
      <c r="I516" s="15" t="s">
        <v>5310</v>
      </c>
      <c r="J516" s="15" t="s">
        <v>3835</v>
      </c>
      <c r="K516" s="15" t="s">
        <v>70</v>
      </c>
      <c r="L516" s="15" t="s">
        <v>2420</v>
      </c>
      <c r="M516" s="15" t="s">
        <v>5311</v>
      </c>
      <c r="N516" s="15" t="s">
        <v>73</v>
      </c>
      <c r="O516" s="16" t="n">
        <v>0</v>
      </c>
      <c r="P516" s="16" t="n">
        <v>0</v>
      </c>
      <c r="Q516" s="16" t="n">
        <v>0</v>
      </c>
      <c r="R516" s="16" t="n">
        <v>0</v>
      </c>
      <c r="S516" s="16" t="n">
        <v>0</v>
      </c>
      <c r="T516" s="17" t="n">
        <f aca="false">AVERAGE(O516:Q516)</f>
        <v>0</v>
      </c>
      <c r="U516" s="18" t="str">
        <f aca="false">IF(T516&gt;=$H$3,"Eligible","Not Eligible")</f>
        <v>Not Eligible</v>
      </c>
      <c r="V516" s="19" t="n">
        <f aca="false">IF(T516&lt;$H$3,0,IFERROR(T516/SUMIF($T$5:$T$999,"&gt;="&amp;$H$3),0))</f>
        <v>0</v>
      </c>
      <c r="W516" s="15" t="str">
        <f aca="false">IF(T516=0,"Win-Back","Active")</f>
        <v>Win-Back</v>
      </c>
      <c r="X516" s="20" t="n">
        <f aca="false">IF(T516=0,0,IF(T516&gt;=$H$3,ROUND(T516*$D$3/SUMIF($T$5:$T$999,"&gt;="&amp;$H$3),0),ROUNDUP(T516*$D$3/SUMIF($T$5:$T$999,"&gt;="&amp;$H$3),0)))</f>
        <v>0</v>
      </c>
      <c r="Y516" s="21"/>
      <c r="Z516" s="16" t="str">
        <f aca="false">IF(X516=0,"",X516-Y516)</f>
        <v/>
      </c>
      <c r="AA516" s="22" t="str">
        <f aca="false">IFERROR(Y516/X516,"")</f>
        <v/>
      </c>
      <c r="AB516" s="16" t="n">
        <v>0</v>
      </c>
      <c r="AC516" s="21"/>
    </row>
    <row r="517" customFormat="false" ht="15" hidden="false" customHeight="true" outlineLevel="0" collapsed="false">
      <c r="A517" s="15"/>
      <c r="B517" s="15"/>
      <c r="C517" s="15" t="s">
        <v>5312</v>
      </c>
      <c r="D517" s="15" t="s">
        <v>5313</v>
      </c>
      <c r="E517" s="15" t="s">
        <v>5314</v>
      </c>
      <c r="F517" s="15"/>
      <c r="G517" s="15"/>
      <c r="H517" s="15" t="s">
        <v>5315</v>
      </c>
      <c r="I517" s="15"/>
      <c r="J517" s="15" t="s">
        <v>82</v>
      </c>
      <c r="K517" s="15" t="s">
        <v>47</v>
      </c>
      <c r="L517" s="15" t="s">
        <v>93</v>
      </c>
      <c r="M517" s="15" t="s">
        <v>4617</v>
      </c>
      <c r="N517" s="15" t="s">
        <v>50</v>
      </c>
      <c r="O517" s="16" t="n">
        <v>0</v>
      </c>
      <c r="P517" s="16" t="n">
        <v>0</v>
      </c>
      <c r="Q517" s="16" t="n">
        <v>0</v>
      </c>
      <c r="R517" s="16" t="n">
        <v>0</v>
      </c>
      <c r="S517" s="16" t="n">
        <v>0</v>
      </c>
      <c r="T517" s="17" t="n">
        <f aca="false">AVERAGE(O517:Q517)</f>
        <v>0</v>
      </c>
      <c r="U517" s="18" t="str">
        <f aca="false">IF(T517&gt;=$H$3,"Eligible","Not Eligible")</f>
        <v>Not Eligible</v>
      </c>
      <c r="V517" s="19" t="n">
        <f aca="false">IF(T517&lt;$H$3,0,IFERROR(T517/SUMIF($T$5:$T$999,"&gt;="&amp;$H$3),0))</f>
        <v>0</v>
      </c>
      <c r="W517" s="15" t="str">
        <f aca="false">IF(T517=0,"Win-Back","Active")</f>
        <v>Win-Back</v>
      </c>
      <c r="X517" s="20" t="n">
        <f aca="false">IF(T517=0,0,IF(T517&gt;=$H$3,ROUND(T517*$D$3/SUMIF($T$5:$T$999,"&gt;="&amp;$H$3),0),ROUNDUP(T517*$D$3/SUMIF($T$5:$T$999,"&gt;="&amp;$H$3),0)))</f>
        <v>0</v>
      </c>
      <c r="Y517" s="21"/>
      <c r="Z517" s="16" t="str">
        <f aca="false">IF(X517=0,"",X517-Y517)</f>
        <v/>
      </c>
      <c r="AA517" s="22" t="str">
        <f aca="false">IFERROR(Y517/X517,"")</f>
        <v/>
      </c>
      <c r="AB517" s="16" t="n">
        <v>0</v>
      </c>
      <c r="AC517" s="21"/>
    </row>
    <row r="518" customFormat="false" ht="15" hidden="false" customHeight="true" outlineLevel="0" collapsed="false">
      <c r="A518" s="15" t="s">
        <v>5316</v>
      </c>
      <c r="B518" s="15" t="s">
        <v>5317</v>
      </c>
      <c r="C518" s="15" t="s">
        <v>5318</v>
      </c>
      <c r="D518" s="15" t="s">
        <v>5319</v>
      </c>
      <c r="E518" s="15" t="s">
        <v>5320</v>
      </c>
      <c r="F518" s="15" t="s">
        <v>5321</v>
      </c>
      <c r="G518" s="15" t="s">
        <v>5322</v>
      </c>
      <c r="H518" s="15" t="s">
        <v>5323</v>
      </c>
      <c r="I518" s="15"/>
      <c r="J518" s="15" t="s">
        <v>2009</v>
      </c>
      <c r="K518" s="15" t="s">
        <v>563</v>
      </c>
      <c r="L518" s="15" t="s">
        <v>5324</v>
      </c>
      <c r="M518" s="15" t="s">
        <v>5325</v>
      </c>
      <c r="N518" s="15" t="s">
        <v>73</v>
      </c>
      <c r="O518" s="16" t="n">
        <v>0</v>
      </c>
      <c r="P518" s="16" t="n">
        <v>0</v>
      </c>
      <c r="Q518" s="16" t="n">
        <v>0</v>
      </c>
      <c r="R518" s="16" t="n">
        <v>0</v>
      </c>
      <c r="S518" s="16" t="n">
        <v>0</v>
      </c>
      <c r="T518" s="17" t="n">
        <f aca="false">AVERAGE(O518:Q518)</f>
        <v>0</v>
      </c>
      <c r="U518" s="18" t="str">
        <f aca="false">IF(T518&gt;=$H$3,"Eligible","Not Eligible")</f>
        <v>Not Eligible</v>
      </c>
      <c r="V518" s="19" t="n">
        <f aca="false">IF(T518&lt;$H$3,0,IFERROR(T518/SUMIF($T$5:$T$999,"&gt;="&amp;$H$3),0))</f>
        <v>0</v>
      </c>
      <c r="W518" s="15" t="str">
        <f aca="false">IF(T518=0,"Win-Back","Active")</f>
        <v>Win-Back</v>
      </c>
      <c r="X518" s="20" t="n">
        <f aca="false">IF(T518=0,0,IF(T518&gt;=$H$3,ROUND(T518*$D$3/SUMIF($T$5:$T$999,"&gt;="&amp;$H$3),0),ROUNDUP(T518*$D$3/SUMIF($T$5:$T$999,"&gt;="&amp;$H$3),0)))</f>
        <v>0</v>
      </c>
      <c r="Y518" s="21"/>
      <c r="Z518" s="16" t="str">
        <f aca="false">IF(X518=0,"",X518-Y518)</f>
        <v/>
      </c>
      <c r="AA518" s="22" t="str">
        <f aca="false">IFERROR(Y518/X518,"")</f>
        <v/>
      </c>
      <c r="AB518" s="16" t="n">
        <v>0</v>
      </c>
      <c r="AC518" s="21"/>
    </row>
    <row r="519" customFormat="false" ht="15" hidden="false" customHeight="true" outlineLevel="0" collapsed="false">
      <c r="A519" s="15" t="s">
        <v>5326</v>
      </c>
      <c r="B519" s="15" t="s">
        <v>5327</v>
      </c>
      <c r="C519" s="15" t="s">
        <v>5328</v>
      </c>
      <c r="D519" s="15" t="s">
        <v>5329</v>
      </c>
      <c r="E519" s="15" t="s">
        <v>5330</v>
      </c>
      <c r="F519" s="15" t="s">
        <v>5331</v>
      </c>
      <c r="G519" s="15" t="s">
        <v>5332</v>
      </c>
      <c r="H519" s="15" t="s">
        <v>5333</v>
      </c>
      <c r="I519" s="15"/>
      <c r="J519" s="15" t="s">
        <v>947</v>
      </c>
      <c r="K519" s="15" t="s">
        <v>864</v>
      </c>
      <c r="L519" s="15" t="s">
        <v>5334</v>
      </c>
      <c r="M519" s="15" t="s">
        <v>5335</v>
      </c>
      <c r="N519" s="15" t="s">
        <v>73</v>
      </c>
      <c r="O519" s="16" t="n">
        <v>0</v>
      </c>
      <c r="P519" s="16" t="n">
        <v>0</v>
      </c>
      <c r="Q519" s="16" t="n">
        <v>0</v>
      </c>
      <c r="R519" s="16" t="n">
        <v>0</v>
      </c>
      <c r="S519" s="16" t="n">
        <v>0</v>
      </c>
      <c r="T519" s="17" t="n">
        <f aca="false">AVERAGE(O519:Q519)</f>
        <v>0</v>
      </c>
      <c r="U519" s="18" t="str">
        <f aca="false">IF(T519&gt;=$H$3,"Eligible","Not Eligible")</f>
        <v>Not Eligible</v>
      </c>
      <c r="V519" s="19" t="n">
        <f aca="false">IF(T519&lt;$H$3,0,IFERROR(T519/SUMIF($T$5:$T$999,"&gt;="&amp;$H$3),0))</f>
        <v>0</v>
      </c>
      <c r="W519" s="15" t="str">
        <f aca="false">IF(T519=0,"Win-Back","Active")</f>
        <v>Win-Back</v>
      </c>
      <c r="X519" s="20" t="n">
        <f aca="false">IF(T519=0,0,IF(T519&gt;=$H$3,ROUND(T519*$D$3/SUMIF($T$5:$T$999,"&gt;="&amp;$H$3),0),ROUNDUP(T519*$D$3/SUMIF($T$5:$T$999,"&gt;="&amp;$H$3),0)))</f>
        <v>0</v>
      </c>
      <c r="Y519" s="21"/>
      <c r="Z519" s="16" t="str">
        <f aca="false">IF(X519=0,"",X519-Y519)</f>
        <v/>
      </c>
      <c r="AA519" s="22" t="str">
        <f aca="false">IFERROR(Y519/X519,"")</f>
        <v/>
      </c>
      <c r="AB519" s="16" t="n">
        <v>0</v>
      </c>
      <c r="AC519" s="21"/>
    </row>
    <row r="520" customFormat="false" ht="15" hidden="false" customHeight="true" outlineLevel="0" collapsed="false">
      <c r="A520" s="15" t="s">
        <v>5336</v>
      </c>
      <c r="B520" s="15" t="s">
        <v>5337</v>
      </c>
      <c r="C520" s="15" t="s">
        <v>5338</v>
      </c>
      <c r="D520" s="15" t="s">
        <v>5339</v>
      </c>
      <c r="E520" s="15" t="s">
        <v>5340</v>
      </c>
      <c r="F520" s="15" t="s">
        <v>5341</v>
      </c>
      <c r="G520" s="15" t="s">
        <v>5342</v>
      </c>
      <c r="H520" s="15" t="s">
        <v>5343</v>
      </c>
      <c r="I520" s="15" t="s">
        <v>5344</v>
      </c>
      <c r="J520" s="15" t="s">
        <v>5345</v>
      </c>
      <c r="K520" s="15" t="s">
        <v>70</v>
      </c>
      <c r="L520" s="15" t="s">
        <v>5346</v>
      </c>
      <c r="M520" s="15" t="s">
        <v>5347</v>
      </c>
      <c r="N520" s="15" t="s">
        <v>73</v>
      </c>
      <c r="O520" s="16" t="n">
        <v>0</v>
      </c>
      <c r="P520" s="16" t="n">
        <v>0</v>
      </c>
      <c r="Q520" s="16" t="n">
        <v>0</v>
      </c>
      <c r="R520" s="16" t="n">
        <v>0</v>
      </c>
      <c r="S520" s="16" t="n">
        <v>0</v>
      </c>
      <c r="T520" s="17" t="n">
        <f aca="false">AVERAGE(O520:Q520)</f>
        <v>0</v>
      </c>
      <c r="U520" s="18" t="str">
        <f aca="false">IF(T520&gt;=$H$3,"Eligible","Not Eligible")</f>
        <v>Not Eligible</v>
      </c>
      <c r="V520" s="19" t="n">
        <f aca="false">IF(T520&lt;$H$3,0,IFERROR(T520/SUMIF($T$5:$T$999,"&gt;="&amp;$H$3),0))</f>
        <v>0</v>
      </c>
      <c r="W520" s="15" t="str">
        <f aca="false">IF(T520=0,"Win-Back","Active")</f>
        <v>Win-Back</v>
      </c>
      <c r="X520" s="20" t="n">
        <f aca="false">IF(T520=0,0,IF(T520&gt;=$H$3,ROUND(T520*$D$3/SUMIF($T$5:$T$999,"&gt;="&amp;$H$3),0),ROUNDUP(T520*$D$3/SUMIF($T$5:$T$999,"&gt;="&amp;$H$3),0)))</f>
        <v>0</v>
      </c>
      <c r="Y520" s="21"/>
      <c r="Z520" s="16" t="str">
        <f aca="false">IF(X520=0,"",X520-Y520)</f>
        <v/>
      </c>
      <c r="AA520" s="22" t="str">
        <f aca="false">IFERROR(Y520/X520,"")</f>
        <v/>
      </c>
      <c r="AB520" s="16" t="n">
        <v>0</v>
      </c>
      <c r="AC520" s="21"/>
    </row>
    <row r="521" customFormat="false" ht="15" hidden="false" customHeight="true" outlineLevel="0" collapsed="false">
      <c r="A521" s="15" t="s">
        <v>5348</v>
      </c>
      <c r="B521" s="15" t="s">
        <v>5349</v>
      </c>
      <c r="C521" s="15" t="s">
        <v>5350</v>
      </c>
      <c r="D521" s="15" t="s">
        <v>5351</v>
      </c>
      <c r="E521" s="15" t="s">
        <v>5352</v>
      </c>
      <c r="F521" s="15" t="s">
        <v>5353</v>
      </c>
      <c r="G521" s="15" t="s">
        <v>5354</v>
      </c>
      <c r="H521" s="15" t="s">
        <v>5355</v>
      </c>
      <c r="I521" s="15" t="s">
        <v>331</v>
      </c>
      <c r="J521" s="15" t="s">
        <v>5356</v>
      </c>
      <c r="K521" s="15" t="s">
        <v>3203</v>
      </c>
      <c r="L521" s="15" t="s">
        <v>5357</v>
      </c>
      <c r="M521" s="15" t="s">
        <v>5358</v>
      </c>
      <c r="N521" s="15" t="s">
        <v>73</v>
      </c>
      <c r="O521" s="16" t="n">
        <v>0</v>
      </c>
      <c r="P521" s="16" t="n">
        <v>0</v>
      </c>
      <c r="Q521" s="16" t="n">
        <v>0</v>
      </c>
      <c r="R521" s="16" t="n">
        <v>0</v>
      </c>
      <c r="S521" s="16" t="n">
        <v>0</v>
      </c>
      <c r="T521" s="17" t="n">
        <f aca="false">AVERAGE(O521:Q521)</f>
        <v>0</v>
      </c>
      <c r="U521" s="18" t="str">
        <f aca="false">IF(T521&gt;=$H$3,"Eligible","Not Eligible")</f>
        <v>Not Eligible</v>
      </c>
      <c r="V521" s="19" t="n">
        <f aca="false">IF(T521&lt;$H$3,0,IFERROR(T521/SUMIF($T$5:$T$999,"&gt;="&amp;$H$3),0))</f>
        <v>0</v>
      </c>
      <c r="W521" s="15" t="str">
        <f aca="false">IF(T521=0,"Win-Back","Active")</f>
        <v>Win-Back</v>
      </c>
      <c r="X521" s="20" t="n">
        <f aca="false">IF(T521=0,0,IF(T521&gt;=$H$3,ROUND(T521*$D$3/SUMIF($T$5:$T$999,"&gt;="&amp;$H$3),0),ROUNDUP(T521*$D$3/SUMIF($T$5:$T$999,"&gt;="&amp;$H$3),0)))</f>
        <v>0</v>
      </c>
      <c r="Y521" s="21"/>
      <c r="Z521" s="16" t="str">
        <f aca="false">IF(X521=0,"",X521-Y521)</f>
        <v/>
      </c>
      <c r="AA521" s="22" t="str">
        <f aca="false">IFERROR(Y521/X521,"")</f>
        <v/>
      </c>
      <c r="AB521" s="16" t="n">
        <v>0</v>
      </c>
      <c r="AC521" s="21"/>
    </row>
    <row r="522" customFormat="false" ht="15" hidden="false" customHeight="true" outlineLevel="0" collapsed="false">
      <c r="A522" s="15"/>
      <c r="B522" s="15"/>
      <c r="C522" s="15" t="s">
        <v>5359</v>
      </c>
      <c r="D522" s="15" t="s">
        <v>5360</v>
      </c>
      <c r="E522" s="15" t="s">
        <v>5361</v>
      </c>
      <c r="F522" s="15"/>
      <c r="G522" s="15"/>
      <c r="H522" s="15" t="s">
        <v>5362</v>
      </c>
      <c r="I522" s="15"/>
      <c r="J522" s="15" t="s">
        <v>3935</v>
      </c>
      <c r="K522" s="15" t="s">
        <v>1222</v>
      </c>
      <c r="L522" s="15" t="s">
        <v>5363</v>
      </c>
      <c r="M522" s="15" t="s">
        <v>4617</v>
      </c>
      <c r="N522" s="15" t="s">
        <v>73</v>
      </c>
      <c r="O522" s="16" t="n">
        <v>0</v>
      </c>
      <c r="P522" s="16" t="n">
        <v>0</v>
      </c>
      <c r="Q522" s="16" t="n">
        <v>0</v>
      </c>
      <c r="R522" s="16" t="n">
        <v>0</v>
      </c>
      <c r="S522" s="16" t="n">
        <v>0</v>
      </c>
      <c r="T522" s="17" t="n">
        <f aca="false">AVERAGE(O522:Q522)</f>
        <v>0</v>
      </c>
      <c r="U522" s="18" t="str">
        <f aca="false">IF(T522&gt;=$H$3,"Eligible","Not Eligible")</f>
        <v>Not Eligible</v>
      </c>
      <c r="V522" s="19" t="n">
        <f aca="false">IF(T522&lt;$H$3,0,IFERROR(T522/SUMIF($T$5:$T$999,"&gt;="&amp;$H$3),0))</f>
        <v>0</v>
      </c>
      <c r="W522" s="15" t="str">
        <f aca="false">IF(T522=0,"Win-Back","Active")</f>
        <v>Win-Back</v>
      </c>
      <c r="X522" s="20" t="n">
        <f aca="false">IF(T522=0,0,IF(T522&gt;=$H$3,ROUND(T522*$D$3/SUMIF($T$5:$T$999,"&gt;="&amp;$H$3),0),ROUNDUP(T522*$D$3/SUMIF($T$5:$T$999,"&gt;="&amp;$H$3),0)))</f>
        <v>0</v>
      </c>
      <c r="Y522" s="21"/>
      <c r="Z522" s="16" t="str">
        <f aca="false">IF(X522=0,"",X522-Y522)</f>
        <v/>
      </c>
      <c r="AA522" s="22" t="str">
        <f aca="false">IFERROR(Y522/X522,"")</f>
        <v/>
      </c>
      <c r="AB522" s="16" t="n">
        <v>0</v>
      </c>
      <c r="AC522" s="21"/>
    </row>
    <row r="523" customFormat="false" ht="15" hidden="false" customHeight="true" outlineLevel="0" collapsed="false">
      <c r="A523" s="15"/>
      <c r="B523" s="15"/>
      <c r="C523" s="15" t="s">
        <v>5364</v>
      </c>
      <c r="D523" s="15" t="s">
        <v>5365</v>
      </c>
      <c r="E523" s="15" t="s">
        <v>5366</v>
      </c>
      <c r="F523" s="15"/>
      <c r="G523" s="15"/>
      <c r="H523" s="15" t="s">
        <v>5367</v>
      </c>
      <c r="I523" s="15" t="s">
        <v>5368</v>
      </c>
      <c r="J523" s="15" t="s">
        <v>594</v>
      </c>
      <c r="K523" s="15" t="s">
        <v>368</v>
      </c>
      <c r="L523" s="15" t="s">
        <v>5369</v>
      </c>
      <c r="M523" s="15" t="s">
        <v>4617</v>
      </c>
      <c r="N523" s="15" t="s">
        <v>73</v>
      </c>
      <c r="O523" s="16" t="n">
        <v>0</v>
      </c>
      <c r="P523" s="16" t="n">
        <v>0</v>
      </c>
      <c r="Q523" s="16" t="n">
        <v>0</v>
      </c>
      <c r="R523" s="16" t="n">
        <v>0</v>
      </c>
      <c r="S523" s="16" t="n">
        <v>0</v>
      </c>
      <c r="T523" s="17" t="n">
        <f aca="false">AVERAGE(O523:Q523)</f>
        <v>0</v>
      </c>
      <c r="U523" s="18" t="str">
        <f aca="false">IF(T523&gt;=$H$3,"Eligible","Not Eligible")</f>
        <v>Not Eligible</v>
      </c>
      <c r="V523" s="19" t="n">
        <f aca="false">IF(T523&lt;$H$3,0,IFERROR(T523/SUMIF($T$5:$T$999,"&gt;="&amp;$H$3),0))</f>
        <v>0</v>
      </c>
      <c r="W523" s="15" t="str">
        <f aca="false">IF(T523=0,"Win-Back","Active")</f>
        <v>Win-Back</v>
      </c>
      <c r="X523" s="20" t="n">
        <f aca="false">IF(T523=0,0,IF(T523&gt;=$H$3,ROUND(T523*$D$3/SUMIF($T$5:$T$999,"&gt;="&amp;$H$3),0),ROUNDUP(T523*$D$3/SUMIF($T$5:$T$999,"&gt;="&amp;$H$3),0)))</f>
        <v>0</v>
      </c>
      <c r="Y523" s="21"/>
      <c r="Z523" s="16" t="str">
        <f aca="false">IF(X523=0,"",X523-Y523)</f>
        <v/>
      </c>
      <c r="AA523" s="22" t="str">
        <f aca="false">IFERROR(Y523/X523,"")</f>
        <v/>
      </c>
      <c r="AB523" s="16" t="n">
        <v>0</v>
      </c>
      <c r="AC523" s="21"/>
    </row>
    <row r="524" customFormat="false" ht="15" hidden="false" customHeight="true" outlineLevel="0" collapsed="false">
      <c r="A524" s="15"/>
      <c r="B524" s="15"/>
      <c r="C524" s="15" t="s">
        <v>5370</v>
      </c>
      <c r="D524" s="15" t="s">
        <v>5371</v>
      </c>
      <c r="E524" s="15" t="s">
        <v>5372</v>
      </c>
      <c r="F524" s="15"/>
      <c r="G524" s="15"/>
      <c r="H524" s="15" t="s">
        <v>5373</v>
      </c>
      <c r="I524" s="15"/>
      <c r="J524" s="15" t="s">
        <v>594</v>
      </c>
      <c r="K524" s="15" t="s">
        <v>368</v>
      </c>
      <c r="L524" s="15" t="s">
        <v>4653</v>
      </c>
      <c r="M524" s="15" t="s">
        <v>4617</v>
      </c>
      <c r="N524" s="15" t="s">
        <v>73</v>
      </c>
      <c r="O524" s="16" t="n">
        <v>0</v>
      </c>
      <c r="P524" s="16" t="n">
        <v>0</v>
      </c>
      <c r="Q524" s="16" t="n">
        <v>0</v>
      </c>
      <c r="R524" s="16" t="n">
        <v>0</v>
      </c>
      <c r="S524" s="16" t="n">
        <v>0</v>
      </c>
      <c r="T524" s="17" t="n">
        <f aca="false">AVERAGE(O524:Q524)</f>
        <v>0</v>
      </c>
      <c r="U524" s="18" t="str">
        <f aca="false">IF(T524&gt;=$H$3,"Eligible","Not Eligible")</f>
        <v>Not Eligible</v>
      </c>
      <c r="V524" s="19" t="n">
        <f aca="false">IF(T524&lt;$H$3,0,IFERROR(T524/SUMIF($T$5:$T$999,"&gt;="&amp;$H$3),0))</f>
        <v>0</v>
      </c>
      <c r="W524" s="15" t="str">
        <f aca="false">IF(T524=0,"Win-Back","Active")</f>
        <v>Win-Back</v>
      </c>
      <c r="X524" s="20" t="n">
        <f aca="false">IF(T524=0,0,IF(T524&gt;=$H$3,ROUND(T524*$D$3/SUMIF($T$5:$T$999,"&gt;="&amp;$H$3),0),ROUNDUP(T524*$D$3/SUMIF($T$5:$T$999,"&gt;="&amp;$H$3),0)))</f>
        <v>0</v>
      </c>
      <c r="Y524" s="21"/>
      <c r="Z524" s="16" t="str">
        <f aca="false">IF(X524=0,"",X524-Y524)</f>
        <v/>
      </c>
      <c r="AA524" s="22" t="str">
        <f aca="false">IFERROR(Y524/X524,"")</f>
        <v/>
      </c>
      <c r="AB524" s="16" t="n">
        <v>0</v>
      </c>
      <c r="AC524" s="21"/>
    </row>
    <row r="525" customFormat="false" ht="15" hidden="false" customHeight="true" outlineLevel="0" collapsed="false">
      <c r="A525" s="15" t="s">
        <v>5374</v>
      </c>
      <c r="B525" s="15" t="s">
        <v>5375</v>
      </c>
      <c r="C525" s="15" t="s">
        <v>5376</v>
      </c>
      <c r="D525" s="15" t="s">
        <v>5377</v>
      </c>
      <c r="E525" s="15" t="s">
        <v>5378</v>
      </c>
      <c r="F525" s="15" t="s">
        <v>5379</v>
      </c>
      <c r="G525" s="15" t="s">
        <v>5380</v>
      </c>
      <c r="H525" s="15" t="s">
        <v>5381</v>
      </c>
      <c r="I525" s="15"/>
      <c r="J525" s="15" t="s">
        <v>5382</v>
      </c>
      <c r="K525" s="15" t="s">
        <v>70</v>
      </c>
      <c r="L525" s="15" t="s">
        <v>5383</v>
      </c>
      <c r="M525" s="15" t="s">
        <v>5384</v>
      </c>
      <c r="N525" s="15" t="s">
        <v>73</v>
      </c>
      <c r="O525" s="16" t="n">
        <v>0</v>
      </c>
      <c r="P525" s="16" t="n">
        <v>0</v>
      </c>
      <c r="Q525" s="16" t="n">
        <v>0</v>
      </c>
      <c r="R525" s="16" t="n">
        <v>0</v>
      </c>
      <c r="S525" s="16" t="n">
        <v>0</v>
      </c>
      <c r="T525" s="17" t="n">
        <f aca="false">AVERAGE(O525:Q525)</f>
        <v>0</v>
      </c>
      <c r="U525" s="18" t="str">
        <f aca="false">IF(T525&gt;=$H$3,"Eligible","Not Eligible")</f>
        <v>Not Eligible</v>
      </c>
      <c r="V525" s="19" t="n">
        <f aca="false">IF(T525&lt;$H$3,0,IFERROR(T525/SUMIF($T$5:$T$999,"&gt;="&amp;$H$3),0))</f>
        <v>0</v>
      </c>
      <c r="W525" s="15" t="str">
        <f aca="false">IF(T525=0,"Win-Back","Active")</f>
        <v>Win-Back</v>
      </c>
      <c r="X525" s="20" t="n">
        <f aca="false">IF(T525=0,0,IF(T525&gt;=$H$3,ROUND(T525*$D$3/SUMIF($T$5:$T$999,"&gt;="&amp;$H$3),0),ROUNDUP(T525*$D$3/SUMIF($T$5:$T$999,"&gt;="&amp;$H$3),0)))</f>
        <v>0</v>
      </c>
      <c r="Y525" s="21"/>
      <c r="Z525" s="16" t="str">
        <f aca="false">IF(X525=0,"",X525-Y525)</f>
        <v/>
      </c>
      <c r="AA525" s="22" t="str">
        <f aca="false">IFERROR(Y525/X525,"")</f>
        <v/>
      </c>
      <c r="AB525" s="16" t="n">
        <v>0</v>
      </c>
      <c r="AC525" s="21"/>
    </row>
    <row r="526" customFormat="false" ht="15" hidden="false" customHeight="true" outlineLevel="0" collapsed="false">
      <c r="A526" s="15" t="s">
        <v>5385</v>
      </c>
      <c r="B526" s="15" t="s">
        <v>5386</v>
      </c>
      <c r="C526" s="15" t="s">
        <v>5387</v>
      </c>
      <c r="D526" s="15" t="s">
        <v>5388</v>
      </c>
      <c r="E526" s="15" t="s">
        <v>5389</v>
      </c>
      <c r="F526" s="15" t="s">
        <v>5390</v>
      </c>
      <c r="G526" s="15" t="s">
        <v>5391</v>
      </c>
      <c r="H526" s="15" t="s">
        <v>5392</v>
      </c>
      <c r="I526" s="15"/>
      <c r="J526" s="15" t="s">
        <v>5393</v>
      </c>
      <c r="K526" s="15" t="s">
        <v>2325</v>
      </c>
      <c r="L526" s="15" t="s">
        <v>5394</v>
      </c>
      <c r="M526" s="15" t="s">
        <v>5395</v>
      </c>
      <c r="N526" s="15" t="s">
        <v>73</v>
      </c>
      <c r="O526" s="16" t="n">
        <v>0</v>
      </c>
      <c r="P526" s="16" t="n">
        <v>0</v>
      </c>
      <c r="Q526" s="16" t="n">
        <v>0</v>
      </c>
      <c r="R526" s="16" t="n">
        <v>0</v>
      </c>
      <c r="S526" s="16" t="n">
        <v>0</v>
      </c>
      <c r="T526" s="17" t="n">
        <f aca="false">AVERAGE(O526:Q526)</f>
        <v>0</v>
      </c>
      <c r="U526" s="18" t="str">
        <f aca="false">IF(T526&gt;=$H$3,"Eligible","Not Eligible")</f>
        <v>Not Eligible</v>
      </c>
      <c r="V526" s="19" t="n">
        <f aca="false">IF(T526&lt;$H$3,0,IFERROR(T526/SUMIF($T$5:$T$999,"&gt;="&amp;$H$3),0))</f>
        <v>0</v>
      </c>
      <c r="W526" s="15" t="str">
        <f aca="false">IF(T526=0,"Win-Back","Active")</f>
        <v>Win-Back</v>
      </c>
      <c r="X526" s="20" t="n">
        <f aca="false">IF(T526=0,0,IF(T526&gt;=$H$3,ROUND(T526*$D$3/SUMIF($T$5:$T$999,"&gt;="&amp;$H$3),0),ROUNDUP(T526*$D$3/SUMIF($T$5:$T$999,"&gt;="&amp;$H$3),0)))</f>
        <v>0</v>
      </c>
      <c r="Y526" s="21"/>
      <c r="Z526" s="16" t="str">
        <f aca="false">IF(X526=0,"",X526-Y526)</f>
        <v/>
      </c>
      <c r="AA526" s="22" t="str">
        <f aca="false">IFERROR(Y526/X526,"")</f>
        <v/>
      </c>
      <c r="AB526" s="16" t="n">
        <v>0</v>
      </c>
      <c r="AC526" s="21"/>
    </row>
    <row r="527" customFormat="false" ht="15" hidden="false" customHeight="true" outlineLevel="0" collapsed="false">
      <c r="A527" s="15" t="s">
        <v>5396</v>
      </c>
      <c r="B527" s="15" t="s">
        <v>5397</v>
      </c>
      <c r="C527" s="15" t="s">
        <v>5398</v>
      </c>
      <c r="D527" s="15" t="s">
        <v>5399</v>
      </c>
      <c r="E527" s="15" t="s">
        <v>5400</v>
      </c>
      <c r="F527" s="15" t="s">
        <v>5401</v>
      </c>
      <c r="G527" s="15" t="s">
        <v>5402</v>
      </c>
      <c r="H527" s="15" t="s">
        <v>5403</v>
      </c>
      <c r="I527" s="15"/>
      <c r="J527" s="15" t="s">
        <v>5138</v>
      </c>
      <c r="K527" s="15" t="s">
        <v>2325</v>
      </c>
      <c r="L527" s="15" t="s">
        <v>5404</v>
      </c>
      <c r="M527" s="15" t="s">
        <v>5405</v>
      </c>
      <c r="N527" s="15" t="s">
        <v>73</v>
      </c>
      <c r="O527" s="16" t="n">
        <v>0</v>
      </c>
      <c r="P527" s="16" t="n">
        <v>0</v>
      </c>
      <c r="Q527" s="16" t="n">
        <v>0</v>
      </c>
      <c r="R527" s="16" t="n">
        <v>0</v>
      </c>
      <c r="S527" s="16" t="n">
        <v>0</v>
      </c>
      <c r="T527" s="17" t="n">
        <f aca="false">AVERAGE(O527:Q527)</f>
        <v>0</v>
      </c>
      <c r="U527" s="18" t="str">
        <f aca="false">IF(T527&gt;=$H$3,"Eligible","Not Eligible")</f>
        <v>Not Eligible</v>
      </c>
      <c r="V527" s="19" t="n">
        <f aca="false">IF(T527&lt;$H$3,0,IFERROR(T527/SUMIF($T$5:$T$999,"&gt;="&amp;$H$3),0))</f>
        <v>0</v>
      </c>
      <c r="W527" s="15" t="str">
        <f aca="false">IF(T527=0,"Win-Back","Active")</f>
        <v>Win-Back</v>
      </c>
      <c r="X527" s="20" t="n">
        <f aca="false">IF(T527=0,0,IF(T527&gt;=$H$3,ROUND(T527*$D$3/SUMIF($T$5:$T$999,"&gt;="&amp;$H$3),0),ROUNDUP(T527*$D$3/SUMIF($T$5:$T$999,"&gt;="&amp;$H$3),0)))</f>
        <v>0</v>
      </c>
      <c r="Y527" s="21"/>
      <c r="Z527" s="16" t="str">
        <f aca="false">IF(X527=0,"",X527-Y527)</f>
        <v/>
      </c>
      <c r="AA527" s="22" t="str">
        <f aca="false">IFERROR(Y527/X527,"")</f>
        <v/>
      </c>
      <c r="AB527" s="16" t="n">
        <v>0</v>
      </c>
      <c r="AC527" s="21"/>
    </row>
    <row r="528" customFormat="false" ht="15" hidden="false" customHeight="true" outlineLevel="0" collapsed="false">
      <c r="A528" s="15" t="s">
        <v>5406</v>
      </c>
      <c r="B528" s="15" t="s">
        <v>5407</v>
      </c>
      <c r="C528" s="15" t="s">
        <v>5408</v>
      </c>
      <c r="D528" s="15" t="s">
        <v>5409</v>
      </c>
      <c r="E528" s="15" t="s">
        <v>5410</v>
      </c>
      <c r="F528" s="15" t="s">
        <v>5411</v>
      </c>
      <c r="G528" s="15" t="s">
        <v>5412</v>
      </c>
      <c r="H528" s="15" t="s">
        <v>5413</v>
      </c>
      <c r="I528" s="15"/>
      <c r="J528" s="15" t="s">
        <v>594</v>
      </c>
      <c r="K528" s="15" t="s">
        <v>368</v>
      </c>
      <c r="L528" s="15" t="s">
        <v>5414</v>
      </c>
      <c r="M528" s="15" t="s">
        <v>5415</v>
      </c>
      <c r="N528" s="15" t="s">
        <v>73</v>
      </c>
      <c r="O528" s="16" t="n">
        <v>0</v>
      </c>
      <c r="P528" s="16" t="n">
        <v>0</v>
      </c>
      <c r="Q528" s="16" t="n">
        <v>0</v>
      </c>
      <c r="R528" s="16" t="n">
        <v>0</v>
      </c>
      <c r="S528" s="16" t="n">
        <v>0</v>
      </c>
      <c r="T528" s="17" t="n">
        <f aca="false">AVERAGE(O528:Q528)</f>
        <v>0</v>
      </c>
      <c r="U528" s="18" t="str">
        <f aca="false">IF(T528&gt;=$H$3,"Eligible","Not Eligible")</f>
        <v>Not Eligible</v>
      </c>
      <c r="V528" s="19" t="n">
        <f aca="false">IF(T528&lt;$H$3,0,IFERROR(T528/SUMIF($T$5:$T$999,"&gt;="&amp;$H$3),0))</f>
        <v>0</v>
      </c>
      <c r="W528" s="15" t="str">
        <f aca="false">IF(T528=0,"Win-Back","Active")</f>
        <v>Win-Back</v>
      </c>
      <c r="X528" s="20" t="n">
        <f aca="false">IF(T528=0,0,IF(T528&gt;=$H$3,ROUND(T528*$D$3/SUMIF($T$5:$T$999,"&gt;="&amp;$H$3),0),ROUNDUP(T528*$D$3/SUMIF($T$5:$T$999,"&gt;="&amp;$H$3),0)))</f>
        <v>0</v>
      </c>
      <c r="Y528" s="21"/>
      <c r="Z528" s="16" t="str">
        <f aca="false">IF(X528=0,"",X528-Y528)</f>
        <v/>
      </c>
      <c r="AA528" s="22" t="str">
        <f aca="false">IFERROR(Y528/X528,"")</f>
        <v/>
      </c>
      <c r="AB528" s="16" t="n">
        <v>0</v>
      </c>
      <c r="AC528" s="21"/>
    </row>
    <row r="529" customFormat="false" ht="15" hidden="false" customHeight="true" outlineLevel="0" collapsed="false">
      <c r="A529" s="15" t="s">
        <v>5416</v>
      </c>
      <c r="B529" s="15" t="s">
        <v>5417</v>
      </c>
      <c r="C529" s="15" t="s">
        <v>5418</v>
      </c>
      <c r="D529" s="15" t="s">
        <v>5419</v>
      </c>
      <c r="E529" s="15" t="s">
        <v>5420</v>
      </c>
      <c r="F529" s="15" t="s">
        <v>5421</v>
      </c>
      <c r="G529" s="15" t="s">
        <v>5422</v>
      </c>
      <c r="H529" s="15" t="s">
        <v>5423</v>
      </c>
      <c r="I529" s="15"/>
      <c r="J529" s="15" t="s">
        <v>4041</v>
      </c>
      <c r="K529" s="15" t="s">
        <v>368</v>
      </c>
      <c r="L529" s="15" t="s">
        <v>5424</v>
      </c>
      <c r="M529" s="15" t="s">
        <v>5425</v>
      </c>
      <c r="N529" s="15" t="s">
        <v>73</v>
      </c>
      <c r="O529" s="16" t="n">
        <v>0</v>
      </c>
      <c r="P529" s="16" t="n">
        <v>0</v>
      </c>
      <c r="Q529" s="16" t="n">
        <v>0</v>
      </c>
      <c r="R529" s="16" t="n">
        <v>0</v>
      </c>
      <c r="S529" s="16" t="n">
        <v>0</v>
      </c>
      <c r="T529" s="17" t="n">
        <f aca="false">AVERAGE(O529:Q529)</f>
        <v>0</v>
      </c>
      <c r="U529" s="18" t="str">
        <f aca="false">IF(T529&gt;=$H$3,"Eligible","Not Eligible")</f>
        <v>Not Eligible</v>
      </c>
      <c r="V529" s="19" t="n">
        <f aca="false">IF(T529&lt;$H$3,0,IFERROR(T529/SUMIF($T$5:$T$999,"&gt;="&amp;$H$3),0))</f>
        <v>0</v>
      </c>
      <c r="W529" s="15" t="str">
        <f aca="false">IF(T529=0,"Win-Back","Active")</f>
        <v>Win-Back</v>
      </c>
      <c r="X529" s="20" t="n">
        <f aca="false">IF(T529=0,0,IF(T529&gt;=$H$3,ROUND(T529*$D$3/SUMIF($T$5:$T$999,"&gt;="&amp;$H$3),0),ROUNDUP(T529*$D$3/SUMIF($T$5:$T$999,"&gt;="&amp;$H$3),0)))</f>
        <v>0</v>
      </c>
      <c r="Y529" s="21"/>
      <c r="Z529" s="16" t="str">
        <f aca="false">IF(X529=0,"",X529-Y529)</f>
        <v/>
      </c>
      <c r="AA529" s="22" t="str">
        <f aca="false">IFERROR(Y529/X529,"")</f>
        <v/>
      </c>
      <c r="AB529" s="16" t="n">
        <v>0</v>
      </c>
      <c r="AC529" s="21"/>
    </row>
    <row r="530" customFormat="false" ht="15" hidden="false" customHeight="true" outlineLevel="0" collapsed="false">
      <c r="A530" s="15" t="s">
        <v>5426</v>
      </c>
      <c r="B530" s="15" t="s">
        <v>5427</v>
      </c>
      <c r="C530" s="15" t="s">
        <v>5428</v>
      </c>
      <c r="D530" s="15" t="s">
        <v>5429</v>
      </c>
      <c r="E530" s="15" t="s">
        <v>5430</v>
      </c>
      <c r="F530" s="15" t="s">
        <v>5431</v>
      </c>
      <c r="G530" s="15" t="s">
        <v>5432</v>
      </c>
      <c r="H530" s="15" t="s">
        <v>5433</v>
      </c>
      <c r="I530" s="15" t="s">
        <v>3407</v>
      </c>
      <c r="J530" s="15" t="s">
        <v>3326</v>
      </c>
      <c r="K530" s="15" t="s">
        <v>70</v>
      </c>
      <c r="L530" s="15" t="s">
        <v>3327</v>
      </c>
      <c r="M530" s="15" t="s">
        <v>5434</v>
      </c>
      <c r="N530" s="15" t="s">
        <v>73</v>
      </c>
      <c r="O530" s="16" t="n">
        <v>0</v>
      </c>
      <c r="P530" s="16" t="n">
        <v>0</v>
      </c>
      <c r="Q530" s="16" t="n">
        <v>0</v>
      </c>
      <c r="R530" s="16" t="n">
        <v>0</v>
      </c>
      <c r="S530" s="16" t="n">
        <v>0</v>
      </c>
      <c r="T530" s="17" t="n">
        <f aca="false">AVERAGE(O530:Q530)</f>
        <v>0</v>
      </c>
      <c r="U530" s="18" t="str">
        <f aca="false">IF(T530&gt;=$H$3,"Eligible","Not Eligible")</f>
        <v>Not Eligible</v>
      </c>
      <c r="V530" s="19" t="n">
        <f aca="false">IF(T530&lt;$H$3,0,IFERROR(T530/SUMIF($T$5:$T$999,"&gt;="&amp;$H$3),0))</f>
        <v>0</v>
      </c>
      <c r="W530" s="15" t="str">
        <f aca="false">IF(T530=0,"Win-Back","Active")</f>
        <v>Win-Back</v>
      </c>
      <c r="X530" s="20" t="n">
        <f aca="false">IF(T530=0,0,IF(T530&gt;=$H$3,ROUND(T530*$D$3/SUMIF($T$5:$T$999,"&gt;="&amp;$H$3),0),ROUNDUP(T530*$D$3/SUMIF($T$5:$T$999,"&gt;="&amp;$H$3),0)))</f>
        <v>0</v>
      </c>
      <c r="Y530" s="21"/>
      <c r="Z530" s="16" t="str">
        <f aca="false">IF(X530=0,"",X530-Y530)</f>
        <v/>
      </c>
      <c r="AA530" s="22" t="str">
        <f aca="false">IFERROR(Y530/X530,"")</f>
        <v/>
      </c>
      <c r="AB530" s="16" t="n">
        <v>0</v>
      </c>
      <c r="AC530" s="21"/>
    </row>
    <row r="531" customFormat="false" ht="15" hidden="false" customHeight="true" outlineLevel="0" collapsed="false">
      <c r="A531" s="15" t="s">
        <v>5435</v>
      </c>
      <c r="B531" s="15" t="s">
        <v>5436</v>
      </c>
      <c r="C531" s="15" t="s">
        <v>5437</v>
      </c>
      <c r="D531" s="15" t="s">
        <v>5438</v>
      </c>
      <c r="E531" s="15" t="s">
        <v>5439</v>
      </c>
      <c r="F531" s="15" t="s">
        <v>5440</v>
      </c>
      <c r="G531" s="15" t="s">
        <v>5441</v>
      </c>
      <c r="H531" s="15" t="s">
        <v>5442</v>
      </c>
      <c r="I531" s="15" t="s">
        <v>5443</v>
      </c>
      <c r="J531" s="15" t="s">
        <v>3866</v>
      </c>
      <c r="K531" s="15" t="s">
        <v>70</v>
      </c>
      <c r="L531" s="15" t="s">
        <v>5444</v>
      </c>
      <c r="M531" s="15" t="s">
        <v>5445</v>
      </c>
      <c r="N531" s="15" t="s">
        <v>73</v>
      </c>
      <c r="O531" s="16" t="n">
        <v>0</v>
      </c>
      <c r="P531" s="16" t="n">
        <v>0</v>
      </c>
      <c r="Q531" s="16" t="n">
        <v>0</v>
      </c>
      <c r="R531" s="16" t="n">
        <v>0</v>
      </c>
      <c r="S531" s="16" t="n">
        <v>0</v>
      </c>
      <c r="T531" s="17" t="n">
        <f aca="false">AVERAGE(O531:Q531)</f>
        <v>0</v>
      </c>
      <c r="U531" s="18" t="str">
        <f aca="false">IF(T531&gt;=$H$3,"Eligible","Not Eligible")</f>
        <v>Not Eligible</v>
      </c>
      <c r="V531" s="19" t="n">
        <f aca="false">IF(T531&lt;$H$3,0,IFERROR(T531/SUMIF($T$5:$T$999,"&gt;="&amp;$H$3),0))</f>
        <v>0</v>
      </c>
      <c r="W531" s="15" t="str">
        <f aca="false">IF(T531=0,"Win-Back","Active")</f>
        <v>Win-Back</v>
      </c>
      <c r="X531" s="20" t="n">
        <f aca="false">IF(T531=0,0,IF(T531&gt;=$H$3,ROUND(T531*$D$3/SUMIF($T$5:$T$999,"&gt;="&amp;$H$3),0),ROUNDUP(T531*$D$3/SUMIF($T$5:$T$999,"&gt;="&amp;$H$3),0)))</f>
        <v>0</v>
      </c>
      <c r="Y531" s="21"/>
      <c r="Z531" s="16" t="str">
        <f aca="false">IF(X531=0,"",X531-Y531)</f>
        <v/>
      </c>
      <c r="AA531" s="22" t="str">
        <f aca="false">IFERROR(Y531/X531,"")</f>
        <v/>
      </c>
      <c r="AB531" s="16" t="n">
        <v>0</v>
      </c>
      <c r="AC531" s="21"/>
    </row>
    <row r="532" customFormat="false" ht="15" hidden="false" customHeight="true" outlineLevel="0" collapsed="false">
      <c r="A532" s="15" t="s">
        <v>5446</v>
      </c>
      <c r="B532" s="15" t="s">
        <v>5447</v>
      </c>
      <c r="C532" s="15" t="s">
        <v>5448</v>
      </c>
      <c r="D532" s="15" t="s">
        <v>5449</v>
      </c>
      <c r="E532" s="15" t="s">
        <v>5450</v>
      </c>
      <c r="F532" s="15" t="s">
        <v>5451</v>
      </c>
      <c r="G532" s="15" t="s">
        <v>5452</v>
      </c>
      <c r="H532" s="15" t="s">
        <v>5453</v>
      </c>
      <c r="I532" s="15"/>
      <c r="J532" s="15" t="s">
        <v>5454</v>
      </c>
      <c r="K532" s="15" t="s">
        <v>47</v>
      </c>
      <c r="L532" s="15" t="s">
        <v>1795</v>
      </c>
      <c r="M532" s="15" t="s">
        <v>5455</v>
      </c>
      <c r="N532" s="15" t="s">
        <v>73</v>
      </c>
      <c r="O532" s="16" t="n">
        <v>0</v>
      </c>
      <c r="P532" s="16" t="n">
        <v>0</v>
      </c>
      <c r="Q532" s="16" t="n">
        <v>0</v>
      </c>
      <c r="R532" s="16" t="n">
        <v>0</v>
      </c>
      <c r="S532" s="16" t="n">
        <v>0</v>
      </c>
      <c r="T532" s="17" t="n">
        <f aca="false">AVERAGE(O532:Q532)</f>
        <v>0</v>
      </c>
      <c r="U532" s="18" t="str">
        <f aca="false">IF(T532&gt;=$H$3,"Eligible","Not Eligible")</f>
        <v>Not Eligible</v>
      </c>
      <c r="V532" s="19" t="n">
        <f aca="false">IF(T532&lt;$H$3,0,IFERROR(T532/SUMIF($T$5:$T$999,"&gt;="&amp;$H$3),0))</f>
        <v>0</v>
      </c>
      <c r="W532" s="15" t="str">
        <f aca="false">IF(T532=0,"Win-Back","Active")</f>
        <v>Win-Back</v>
      </c>
      <c r="X532" s="20" t="n">
        <f aca="false">IF(T532=0,0,IF(T532&gt;=$H$3,ROUND(T532*$D$3/SUMIF($T$5:$T$999,"&gt;="&amp;$H$3),0),ROUNDUP(T532*$D$3/SUMIF($T$5:$T$999,"&gt;="&amp;$H$3),0)))</f>
        <v>0</v>
      </c>
      <c r="Y532" s="21" t="n">
        <v>8</v>
      </c>
      <c r="Z532" s="16" t="str">
        <f aca="false">IF(X532=0,"",X532-Y532)</f>
        <v/>
      </c>
      <c r="AA532" s="22" t="str">
        <f aca="false">IFERROR(Y532/X532,"")</f>
        <v/>
      </c>
      <c r="AB532" s="16" t="n">
        <v>0</v>
      </c>
      <c r="AC532" s="21" t="n">
        <v>6</v>
      </c>
    </row>
    <row r="533" customFormat="false" ht="15" hidden="false" customHeight="true" outlineLevel="0" collapsed="false">
      <c r="A533" s="15"/>
      <c r="B533" s="15"/>
      <c r="C533" s="15" t="s">
        <v>5456</v>
      </c>
      <c r="D533" s="15" t="s">
        <v>5457</v>
      </c>
      <c r="E533" s="15" t="s">
        <v>5458</v>
      </c>
      <c r="F533" s="15"/>
      <c r="G533" s="15"/>
      <c r="H533" s="15" t="s">
        <v>5459</v>
      </c>
      <c r="I533" s="15"/>
      <c r="J533" s="15" t="s">
        <v>1998</v>
      </c>
      <c r="K533" s="15" t="s">
        <v>70</v>
      </c>
      <c r="L533" s="15" t="s">
        <v>5460</v>
      </c>
      <c r="M533" s="15" t="s">
        <v>4617</v>
      </c>
      <c r="N533" s="15" t="s">
        <v>73</v>
      </c>
      <c r="O533" s="16" t="n">
        <v>0</v>
      </c>
      <c r="P533" s="16" t="n">
        <v>0</v>
      </c>
      <c r="Q533" s="16" t="n">
        <v>0</v>
      </c>
      <c r="R533" s="16" t="n">
        <v>0</v>
      </c>
      <c r="S533" s="16" t="n">
        <v>0</v>
      </c>
      <c r="T533" s="17" t="n">
        <f aca="false">AVERAGE(O533:Q533)</f>
        <v>0</v>
      </c>
      <c r="U533" s="18" t="str">
        <f aca="false">IF(T533&gt;=$H$3,"Eligible","Not Eligible")</f>
        <v>Not Eligible</v>
      </c>
      <c r="V533" s="19" t="n">
        <f aca="false">IF(T533&lt;$H$3,0,IFERROR(T533/SUMIF($T$5:$T$999,"&gt;="&amp;$H$3),0))</f>
        <v>0</v>
      </c>
      <c r="W533" s="15" t="str">
        <f aca="false">IF(T533=0,"Win-Back","Active")</f>
        <v>Win-Back</v>
      </c>
      <c r="X533" s="20" t="n">
        <f aca="false">IF(T533=0,0,IF(T533&gt;=$H$3,ROUND(T533*$D$3/SUMIF($T$5:$T$999,"&gt;="&amp;$H$3),0),ROUNDUP(T533*$D$3/SUMIF($T$5:$T$999,"&gt;="&amp;$H$3),0)))</f>
        <v>0</v>
      </c>
      <c r="Y533" s="21"/>
      <c r="Z533" s="16" t="str">
        <f aca="false">IF(X533=0,"",X533-Y533)</f>
        <v/>
      </c>
      <c r="AA533" s="22" t="str">
        <f aca="false">IFERROR(Y533/X533,"")</f>
        <v/>
      </c>
      <c r="AB533" s="16" t="n">
        <v>0</v>
      </c>
      <c r="AC533" s="21"/>
    </row>
    <row r="534" customFormat="false" ht="15" hidden="false" customHeight="true" outlineLevel="0" collapsed="false">
      <c r="A534" s="15"/>
      <c r="B534" s="15"/>
      <c r="C534" s="15" t="s">
        <v>5461</v>
      </c>
      <c r="D534" s="15" t="s">
        <v>5462</v>
      </c>
      <c r="E534" s="15" t="s">
        <v>5463</v>
      </c>
      <c r="F534" s="15"/>
      <c r="G534" s="15"/>
      <c r="H534" s="15" t="s">
        <v>5464</v>
      </c>
      <c r="I534" s="15" t="s">
        <v>5465</v>
      </c>
      <c r="J534" s="15" t="s">
        <v>367</v>
      </c>
      <c r="K534" s="15" t="s">
        <v>368</v>
      </c>
      <c r="L534" s="15" t="s">
        <v>369</v>
      </c>
      <c r="M534" s="15" t="s">
        <v>4617</v>
      </c>
      <c r="N534" s="15" t="s">
        <v>73</v>
      </c>
      <c r="O534" s="16" t="n">
        <v>0</v>
      </c>
      <c r="P534" s="16" t="n">
        <v>0</v>
      </c>
      <c r="Q534" s="16" t="n">
        <v>0</v>
      </c>
      <c r="R534" s="16" t="n">
        <v>0</v>
      </c>
      <c r="S534" s="16" t="n">
        <v>0</v>
      </c>
      <c r="T534" s="17" t="n">
        <f aca="false">AVERAGE(O534:Q534)</f>
        <v>0</v>
      </c>
      <c r="U534" s="18" t="str">
        <f aca="false">IF(T534&gt;=$H$3,"Eligible","Not Eligible")</f>
        <v>Not Eligible</v>
      </c>
      <c r="V534" s="19" t="n">
        <f aca="false">IF(T534&lt;$H$3,0,IFERROR(T534/SUMIF($T$5:$T$999,"&gt;="&amp;$H$3),0))</f>
        <v>0</v>
      </c>
      <c r="W534" s="15" t="str">
        <f aca="false">IF(T534=0,"Win-Back","Active")</f>
        <v>Win-Back</v>
      </c>
      <c r="X534" s="20" t="n">
        <f aca="false">IF(T534=0,0,IF(T534&gt;=$H$3,ROUND(T534*$D$3/SUMIF($T$5:$T$999,"&gt;="&amp;$H$3),0),ROUNDUP(T534*$D$3/SUMIF($T$5:$T$999,"&gt;="&amp;$H$3),0)))</f>
        <v>0</v>
      </c>
      <c r="Y534" s="21"/>
      <c r="Z534" s="16" t="str">
        <f aca="false">IF(X534=0,"",X534-Y534)</f>
        <v/>
      </c>
      <c r="AA534" s="22" t="str">
        <f aca="false">IFERROR(Y534/X534,"")</f>
        <v/>
      </c>
      <c r="AB534" s="16" t="n">
        <v>0</v>
      </c>
      <c r="AC534" s="21"/>
    </row>
    <row r="535" customFormat="false" ht="15" hidden="false" customHeight="true" outlineLevel="0" collapsed="false">
      <c r="A535" s="15" t="s">
        <v>5466</v>
      </c>
      <c r="B535" s="15" t="s">
        <v>5467</v>
      </c>
      <c r="C535" s="15" t="s">
        <v>5468</v>
      </c>
      <c r="D535" s="15" t="s">
        <v>5469</v>
      </c>
      <c r="E535" s="15" t="s">
        <v>5470</v>
      </c>
      <c r="F535" s="15" t="s">
        <v>5471</v>
      </c>
      <c r="G535" s="15" t="s">
        <v>5472</v>
      </c>
      <c r="H535" s="15" t="s">
        <v>5473</v>
      </c>
      <c r="I535" s="15"/>
      <c r="J535" s="15" t="s">
        <v>3568</v>
      </c>
      <c r="K535" s="15" t="s">
        <v>2839</v>
      </c>
      <c r="L535" s="15" t="s">
        <v>5474</v>
      </c>
      <c r="M535" s="15" t="s">
        <v>5475</v>
      </c>
      <c r="N535" s="15" t="s">
        <v>73</v>
      </c>
      <c r="O535" s="16" t="n">
        <v>0</v>
      </c>
      <c r="P535" s="16" t="n">
        <v>0</v>
      </c>
      <c r="Q535" s="16" t="n">
        <v>0</v>
      </c>
      <c r="R535" s="16" t="n">
        <v>0</v>
      </c>
      <c r="S535" s="16" t="n">
        <v>0</v>
      </c>
      <c r="T535" s="17" t="n">
        <f aca="false">AVERAGE(O535:Q535)</f>
        <v>0</v>
      </c>
      <c r="U535" s="18" t="str">
        <f aca="false">IF(T535&gt;=$H$3,"Eligible","Not Eligible")</f>
        <v>Not Eligible</v>
      </c>
      <c r="V535" s="19" t="n">
        <f aca="false">IF(T535&lt;$H$3,0,IFERROR(T535/SUMIF($T$5:$T$999,"&gt;="&amp;$H$3),0))</f>
        <v>0</v>
      </c>
      <c r="W535" s="15" t="str">
        <f aca="false">IF(T535=0,"Win-Back","Active")</f>
        <v>Win-Back</v>
      </c>
      <c r="X535" s="20" t="n">
        <f aca="false">IF(T535=0,0,IF(T535&gt;=$H$3,ROUND(T535*$D$3/SUMIF($T$5:$T$999,"&gt;="&amp;$H$3),0),ROUNDUP(T535*$D$3/SUMIF($T$5:$T$999,"&gt;="&amp;$H$3),0)))</f>
        <v>0</v>
      </c>
      <c r="Y535" s="21"/>
      <c r="Z535" s="16" t="str">
        <f aca="false">IF(X535=0,"",X535-Y535)</f>
        <v/>
      </c>
      <c r="AA535" s="22" t="str">
        <f aca="false">IFERROR(Y535/X535,"")</f>
        <v/>
      </c>
      <c r="AB535" s="16" t="n">
        <v>0</v>
      </c>
      <c r="AC535" s="21"/>
    </row>
    <row r="536" customFormat="false" ht="15" hidden="false" customHeight="true" outlineLevel="0" collapsed="false">
      <c r="A536" s="15"/>
      <c r="B536" s="15"/>
      <c r="C536" s="15" t="s">
        <v>5476</v>
      </c>
      <c r="D536" s="15" t="s">
        <v>5477</v>
      </c>
      <c r="E536" s="15" t="s">
        <v>5478</v>
      </c>
      <c r="F536" s="15"/>
      <c r="G536" s="15"/>
      <c r="H536" s="15" t="s">
        <v>5479</v>
      </c>
      <c r="I536" s="15" t="s">
        <v>5480</v>
      </c>
      <c r="J536" s="15" t="s">
        <v>297</v>
      </c>
      <c r="K536" s="15" t="s">
        <v>298</v>
      </c>
      <c r="L536" s="15" t="s">
        <v>5481</v>
      </c>
      <c r="M536" s="15" t="s">
        <v>4617</v>
      </c>
      <c r="N536" s="15" t="s">
        <v>73</v>
      </c>
      <c r="O536" s="16" t="n">
        <v>0</v>
      </c>
      <c r="P536" s="16" t="n">
        <v>0</v>
      </c>
      <c r="Q536" s="16" t="n">
        <v>0</v>
      </c>
      <c r="R536" s="16" t="n">
        <v>0</v>
      </c>
      <c r="S536" s="16" t="n">
        <v>0</v>
      </c>
      <c r="T536" s="17" t="n">
        <f aca="false">AVERAGE(O536:Q536)</f>
        <v>0</v>
      </c>
      <c r="U536" s="18" t="str">
        <f aca="false">IF(T536&gt;=$H$3,"Eligible","Not Eligible")</f>
        <v>Not Eligible</v>
      </c>
      <c r="V536" s="19" t="n">
        <f aca="false">IF(T536&lt;$H$3,0,IFERROR(T536/SUMIF($T$5:$T$999,"&gt;="&amp;$H$3),0))</f>
        <v>0</v>
      </c>
      <c r="W536" s="15" t="str">
        <f aca="false">IF(T536=0,"Win-Back","Active")</f>
        <v>Win-Back</v>
      </c>
      <c r="X536" s="20" t="n">
        <f aca="false">IF(T536=0,0,IF(T536&gt;=$H$3,ROUND(T536*$D$3/SUMIF($T$5:$T$999,"&gt;="&amp;$H$3),0),ROUNDUP(T536*$D$3/SUMIF($T$5:$T$999,"&gt;="&amp;$H$3),0)))</f>
        <v>0</v>
      </c>
      <c r="Y536" s="21"/>
      <c r="Z536" s="16" t="str">
        <f aca="false">IF(X536=0,"",X536-Y536)</f>
        <v/>
      </c>
      <c r="AA536" s="22" t="str">
        <f aca="false">IFERROR(Y536/X536,"")</f>
        <v/>
      </c>
      <c r="AB536" s="16" t="n">
        <v>0</v>
      </c>
      <c r="AC536" s="21"/>
    </row>
    <row r="537" customFormat="false" ht="15" hidden="false" customHeight="true" outlineLevel="0" collapsed="false">
      <c r="A537" s="15" t="s">
        <v>5482</v>
      </c>
      <c r="B537" s="15" t="s">
        <v>5483</v>
      </c>
      <c r="C537" s="15" t="s">
        <v>5484</v>
      </c>
      <c r="D537" s="15" t="s">
        <v>5485</v>
      </c>
      <c r="E537" s="15" t="s">
        <v>5486</v>
      </c>
      <c r="F537" s="15" t="s">
        <v>5487</v>
      </c>
      <c r="G537" s="15" t="s">
        <v>5488</v>
      </c>
      <c r="H537" s="15" t="s">
        <v>5489</v>
      </c>
      <c r="I537" s="15"/>
      <c r="J537" s="15" t="s">
        <v>689</v>
      </c>
      <c r="K537" s="15" t="s">
        <v>47</v>
      </c>
      <c r="L537" s="15" t="s">
        <v>1751</v>
      </c>
      <c r="M537" s="15" t="s">
        <v>5490</v>
      </c>
      <c r="N537" s="15" t="s">
        <v>73</v>
      </c>
      <c r="O537" s="16" t="n">
        <v>0</v>
      </c>
      <c r="P537" s="16" t="n">
        <v>0</v>
      </c>
      <c r="Q537" s="16" t="n">
        <v>0</v>
      </c>
      <c r="R537" s="16" t="n">
        <v>0</v>
      </c>
      <c r="S537" s="16" t="n">
        <v>0</v>
      </c>
      <c r="T537" s="17" t="n">
        <f aca="false">AVERAGE(O537:Q537)</f>
        <v>0</v>
      </c>
      <c r="U537" s="18" t="str">
        <f aca="false">IF(T537&gt;=$H$3,"Eligible","Not Eligible")</f>
        <v>Not Eligible</v>
      </c>
      <c r="V537" s="19" t="n">
        <f aca="false">IF(T537&lt;$H$3,0,IFERROR(T537/SUMIF($T$5:$T$999,"&gt;="&amp;$H$3),0))</f>
        <v>0</v>
      </c>
      <c r="W537" s="15" t="str">
        <f aca="false">IF(T537=0,"Win-Back","Active")</f>
        <v>Win-Back</v>
      </c>
      <c r="X537" s="20" t="n">
        <f aca="false">IF(T537=0,0,IF(T537&gt;=$H$3,ROUND(T537*$D$3/SUMIF($T$5:$T$999,"&gt;="&amp;$H$3),0),ROUNDUP(T537*$D$3/SUMIF($T$5:$T$999,"&gt;="&amp;$H$3),0)))</f>
        <v>0</v>
      </c>
      <c r="Y537" s="21"/>
      <c r="Z537" s="16" t="str">
        <f aca="false">IF(X537=0,"",X537-Y537)</f>
        <v/>
      </c>
      <c r="AA537" s="22" t="str">
        <f aca="false">IFERROR(Y537/X537,"")</f>
        <v/>
      </c>
      <c r="AB537" s="16" t="n">
        <v>0</v>
      </c>
      <c r="AC537" s="21"/>
    </row>
    <row r="538" customFormat="false" ht="15" hidden="false" customHeight="true" outlineLevel="0" collapsed="false">
      <c r="A538" s="15"/>
      <c r="B538" s="15"/>
      <c r="C538" s="15" t="s">
        <v>5491</v>
      </c>
      <c r="D538" s="15" t="s">
        <v>5492</v>
      </c>
      <c r="E538" s="15" t="s">
        <v>5493</v>
      </c>
      <c r="F538" s="15"/>
      <c r="G538" s="15"/>
      <c r="H538" s="15" t="s">
        <v>5494</v>
      </c>
      <c r="I538" s="15"/>
      <c r="J538" s="15" t="s">
        <v>321</v>
      </c>
      <c r="K538" s="15" t="s">
        <v>47</v>
      </c>
      <c r="L538" s="15" t="s">
        <v>1795</v>
      </c>
      <c r="M538" s="15" t="s">
        <v>4617</v>
      </c>
      <c r="N538" s="15" t="s">
        <v>73</v>
      </c>
      <c r="O538" s="16" t="n">
        <v>0</v>
      </c>
      <c r="P538" s="16" t="n">
        <v>0</v>
      </c>
      <c r="Q538" s="16" t="n">
        <v>0</v>
      </c>
      <c r="R538" s="16" t="n">
        <v>0</v>
      </c>
      <c r="S538" s="16" t="n">
        <v>0</v>
      </c>
      <c r="T538" s="17" t="n">
        <f aca="false">AVERAGE(O538:Q538)</f>
        <v>0</v>
      </c>
      <c r="U538" s="18" t="str">
        <f aca="false">IF(T538&gt;=$H$3,"Eligible","Not Eligible")</f>
        <v>Not Eligible</v>
      </c>
      <c r="V538" s="19" t="n">
        <f aca="false">IF(T538&lt;$H$3,0,IFERROR(T538/SUMIF($T$5:$T$999,"&gt;="&amp;$H$3),0))</f>
        <v>0</v>
      </c>
      <c r="W538" s="15" t="str">
        <f aca="false">IF(T538=0,"Win-Back","Active")</f>
        <v>Win-Back</v>
      </c>
      <c r="X538" s="20" t="n">
        <f aca="false">IF(T538=0,0,IF(T538&gt;=$H$3,ROUND(T538*$D$3/SUMIF($T$5:$T$999,"&gt;="&amp;$H$3),0),ROUNDUP(T538*$D$3/SUMIF($T$5:$T$999,"&gt;="&amp;$H$3),0)))</f>
        <v>0</v>
      </c>
      <c r="Y538" s="21"/>
      <c r="Z538" s="16" t="str">
        <f aca="false">IF(X538=0,"",X538-Y538)</f>
        <v/>
      </c>
      <c r="AA538" s="22" t="str">
        <f aca="false">IFERROR(Y538/X538,"")</f>
        <v/>
      </c>
      <c r="AB538" s="16" t="n">
        <v>0</v>
      </c>
      <c r="AC538" s="21"/>
    </row>
    <row r="539" customFormat="false" ht="15" hidden="false" customHeight="true" outlineLevel="0" collapsed="false">
      <c r="A539" s="15"/>
      <c r="B539" s="15"/>
      <c r="C539" s="15" t="s">
        <v>5495</v>
      </c>
      <c r="D539" s="15" t="s">
        <v>5496</v>
      </c>
      <c r="E539" s="15" t="s">
        <v>5493</v>
      </c>
      <c r="F539" s="15"/>
      <c r="G539" s="15"/>
      <c r="H539" s="15" t="s">
        <v>5497</v>
      </c>
      <c r="I539" s="15"/>
      <c r="J539" s="15" t="s">
        <v>5498</v>
      </c>
      <c r="K539" s="15" t="s">
        <v>47</v>
      </c>
      <c r="L539" s="15" t="s">
        <v>1795</v>
      </c>
      <c r="M539" s="15" t="s">
        <v>4617</v>
      </c>
      <c r="N539" s="15" t="s">
        <v>73</v>
      </c>
      <c r="O539" s="16" t="n">
        <v>0</v>
      </c>
      <c r="P539" s="16" t="n">
        <v>0</v>
      </c>
      <c r="Q539" s="16" t="n">
        <v>0</v>
      </c>
      <c r="R539" s="16" t="n">
        <v>0</v>
      </c>
      <c r="S539" s="16" t="n">
        <v>0</v>
      </c>
      <c r="T539" s="17" t="n">
        <f aca="false">AVERAGE(O539:Q539)</f>
        <v>0</v>
      </c>
      <c r="U539" s="18" t="str">
        <f aca="false">IF(T539&gt;=$H$3,"Eligible","Not Eligible")</f>
        <v>Not Eligible</v>
      </c>
      <c r="V539" s="19" t="n">
        <f aca="false">IF(T539&lt;$H$3,0,IFERROR(T539/SUMIF($T$5:$T$999,"&gt;="&amp;$H$3),0))</f>
        <v>0</v>
      </c>
      <c r="W539" s="15" t="str">
        <f aca="false">IF(T539=0,"Win-Back","Active")</f>
        <v>Win-Back</v>
      </c>
      <c r="X539" s="20" t="n">
        <f aca="false">IF(T539=0,0,IF(T539&gt;=$H$3,ROUND(T539*$D$3/SUMIF($T$5:$T$999,"&gt;="&amp;$H$3),0),ROUNDUP(T539*$D$3/SUMIF($T$5:$T$999,"&gt;="&amp;$H$3),0)))</f>
        <v>0</v>
      </c>
      <c r="Y539" s="21"/>
      <c r="Z539" s="16" t="str">
        <f aca="false">IF(X539=0,"",X539-Y539)</f>
        <v/>
      </c>
      <c r="AA539" s="22" t="str">
        <f aca="false">IFERROR(Y539/X539,"")</f>
        <v/>
      </c>
      <c r="AB539" s="16" t="n">
        <v>0</v>
      </c>
      <c r="AC539" s="21"/>
    </row>
    <row r="540" customFormat="false" ht="15" hidden="false" customHeight="true" outlineLevel="0" collapsed="false">
      <c r="A540" s="15" t="s">
        <v>5499</v>
      </c>
      <c r="B540" s="15" t="s">
        <v>5500</v>
      </c>
      <c r="C540" s="15" t="s">
        <v>5501</v>
      </c>
      <c r="D540" s="15" t="s">
        <v>5502</v>
      </c>
      <c r="E540" s="15" t="s">
        <v>5503</v>
      </c>
      <c r="F540" s="15" t="s">
        <v>5504</v>
      </c>
      <c r="G540" s="15" t="s">
        <v>5505</v>
      </c>
      <c r="H540" s="15" t="s">
        <v>5506</v>
      </c>
      <c r="I540" s="15"/>
      <c r="J540" s="15" t="s">
        <v>2827</v>
      </c>
      <c r="K540" s="15" t="s">
        <v>70</v>
      </c>
      <c r="L540" s="15" t="s">
        <v>2828</v>
      </c>
      <c r="M540" s="15" t="s">
        <v>5507</v>
      </c>
      <c r="N540" s="15" t="s">
        <v>73</v>
      </c>
      <c r="O540" s="16" t="n">
        <v>0</v>
      </c>
      <c r="P540" s="16" t="n">
        <v>0</v>
      </c>
      <c r="Q540" s="16" t="n">
        <v>0</v>
      </c>
      <c r="R540" s="16" t="n">
        <v>0</v>
      </c>
      <c r="S540" s="16" t="n">
        <v>0</v>
      </c>
      <c r="T540" s="17" t="n">
        <f aca="false">AVERAGE(O540:Q540)</f>
        <v>0</v>
      </c>
      <c r="U540" s="18" t="str">
        <f aca="false">IF(T540&gt;=$H$3,"Eligible","Not Eligible")</f>
        <v>Not Eligible</v>
      </c>
      <c r="V540" s="19" t="n">
        <f aca="false">IF(T540&lt;$H$3,0,IFERROR(T540/SUMIF($T$5:$T$999,"&gt;="&amp;$H$3),0))</f>
        <v>0</v>
      </c>
      <c r="W540" s="15" t="str">
        <f aca="false">IF(T540=0,"Win-Back","Active")</f>
        <v>Win-Back</v>
      </c>
      <c r="X540" s="20" t="n">
        <f aca="false">IF(T540=0,0,IF(T540&gt;=$H$3,ROUND(T540*$D$3/SUMIF($T$5:$T$999,"&gt;="&amp;$H$3),0),ROUNDUP(T540*$D$3/SUMIF($T$5:$T$999,"&gt;="&amp;$H$3),0)))</f>
        <v>0</v>
      </c>
      <c r="Y540" s="21"/>
      <c r="Z540" s="16" t="str">
        <f aca="false">IF(X540=0,"",X540-Y540)</f>
        <v/>
      </c>
      <c r="AA540" s="22" t="str">
        <f aca="false">IFERROR(Y540/X540,"")</f>
        <v/>
      </c>
      <c r="AB540" s="16" t="n">
        <v>0</v>
      </c>
      <c r="AC540" s="21"/>
    </row>
    <row r="541" customFormat="false" ht="15" hidden="false" customHeight="true" outlineLevel="0" collapsed="false">
      <c r="A541" s="15" t="s">
        <v>5508</v>
      </c>
      <c r="B541" s="15" t="s">
        <v>5509</v>
      </c>
      <c r="C541" s="15" t="s">
        <v>5510</v>
      </c>
      <c r="D541" s="15" t="s">
        <v>5511</v>
      </c>
      <c r="E541" s="15" t="s">
        <v>5512</v>
      </c>
      <c r="F541" s="15" t="s">
        <v>5513</v>
      </c>
      <c r="G541" s="15" t="s">
        <v>5514</v>
      </c>
      <c r="H541" s="15" t="s">
        <v>5515</v>
      </c>
      <c r="I541" s="15"/>
      <c r="J541" s="15" t="s">
        <v>5516</v>
      </c>
      <c r="K541" s="15" t="s">
        <v>1418</v>
      </c>
      <c r="L541" s="15" t="s">
        <v>5517</v>
      </c>
      <c r="M541" s="15" t="s">
        <v>5518</v>
      </c>
      <c r="N541" s="15" t="s">
        <v>73</v>
      </c>
      <c r="O541" s="16" t="n">
        <v>0</v>
      </c>
      <c r="P541" s="16" t="n">
        <v>0</v>
      </c>
      <c r="Q541" s="16" t="n">
        <v>0</v>
      </c>
      <c r="R541" s="16" t="n">
        <v>0</v>
      </c>
      <c r="S541" s="16" t="n">
        <v>0</v>
      </c>
      <c r="T541" s="17" t="n">
        <f aca="false">AVERAGE(O541:Q541)</f>
        <v>0</v>
      </c>
      <c r="U541" s="18" t="str">
        <f aca="false">IF(T541&gt;=$H$3,"Eligible","Not Eligible")</f>
        <v>Not Eligible</v>
      </c>
      <c r="V541" s="19" t="n">
        <f aca="false">IF(T541&lt;$H$3,0,IFERROR(T541/SUMIF($T$5:$T$999,"&gt;="&amp;$H$3),0))</f>
        <v>0</v>
      </c>
      <c r="W541" s="15" t="str">
        <f aca="false">IF(T541=0,"Win-Back","Active")</f>
        <v>Win-Back</v>
      </c>
      <c r="X541" s="20" t="n">
        <f aca="false">IF(T541=0,0,IF(T541&gt;=$H$3,ROUND(T541*$D$3/SUMIF($T$5:$T$999,"&gt;="&amp;$H$3),0),ROUNDUP(T541*$D$3/SUMIF($T$5:$T$999,"&gt;="&amp;$H$3),0)))</f>
        <v>0</v>
      </c>
      <c r="Y541" s="21"/>
      <c r="Z541" s="16" t="str">
        <f aca="false">IF(X541=0,"",X541-Y541)</f>
        <v/>
      </c>
      <c r="AA541" s="22" t="str">
        <f aca="false">IFERROR(Y541/X541,"")</f>
        <v/>
      </c>
      <c r="AB541" s="16" t="n">
        <v>0</v>
      </c>
      <c r="AC541" s="21"/>
    </row>
    <row r="542" customFormat="false" ht="15" hidden="false" customHeight="true" outlineLevel="0" collapsed="false">
      <c r="A542" s="15" t="s">
        <v>5519</v>
      </c>
      <c r="B542" s="15" t="s">
        <v>5520</v>
      </c>
      <c r="C542" s="15" t="s">
        <v>5521</v>
      </c>
      <c r="D542" s="15" t="s">
        <v>5522</v>
      </c>
      <c r="E542" s="15" t="s">
        <v>3239</v>
      </c>
      <c r="F542" s="15" t="s">
        <v>5523</v>
      </c>
      <c r="G542" s="15" t="s">
        <v>5524</v>
      </c>
      <c r="H542" s="15" t="s">
        <v>5525</v>
      </c>
      <c r="I542" s="15" t="s">
        <v>968</v>
      </c>
      <c r="J542" s="15" t="s">
        <v>1869</v>
      </c>
      <c r="K542" s="15" t="s">
        <v>1418</v>
      </c>
      <c r="L542" s="15" t="s">
        <v>4750</v>
      </c>
      <c r="M542" s="15" t="s">
        <v>5526</v>
      </c>
      <c r="N542" s="15" t="s">
        <v>73</v>
      </c>
      <c r="O542" s="16" t="n">
        <v>0</v>
      </c>
      <c r="P542" s="16" t="n">
        <v>0</v>
      </c>
      <c r="Q542" s="16" t="n">
        <v>0</v>
      </c>
      <c r="R542" s="16" t="n">
        <v>0</v>
      </c>
      <c r="S542" s="16" t="n">
        <v>0</v>
      </c>
      <c r="T542" s="17" t="n">
        <f aca="false">AVERAGE(O542:Q542)</f>
        <v>0</v>
      </c>
      <c r="U542" s="18" t="str">
        <f aca="false">IF(T542&gt;=$H$3,"Eligible","Not Eligible")</f>
        <v>Not Eligible</v>
      </c>
      <c r="V542" s="19" t="n">
        <f aca="false">IF(T542&lt;$H$3,0,IFERROR(T542/SUMIF($T$5:$T$999,"&gt;="&amp;$H$3),0))</f>
        <v>0</v>
      </c>
      <c r="W542" s="15" t="str">
        <f aca="false">IF(T542=0,"Win-Back","Active")</f>
        <v>Win-Back</v>
      </c>
      <c r="X542" s="20" t="n">
        <f aca="false">IF(T542=0,0,IF(T542&gt;=$H$3,ROUND(T542*$D$3/SUMIF($T$5:$T$999,"&gt;="&amp;$H$3),0),ROUNDUP(T542*$D$3/SUMIF($T$5:$T$999,"&gt;="&amp;$H$3),0)))</f>
        <v>0</v>
      </c>
      <c r="Y542" s="21"/>
      <c r="Z542" s="16" t="str">
        <f aca="false">IF(X542=0,"",X542-Y542)</f>
        <v/>
      </c>
      <c r="AA542" s="22" t="str">
        <f aca="false">IFERROR(Y542/X542,"")</f>
        <v/>
      </c>
      <c r="AB542" s="16" t="n">
        <v>0</v>
      </c>
      <c r="AC542" s="21"/>
    </row>
    <row r="543" customFormat="false" ht="15" hidden="false" customHeight="true" outlineLevel="0" collapsed="false">
      <c r="A543" s="15" t="s">
        <v>5527</v>
      </c>
      <c r="B543" s="15" t="s">
        <v>5528</v>
      </c>
      <c r="C543" s="15" t="s">
        <v>5529</v>
      </c>
      <c r="D543" s="15" t="s">
        <v>5530</v>
      </c>
      <c r="E543" s="15" t="s">
        <v>5531</v>
      </c>
      <c r="F543" s="15" t="s">
        <v>5532</v>
      </c>
      <c r="G543" s="15" t="s">
        <v>5533</v>
      </c>
      <c r="H543" s="15" t="s">
        <v>5534</v>
      </c>
      <c r="I543" s="15"/>
      <c r="J543" s="15" t="s">
        <v>1053</v>
      </c>
      <c r="K543" s="15" t="s">
        <v>47</v>
      </c>
      <c r="L543" s="15" t="s">
        <v>1439</v>
      </c>
      <c r="M543" s="15" t="s">
        <v>5535</v>
      </c>
      <c r="N543" s="15" t="s">
        <v>73</v>
      </c>
      <c r="O543" s="16" t="n">
        <v>0</v>
      </c>
      <c r="P543" s="16" t="n">
        <v>0</v>
      </c>
      <c r="Q543" s="16" t="n">
        <v>0</v>
      </c>
      <c r="R543" s="16" t="n">
        <v>0</v>
      </c>
      <c r="S543" s="16" t="n">
        <v>0</v>
      </c>
      <c r="T543" s="17" t="n">
        <f aca="false">AVERAGE(O543:Q543)</f>
        <v>0</v>
      </c>
      <c r="U543" s="18" t="str">
        <f aca="false">IF(T543&gt;=$H$3,"Eligible","Not Eligible")</f>
        <v>Not Eligible</v>
      </c>
      <c r="V543" s="19" t="n">
        <f aca="false">IF(T543&lt;$H$3,0,IFERROR(T543/SUMIF($T$5:$T$999,"&gt;="&amp;$H$3),0))</f>
        <v>0</v>
      </c>
      <c r="W543" s="15" t="str">
        <f aca="false">IF(T543=0,"Win-Back","Active")</f>
        <v>Win-Back</v>
      </c>
      <c r="X543" s="20" t="n">
        <f aca="false">IF(T543=0,0,IF(T543&gt;=$H$3,ROUND(T543*$D$3/SUMIF($T$5:$T$999,"&gt;="&amp;$H$3),0),ROUNDUP(T543*$D$3/SUMIF($T$5:$T$999,"&gt;="&amp;$H$3),0)))</f>
        <v>0</v>
      </c>
      <c r="Y543" s="21"/>
      <c r="Z543" s="16" t="str">
        <f aca="false">IF(X543=0,"",X543-Y543)</f>
        <v/>
      </c>
      <c r="AA543" s="22" t="str">
        <f aca="false">IFERROR(Y543/X543,"")</f>
        <v/>
      </c>
      <c r="AB543" s="16" t="n">
        <v>0</v>
      </c>
      <c r="AC543" s="21"/>
    </row>
    <row r="544" customFormat="false" ht="15" hidden="false" customHeight="true" outlineLevel="0" collapsed="false">
      <c r="A544" s="15" t="s">
        <v>5536</v>
      </c>
      <c r="B544" s="15" t="s">
        <v>5537</v>
      </c>
      <c r="C544" s="15" t="s">
        <v>5538</v>
      </c>
      <c r="D544" s="15" t="s">
        <v>5539</v>
      </c>
      <c r="E544" s="15" t="s">
        <v>5540</v>
      </c>
      <c r="F544" s="15" t="s">
        <v>5541</v>
      </c>
      <c r="G544" s="15" t="s">
        <v>5542</v>
      </c>
      <c r="H544" s="15" t="s">
        <v>5543</v>
      </c>
      <c r="I544" s="15" t="s">
        <v>2729</v>
      </c>
      <c r="J544" s="15" t="s">
        <v>5544</v>
      </c>
      <c r="K544" s="15" t="s">
        <v>70</v>
      </c>
      <c r="L544" s="15" t="s">
        <v>5545</v>
      </c>
      <c r="M544" s="15" t="s">
        <v>5546</v>
      </c>
      <c r="N544" s="15" t="s">
        <v>73</v>
      </c>
      <c r="O544" s="16" t="n">
        <v>0</v>
      </c>
      <c r="P544" s="16" t="n">
        <v>0</v>
      </c>
      <c r="Q544" s="16" t="n">
        <v>0</v>
      </c>
      <c r="R544" s="16" t="n">
        <v>0</v>
      </c>
      <c r="S544" s="16" t="n">
        <v>0</v>
      </c>
      <c r="T544" s="17" t="n">
        <f aca="false">AVERAGE(O544:Q544)</f>
        <v>0</v>
      </c>
      <c r="U544" s="18" t="str">
        <f aca="false">IF(T544&gt;=$H$3,"Eligible","Not Eligible")</f>
        <v>Not Eligible</v>
      </c>
      <c r="V544" s="19" t="n">
        <f aca="false">IF(T544&lt;$H$3,0,IFERROR(T544/SUMIF($T$5:$T$999,"&gt;="&amp;$H$3),0))</f>
        <v>0</v>
      </c>
      <c r="W544" s="15" t="str">
        <f aca="false">IF(T544=0,"Win-Back","Active")</f>
        <v>Win-Back</v>
      </c>
      <c r="X544" s="20" t="n">
        <f aca="false">IF(T544=0,0,IF(T544&gt;=$H$3,ROUND(T544*$D$3/SUMIF($T$5:$T$999,"&gt;="&amp;$H$3),0),ROUNDUP(T544*$D$3/SUMIF($T$5:$T$999,"&gt;="&amp;$H$3),0)))</f>
        <v>0</v>
      </c>
      <c r="Y544" s="21"/>
      <c r="Z544" s="16" t="str">
        <f aca="false">IF(X544=0,"",X544-Y544)</f>
        <v/>
      </c>
      <c r="AA544" s="22" t="str">
        <f aca="false">IFERROR(Y544/X544,"")</f>
        <v/>
      </c>
      <c r="AB544" s="16" t="n">
        <v>0</v>
      </c>
      <c r="AC544" s="21"/>
    </row>
    <row r="545" customFormat="false" ht="15" hidden="false" customHeight="true" outlineLevel="0" collapsed="false">
      <c r="A545" s="15"/>
      <c r="B545" s="15"/>
      <c r="C545" s="15" t="s">
        <v>5547</v>
      </c>
      <c r="D545" s="15" t="s">
        <v>5548</v>
      </c>
      <c r="E545" s="15" t="s">
        <v>5549</v>
      </c>
      <c r="F545" s="15" t="s">
        <v>5550</v>
      </c>
      <c r="G545" s="15" t="s">
        <v>5551</v>
      </c>
      <c r="H545" s="15" t="s">
        <v>5552</v>
      </c>
      <c r="I545" s="15"/>
      <c r="J545" s="15" t="s">
        <v>5553</v>
      </c>
      <c r="K545" s="15" t="s">
        <v>1255</v>
      </c>
      <c r="L545" s="15" t="s">
        <v>5554</v>
      </c>
      <c r="M545" s="15" t="s">
        <v>5555</v>
      </c>
      <c r="N545" s="15" t="s">
        <v>73</v>
      </c>
      <c r="O545" s="16" t="n">
        <v>0</v>
      </c>
      <c r="P545" s="16" t="n">
        <v>0</v>
      </c>
      <c r="Q545" s="16" t="n">
        <v>0</v>
      </c>
      <c r="R545" s="16" t="n">
        <v>0</v>
      </c>
      <c r="S545" s="16" t="n">
        <v>0</v>
      </c>
      <c r="T545" s="17" t="n">
        <f aca="false">AVERAGE(O545:Q545)</f>
        <v>0</v>
      </c>
      <c r="U545" s="18" t="str">
        <f aca="false">IF(T545&gt;=$H$3,"Eligible","Not Eligible")</f>
        <v>Not Eligible</v>
      </c>
      <c r="V545" s="19" t="n">
        <f aca="false">IF(T545&lt;$H$3,0,IFERROR(T545/SUMIF($T$5:$T$999,"&gt;="&amp;$H$3),0))</f>
        <v>0</v>
      </c>
      <c r="W545" s="15" t="str">
        <f aca="false">IF(T545=0,"Win-Back","Active")</f>
        <v>Win-Back</v>
      </c>
      <c r="X545" s="20" t="n">
        <f aca="false">IF(T545=0,0,IF(T545&gt;=$H$3,ROUND(T545*$D$3/SUMIF($T$5:$T$999,"&gt;="&amp;$H$3),0),ROUNDUP(T545*$D$3/SUMIF($T$5:$T$999,"&gt;="&amp;$H$3),0)))</f>
        <v>0</v>
      </c>
      <c r="Y545" s="21"/>
      <c r="Z545" s="16" t="str">
        <f aca="false">IF(X545=0,"",X545-Y545)</f>
        <v/>
      </c>
      <c r="AA545" s="22" t="str">
        <f aca="false">IFERROR(Y545/X545,"")</f>
        <v/>
      </c>
      <c r="AB545" s="16" t="n">
        <v>0</v>
      </c>
      <c r="AC545" s="21"/>
    </row>
    <row r="546" customFormat="false" ht="15" hidden="false" customHeight="true" outlineLevel="0" collapsed="false">
      <c r="A546" s="15" t="s">
        <v>5556</v>
      </c>
      <c r="B546" s="15" t="s">
        <v>5557</v>
      </c>
      <c r="C546" s="15" t="s">
        <v>5558</v>
      </c>
      <c r="D546" s="15" t="s">
        <v>5559</v>
      </c>
      <c r="E546" s="15" t="s">
        <v>3873</v>
      </c>
      <c r="F546" s="15" t="s">
        <v>5560</v>
      </c>
      <c r="G546" s="15" t="s">
        <v>5561</v>
      </c>
      <c r="H546" s="15" t="s">
        <v>5562</v>
      </c>
      <c r="I546" s="15"/>
      <c r="J546" s="15" t="s">
        <v>46</v>
      </c>
      <c r="K546" s="15" t="s">
        <v>47</v>
      </c>
      <c r="L546" s="15" t="s">
        <v>5563</v>
      </c>
      <c r="M546" s="15" t="s">
        <v>5564</v>
      </c>
      <c r="N546" s="15" t="s">
        <v>73</v>
      </c>
      <c r="O546" s="16" t="n">
        <v>0</v>
      </c>
      <c r="P546" s="16" t="n">
        <v>0</v>
      </c>
      <c r="Q546" s="16" t="n">
        <v>0</v>
      </c>
      <c r="R546" s="16" t="n">
        <v>0</v>
      </c>
      <c r="S546" s="16" t="n">
        <v>0</v>
      </c>
      <c r="T546" s="17" t="n">
        <f aca="false">AVERAGE(O546:Q546)</f>
        <v>0</v>
      </c>
      <c r="U546" s="18" t="str">
        <f aca="false">IF(T546&gt;=$H$3,"Eligible","Not Eligible")</f>
        <v>Not Eligible</v>
      </c>
      <c r="V546" s="19" t="n">
        <f aca="false">IF(T546&lt;$H$3,0,IFERROR(T546/SUMIF($T$5:$T$999,"&gt;="&amp;$H$3),0))</f>
        <v>0</v>
      </c>
      <c r="W546" s="15" t="str">
        <f aca="false">IF(T546=0,"Win-Back","Active")</f>
        <v>Win-Back</v>
      </c>
      <c r="X546" s="20" t="n">
        <f aca="false">IF(T546=0,0,IF(T546&gt;=$H$3,ROUND(T546*$D$3/SUMIF($T$5:$T$999,"&gt;="&amp;$H$3),0),ROUNDUP(T546*$D$3/SUMIF($T$5:$T$999,"&gt;="&amp;$H$3),0)))</f>
        <v>0</v>
      </c>
      <c r="Y546" s="21"/>
      <c r="Z546" s="16" t="str">
        <f aca="false">IF(X546=0,"",X546-Y546)</f>
        <v/>
      </c>
      <c r="AA546" s="22" t="str">
        <f aca="false">IFERROR(Y546/X546,"")</f>
        <v/>
      </c>
      <c r="AB546" s="16" t="n">
        <v>0</v>
      </c>
      <c r="AC546" s="21"/>
    </row>
    <row r="547" customFormat="false" ht="15" hidden="false" customHeight="true" outlineLevel="0" collapsed="false">
      <c r="A547" s="15" t="s">
        <v>5565</v>
      </c>
      <c r="B547" s="15" t="s">
        <v>5566</v>
      </c>
      <c r="C547" s="15" t="s">
        <v>5567</v>
      </c>
      <c r="D547" s="15" t="s">
        <v>5568</v>
      </c>
      <c r="E547" s="15" t="s">
        <v>5569</v>
      </c>
      <c r="F547" s="15" t="s">
        <v>5570</v>
      </c>
      <c r="G547" s="15" t="s">
        <v>5571</v>
      </c>
      <c r="H547" s="15" t="s">
        <v>5572</v>
      </c>
      <c r="I547" s="15" t="s">
        <v>1920</v>
      </c>
      <c r="J547" s="15" t="s">
        <v>5573</v>
      </c>
      <c r="K547" s="15" t="s">
        <v>2839</v>
      </c>
      <c r="L547" s="15" t="s">
        <v>5574</v>
      </c>
      <c r="M547" s="15" t="s">
        <v>5575</v>
      </c>
      <c r="N547" s="15" t="s">
        <v>73</v>
      </c>
      <c r="O547" s="16" t="n">
        <v>0</v>
      </c>
      <c r="P547" s="16" t="n">
        <v>0</v>
      </c>
      <c r="Q547" s="16" t="n">
        <v>0</v>
      </c>
      <c r="R547" s="16" t="n">
        <v>0</v>
      </c>
      <c r="S547" s="16" t="n">
        <v>0</v>
      </c>
      <c r="T547" s="17" t="n">
        <f aca="false">AVERAGE(O547:Q547)</f>
        <v>0</v>
      </c>
      <c r="U547" s="18" t="str">
        <f aca="false">IF(T547&gt;=$H$3,"Eligible","Not Eligible")</f>
        <v>Not Eligible</v>
      </c>
      <c r="V547" s="19" t="n">
        <f aca="false">IF(T547&lt;$H$3,0,IFERROR(T547/SUMIF($T$5:$T$999,"&gt;="&amp;$H$3),0))</f>
        <v>0</v>
      </c>
      <c r="W547" s="15" t="str">
        <f aca="false">IF(T547=0,"Win-Back","Active")</f>
        <v>Win-Back</v>
      </c>
      <c r="X547" s="20" t="n">
        <f aca="false">IF(T547=0,0,IF(T547&gt;=$H$3,ROUND(T547*$D$3/SUMIF($T$5:$T$999,"&gt;="&amp;$H$3),0),ROUNDUP(T547*$D$3/SUMIF($T$5:$T$999,"&gt;="&amp;$H$3),0)))</f>
        <v>0</v>
      </c>
      <c r="Y547" s="21" t="n">
        <v>1</v>
      </c>
      <c r="Z547" s="16" t="str">
        <f aca="false">IF(X547=0,"",X547-Y547)</f>
        <v/>
      </c>
      <c r="AA547" s="22" t="str">
        <f aca="false">IFERROR(Y547/X547,"")</f>
        <v/>
      </c>
      <c r="AB547" s="16" t="n">
        <v>0</v>
      </c>
      <c r="AC547" s="21"/>
    </row>
    <row r="548" customFormat="false" ht="15" hidden="false" customHeight="true" outlineLevel="0" collapsed="false">
      <c r="A548" s="15" t="s">
        <v>5576</v>
      </c>
      <c r="B548" s="15" t="s">
        <v>5577</v>
      </c>
      <c r="C548" s="15" t="s">
        <v>5578</v>
      </c>
      <c r="D548" s="15" t="s">
        <v>5579</v>
      </c>
      <c r="E548" s="15" t="s">
        <v>5580</v>
      </c>
      <c r="F548" s="15" t="s">
        <v>5581</v>
      </c>
      <c r="G548" s="15" t="s">
        <v>5582</v>
      </c>
      <c r="H548" s="15" t="s">
        <v>5583</v>
      </c>
      <c r="I548" s="15"/>
      <c r="J548" s="15" t="s">
        <v>1053</v>
      </c>
      <c r="K548" s="15" t="s">
        <v>47</v>
      </c>
      <c r="L548" s="15" t="s">
        <v>1439</v>
      </c>
      <c r="M548" s="15" t="s">
        <v>5584</v>
      </c>
      <c r="N548" s="15" t="s">
        <v>73</v>
      </c>
      <c r="O548" s="16" t="n">
        <v>0</v>
      </c>
      <c r="P548" s="16" t="n">
        <v>0</v>
      </c>
      <c r="Q548" s="16" t="n">
        <v>0</v>
      </c>
      <c r="R548" s="16" t="n">
        <v>0</v>
      </c>
      <c r="S548" s="16" t="n">
        <v>0</v>
      </c>
      <c r="T548" s="17" t="n">
        <f aca="false">AVERAGE(O548:Q548)</f>
        <v>0</v>
      </c>
      <c r="U548" s="18" t="str">
        <f aca="false">IF(T548&gt;=$H$3,"Eligible","Not Eligible")</f>
        <v>Not Eligible</v>
      </c>
      <c r="V548" s="19" t="n">
        <f aca="false">IF(T548&lt;$H$3,0,IFERROR(T548/SUMIF($T$5:$T$999,"&gt;="&amp;$H$3),0))</f>
        <v>0</v>
      </c>
      <c r="W548" s="15" t="str">
        <f aca="false">IF(T548=0,"Win-Back","Active")</f>
        <v>Win-Back</v>
      </c>
      <c r="X548" s="20" t="n">
        <f aca="false">IF(T548=0,0,IF(T548&gt;=$H$3,ROUND(T548*$D$3/SUMIF($T$5:$T$999,"&gt;="&amp;$H$3),0),ROUNDUP(T548*$D$3/SUMIF($T$5:$T$999,"&gt;="&amp;$H$3),0)))</f>
        <v>0</v>
      </c>
      <c r="Y548" s="21"/>
      <c r="Z548" s="16" t="str">
        <f aca="false">IF(X548=0,"",X548-Y548)</f>
        <v/>
      </c>
      <c r="AA548" s="22" t="str">
        <f aca="false">IFERROR(Y548/X548,"")</f>
        <v/>
      </c>
      <c r="AB548" s="16" t="n">
        <v>0</v>
      </c>
      <c r="AC548" s="21"/>
    </row>
    <row r="549" customFormat="false" ht="15" hidden="false" customHeight="true" outlineLevel="0" collapsed="false">
      <c r="A549" s="15" t="s">
        <v>5585</v>
      </c>
      <c r="B549" s="15" t="s">
        <v>5586</v>
      </c>
      <c r="C549" s="15" t="s">
        <v>5587</v>
      </c>
      <c r="D549" s="15" t="s">
        <v>5588</v>
      </c>
      <c r="E549" s="15" t="s">
        <v>5589</v>
      </c>
      <c r="F549" s="15" t="s">
        <v>5590</v>
      </c>
      <c r="G549" s="15" t="s">
        <v>5591</v>
      </c>
      <c r="H549" s="15" t="s">
        <v>5592</v>
      </c>
      <c r="I549" s="15"/>
      <c r="J549" s="15" t="s">
        <v>1588</v>
      </c>
      <c r="K549" s="15" t="s">
        <v>47</v>
      </c>
      <c r="L549" s="15" t="s">
        <v>1589</v>
      </c>
      <c r="M549" s="15" t="s">
        <v>5593</v>
      </c>
      <c r="N549" s="15" t="s">
        <v>73</v>
      </c>
      <c r="O549" s="16" t="n">
        <v>0</v>
      </c>
      <c r="P549" s="16" t="n">
        <v>0</v>
      </c>
      <c r="Q549" s="16" t="n">
        <v>0</v>
      </c>
      <c r="R549" s="16" t="n">
        <v>0</v>
      </c>
      <c r="S549" s="16" t="n">
        <v>0</v>
      </c>
      <c r="T549" s="17" t="n">
        <f aca="false">AVERAGE(O549:Q549)</f>
        <v>0</v>
      </c>
      <c r="U549" s="18" t="str">
        <f aca="false">IF(T549&gt;=$H$3,"Eligible","Not Eligible")</f>
        <v>Not Eligible</v>
      </c>
      <c r="V549" s="19" t="n">
        <f aca="false">IF(T549&lt;$H$3,0,IFERROR(T549/SUMIF($T$5:$T$999,"&gt;="&amp;$H$3),0))</f>
        <v>0</v>
      </c>
      <c r="W549" s="15" t="str">
        <f aca="false">IF(T549=0,"Win-Back","Active")</f>
        <v>Win-Back</v>
      </c>
      <c r="X549" s="20" t="n">
        <f aca="false">IF(T549=0,0,IF(T549&gt;=$H$3,ROUND(T549*$D$3/SUMIF($T$5:$T$999,"&gt;="&amp;$H$3),0),ROUNDUP(T549*$D$3/SUMIF($T$5:$T$999,"&gt;="&amp;$H$3),0)))</f>
        <v>0</v>
      </c>
      <c r="Y549" s="21"/>
      <c r="Z549" s="16" t="str">
        <f aca="false">IF(X549=0,"",X549-Y549)</f>
        <v/>
      </c>
      <c r="AA549" s="22" t="str">
        <f aca="false">IFERROR(Y549/X549,"")</f>
        <v/>
      </c>
      <c r="AB549" s="16" t="n">
        <v>0</v>
      </c>
      <c r="AC549" s="21"/>
    </row>
    <row r="550" customFormat="false" ht="15" hidden="false" customHeight="true" outlineLevel="0" collapsed="false">
      <c r="A550" s="15" t="s">
        <v>5594</v>
      </c>
      <c r="B550" s="15" t="s">
        <v>5595</v>
      </c>
      <c r="C550" s="15" t="s">
        <v>5596</v>
      </c>
      <c r="D550" s="15" t="s">
        <v>5597</v>
      </c>
      <c r="E550" s="15" t="s">
        <v>5598</v>
      </c>
      <c r="F550" s="15" t="s">
        <v>5599</v>
      </c>
      <c r="G550" s="15" t="s">
        <v>5600</v>
      </c>
      <c r="H550" s="15" t="s">
        <v>5601</v>
      </c>
      <c r="I550" s="15"/>
      <c r="J550" s="15" t="s">
        <v>5602</v>
      </c>
      <c r="K550" s="15" t="s">
        <v>70</v>
      </c>
      <c r="L550" s="15" t="s">
        <v>5603</v>
      </c>
      <c r="M550" s="15" t="s">
        <v>5604</v>
      </c>
      <c r="N550" s="15" t="s">
        <v>73</v>
      </c>
      <c r="O550" s="16" t="n">
        <v>0</v>
      </c>
      <c r="P550" s="16" t="n">
        <v>0</v>
      </c>
      <c r="Q550" s="16" t="n">
        <v>0</v>
      </c>
      <c r="R550" s="16" t="n">
        <v>0</v>
      </c>
      <c r="S550" s="16" t="n">
        <v>0</v>
      </c>
      <c r="T550" s="17" t="n">
        <f aca="false">AVERAGE(O550:Q550)</f>
        <v>0</v>
      </c>
      <c r="U550" s="18" t="str">
        <f aca="false">IF(T550&gt;=$H$3,"Eligible","Not Eligible")</f>
        <v>Not Eligible</v>
      </c>
      <c r="V550" s="19" t="n">
        <f aca="false">IF(T550&lt;$H$3,0,IFERROR(T550/SUMIF($T$5:$T$999,"&gt;="&amp;$H$3),0))</f>
        <v>0</v>
      </c>
      <c r="W550" s="15" t="str">
        <f aca="false">IF(T550=0,"Win-Back","Active")</f>
        <v>Win-Back</v>
      </c>
      <c r="X550" s="20" t="n">
        <f aca="false">IF(T550=0,0,IF(T550&gt;=$H$3,ROUND(T550*$D$3/SUMIF($T$5:$T$999,"&gt;="&amp;$H$3),0),ROUNDUP(T550*$D$3/SUMIF($T$5:$T$999,"&gt;="&amp;$H$3),0)))</f>
        <v>0</v>
      </c>
      <c r="Y550" s="21" t="n">
        <v>1</v>
      </c>
      <c r="Z550" s="16" t="str">
        <f aca="false">IF(X550=0,"",X550-Y550)</f>
        <v/>
      </c>
      <c r="AA550" s="22" t="str">
        <f aca="false">IFERROR(Y550/X550,"")</f>
        <v/>
      </c>
      <c r="AB550" s="16" t="n">
        <v>0</v>
      </c>
      <c r="AC550" s="21"/>
    </row>
    <row r="551" customFormat="false" ht="15" hidden="false" customHeight="true" outlineLevel="0" collapsed="false">
      <c r="A551" s="15" t="s">
        <v>5605</v>
      </c>
      <c r="B551" s="15" t="s">
        <v>5606</v>
      </c>
      <c r="C551" s="15" t="s">
        <v>5607</v>
      </c>
      <c r="D551" s="15" t="s">
        <v>5608</v>
      </c>
      <c r="E551" s="15" t="s">
        <v>5609</v>
      </c>
      <c r="F551" s="15" t="s">
        <v>5610</v>
      </c>
      <c r="G551" s="15" t="s">
        <v>5611</v>
      </c>
      <c r="H551" s="15" t="s">
        <v>5612</v>
      </c>
      <c r="I551" s="15"/>
      <c r="J551" s="15" t="s">
        <v>1396</v>
      </c>
      <c r="K551" s="15" t="s">
        <v>678</v>
      </c>
      <c r="L551" s="15" t="s">
        <v>1397</v>
      </c>
      <c r="M551" s="15" t="s">
        <v>5613</v>
      </c>
      <c r="N551" s="15" t="s">
        <v>73</v>
      </c>
      <c r="O551" s="16" t="n">
        <v>0</v>
      </c>
      <c r="P551" s="16" t="n">
        <v>0</v>
      </c>
      <c r="Q551" s="16" t="n">
        <v>0</v>
      </c>
      <c r="R551" s="16" t="n">
        <v>0</v>
      </c>
      <c r="S551" s="16" t="n">
        <v>0</v>
      </c>
      <c r="T551" s="17" t="n">
        <f aca="false">AVERAGE(O551:Q551)</f>
        <v>0</v>
      </c>
      <c r="U551" s="18" t="str">
        <f aca="false">IF(T551&gt;=$H$3,"Eligible","Not Eligible")</f>
        <v>Not Eligible</v>
      </c>
      <c r="V551" s="19" t="n">
        <f aca="false">IF(T551&lt;$H$3,0,IFERROR(T551/SUMIF($T$5:$T$999,"&gt;="&amp;$H$3),0))</f>
        <v>0</v>
      </c>
      <c r="W551" s="15" t="str">
        <f aca="false">IF(T551=0,"Win-Back","Active")</f>
        <v>Win-Back</v>
      </c>
      <c r="X551" s="20" t="n">
        <f aca="false">IF(T551=0,0,IF(T551&gt;=$H$3,ROUND(T551*$D$3/SUMIF($T$5:$T$999,"&gt;="&amp;$H$3),0),ROUNDUP(T551*$D$3/SUMIF($T$5:$T$999,"&gt;="&amp;$H$3),0)))</f>
        <v>0</v>
      </c>
      <c r="Y551" s="21"/>
      <c r="Z551" s="16" t="str">
        <f aca="false">IF(X551=0,"",X551-Y551)</f>
        <v/>
      </c>
      <c r="AA551" s="22" t="str">
        <f aca="false">IFERROR(Y551/X551,"")</f>
        <v/>
      </c>
      <c r="AB551" s="16" t="n">
        <v>0</v>
      </c>
      <c r="AC551" s="21"/>
    </row>
    <row r="552" customFormat="false" ht="15" hidden="false" customHeight="true" outlineLevel="0" collapsed="false">
      <c r="A552" s="15" t="s">
        <v>5614</v>
      </c>
      <c r="B552" s="15" t="s">
        <v>5615</v>
      </c>
      <c r="C552" s="15" t="s">
        <v>5616</v>
      </c>
      <c r="D552" s="15" t="s">
        <v>5617</v>
      </c>
      <c r="E552" s="15" t="s">
        <v>5618</v>
      </c>
      <c r="F552" s="15" t="s">
        <v>5619</v>
      </c>
      <c r="G552" s="15" t="s">
        <v>5620</v>
      </c>
      <c r="H552" s="15" t="s">
        <v>5621</v>
      </c>
      <c r="I552" s="15"/>
      <c r="J552" s="15" t="s">
        <v>677</v>
      </c>
      <c r="K552" s="15" t="s">
        <v>678</v>
      </c>
      <c r="L552" s="15" t="s">
        <v>5622</v>
      </c>
      <c r="M552" s="15" t="s">
        <v>5623</v>
      </c>
      <c r="N552" s="15" t="s">
        <v>73</v>
      </c>
      <c r="O552" s="16" t="n">
        <v>0</v>
      </c>
      <c r="P552" s="16" t="n">
        <v>0</v>
      </c>
      <c r="Q552" s="16" t="n">
        <v>0</v>
      </c>
      <c r="R552" s="16" t="n">
        <v>0</v>
      </c>
      <c r="S552" s="16" t="n">
        <v>0</v>
      </c>
      <c r="T552" s="17" t="n">
        <f aca="false">AVERAGE(O552:Q552)</f>
        <v>0</v>
      </c>
      <c r="U552" s="18" t="str">
        <f aca="false">IF(T552&gt;=$H$3,"Eligible","Not Eligible")</f>
        <v>Not Eligible</v>
      </c>
      <c r="V552" s="19" t="n">
        <f aca="false">IF(T552&lt;$H$3,0,IFERROR(T552/SUMIF($T$5:$T$999,"&gt;="&amp;$H$3),0))</f>
        <v>0</v>
      </c>
      <c r="W552" s="15" t="str">
        <f aca="false">IF(T552=0,"Win-Back","Active")</f>
        <v>Win-Back</v>
      </c>
      <c r="X552" s="20" t="n">
        <f aca="false">IF(T552=0,0,IF(T552&gt;=$H$3,ROUND(T552*$D$3/SUMIF($T$5:$T$999,"&gt;="&amp;$H$3),0),ROUNDUP(T552*$D$3/SUMIF($T$5:$T$999,"&gt;="&amp;$H$3),0)))</f>
        <v>0</v>
      </c>
      <c r="Y552" s="21"/>
      <c r="Z552" s="16" t="str">
        <f aca="false">IF(X552=0,"",X552-Y552)</f>
        <v/>
      </c>
      <c r="AA552" s="22" t="str">
        <f aca="false">IFERROR(Y552/X552,"")</f>
        <v/>
      </c>
      <c r="AB552" s="16" t="n">
        <v>0</v>
      </c>
      <c r="AC552" s="21"/>
    </row>
    <row r="553" customFormat="false" ht="15" hidden="false" customHeight="true" outlineLevel="0" collapsed="false">
      <c r="A553" s="15" t="s">
        <v>5624</v>
      </c>
      <c r="B553" s="15" t="s">
        <v>5625</v>
      </c>
      <c r="C553" s="15" t="s">
        <v>5626</v>
      </c>
      <c r="D553" s="15" t="s">
        <v>5627</v>
      </c>
      <c r="E553" s="15" t="s">
        <v>1705</v>
      </c>
      <c r="F553" s="15" t="s">
        <v>5628</v>
      </c>
      <c r="G553" s="15" t="s">
        <v>5629</v>
      </c>
      <c r="H553" s="15" t="s">
        <v>5630</v>
      </c>
      <c r="I553" s="15"/>
      <c r="J553" s="15" t="s">
        <v>5631</v>
      </c>
      <c r="K553" s="15" t="s">
        <v>368</v>
      </c>
      <c r="L553" s="15" t="s">
        <v>5632</v>
      </c>
      <c r="M553" s="15" t="s">
        <v>5633</v>
      </c>
      <c r="N553" s="15" t="s">
        <v>73</v>
      </c>
      <c r="O553" s="16" t="n">
        <v>0</v>
      </c>
      <c r="P553" s="16" t="n">
        <v>0</v>
      </c>
      <c r="Q553" s="16" t="n">
        <v>0</v>
      </c>
      <c r="R553" s="16" t="n">
        <v>0</v>
      </c>
      <c r="S553" s="16" t="n">
        <v>0</v>
      </c>
      <c r="T553" s="17" t="n">
        <f aca="false">AVERAGE(O553:Q553)</f>
        <v>0</v>
      </c>
      <c r="U553" s="18" t="str">
        <f aca="false">IF(T553&gt;=$H$3,"Eligible","Not Eligible")</f>
        <v>Not Eligible</v>
      </c>
      <c r="V553" s="19" t="n">
        <f aca="false">IF(T553&lt;$H$3,0,IFERROR(T553/SUMIF($T$5:$T$999,"&gt;="&amp;$H$3),0))</f>
        <v>0</v>
      </c>
      <c r="W553" s="15" t="str">
        <f aca="false">IF(T553=0,"Win-Back","Active")</f>
        <v>Win-Back</v>
      </c>
      <c r="X553" s="20" t="n">
        <f aca="false">IF(T553=0,0,IF(T553&gt;=$H$3,ROUND(T553*$D$3/SUMIF($T$5:$T$999,"&gt;="&amp;$H$3),0),ROUNDUP(T553*$D$3/SUMIF($T$5:$T$999,"&gt;="&amp;$H$3),0)))</f>
        <v>0</v>
      </c>
      <c r="Y553" s="21"/>
      <c r="Z553" s="16" t="str">
        <f aca="false">IF(X553=0,"",X553-Y553)</f>
        <v/>
      </c>
      <c r="AA553" s="22" t="str">
        <f aca="false">IFERROR(Y553/X553,"")</f>
        <v/>
      </c>
      <c r="AB553" s="16" t="n">
        <v>0</v>
      </c>
      <c r="AC553" s="21"/>
    </row>
    <row r="554" customFormat="false" ht="15" hidden="false" customHeight="true" outlineLevel="0" collapsed="false">
      <c r="A554" s="15" t="s">
        <v>5634</v>
      </c>
      <c r="B554" s="15" t="s">
        <v>5635</v>
      </c>
      <c r="C554" s="15" t="s">
        <v>5636</v>
      </c>
      <c r="D554" s="15" t="s">
        <v>5627</v>
      </c>
      <c r="E554" s="15" t="s">
        <v>1705</v>
      </c>
      <c r="F554" s="15" t="s">
        <v>5637</v>
      </c>
      <c r="G554" s="15" t="s">
        <v>5629</v>
      </c>
      <c r="H554" s="15" t="s">
        <v>5638</v>
      </c>
      <c r="I554" s="15" t="s">
        <v>5639</v>
      </c>
      <c r="J554" s="15" t="s">
        <v>2367</v>
      </c>
      <c r="K554" s="15" t="s">
        <v>368</v>
      </c>
      <c r="L554" s="15" t="s">
        <v>5640</v>
      </c>
      <c r="M554" s="15" t="s">
        <v>5633</v>
      </c>
      <c r="N554" s="15" t="s">
        <v>73</v>
      </c>
      <c r="O554" s="16" t="n">
        <v>0</v>
      </c>
      <c r="P554" s="16" t="n">
        <v>0</v>
      </c>
      <c r="Q554" s="16" t="n">
        <v>0</v>
      </c>
      <c r="R554" s="16" t="n">
        <v>0</v>
      </c>
      <c r="S554" s="16" t="n">
        <v>0</v>
      </c>
      <c r="T554" s="17" t="n">
        <f aca="false">AVERAGE(O554:Q554)</f>
        <v>0</v>
      </c>
      <c r="U554" s="18" t="str">
        <f aca="false">IF(T554&gt;=$H$3,"Eligible","Not Eligible")</f>
        <v>Not Eligible</v>
      </c>
      <c r="V554" s="19" t="n">
        <f aca="false">IF(T554&lt;$H$3,0,IFERROR(T554/SUMIF($T$5:$T$999,"&gt;="&amp;$H$3),0))</f>
        <v>0</v>
      </c>
      <c r="W554" s="15" t="str">
        <f aca="false">IF(T554=0,"Win-Back","Active")</f>
        <v>Win-Back</v>
      </c>
      <c r="X554" s="20" t="n">
        <f aca="false">IF(T554=0,0,IF(T554&gt;=$H$3,ROUND(T554*$D$3/SUMIF($T$5:$T$999,"&gt;="&amp;$H$3),0),ROUNDUP(T554*$D$3/SUMIF($T$5:$T$999,"&gt;="&amp;$H$3),0)))</f>
        <v>0</v>
      </c>
      <c r="Y554" s="21"/>
      <c r="Z554" s="16" t="str">
        <f aca="false">IF(X554=0,"",X554-Y554)</f>
        <v/>
      </c>
      <c r="AA554" s="22" t="str">
        <f aca="false">IFERROR(Y554/X554,"")</f>
        <v/>
      </c>
      <c r="AB554" s="16" t="n">
        <v>0</v>
      </c>
      <c r="AC554" s="21"/>
    </row>
    <row r="555" customFormat="false" ht="15" hidden="false" customHeight="true" outlineLevel="0" collapsed="false">
      <c r="A555" s="15" t="s">
        <v>5641</v>
      </c>
      <c r="B555" s="15" t="s">
        <v>5642</v>
      </c>
      <c r="C555" s="15" t="s">
        <v>5643</v>
      </c>
      <c r="D555" s="15" t="s">
        <v>5644</v>
      </c>
      <c r="E555" s="15" t="s">
        <v>5645</v>
      </c>
      <c r="F555" s="15" t="s">
        <v>5646</v>
      </c>
      <c r="G555" s="15" t="s">
        <v>5647</v>
      </c>
      <c r="H555" s="15" t="s">
        <v>5648</v>
      </c>
      <c r="I555" s="15" t="s">
        <v>5649</v>
      </c>
      <c r="J555" s="15" t="s">
        <v>5650</v>
      </c>
      <c r="K555" s="15" t="s">
        <v>2098</v>
      </c>
      <c r="L555" s="15" t="s">
        <v>5651</v>
      </c>
      <c r="M555" s="15" t="s">
        <v>5652</v>
      </c>
      <c r="N555" s="15" t="s">
        <v>73</v>
      </c>
      <c r="O555" s="16" t="n">
        <v>0</v>
      </c>
      <c r="P555" s="16" t="n">
        <v>0</v>
      </c>
      <c r="Q555" s="16" t="n">
        <v>0</v>
      </c>
      <c r="R555" s="16" t="n">
        <v>0</v>
      </c>
      <c r="S555" s="16" t="n">
        <v>0</v>
      </c>
      <c r="T555" s="17" t="n">
        <f aca="false">AVERAGE(O555:Q555)</f>
        <v>0</v>
      </c>
      <c r="U555" s="18" t="str">
        <f aca="false">IF(T555&gt;=$H$3,"Eligible","Not Eligible")</f>
        <v>Not Eligible</v>
      </c>
      <c r="V555" s="19" t="n">
        <f aca="false">IF(T555&lt;$H$3,0,IFERROR(T555/SUMIF($T$5:$T$999,"&gt;="&amp;$H$3),0))</f>
        <v>0</v>
      </c>
      <c r="W555" s="15" t="str">
        <f aca="false">IF(T555=0,"Win-Back","Active")</f>
        <v>Win-Back</v>
      </c>
      <c r="X555" s="20" t="n">
        <f aca="false">IF(T555=0,0,IF(T555&gt;=$H$3,ROUND(T555*$D$3/SUMIF($T$5:$T$999,"&gt;="&amp;$H$3),0),ROUNDUP(T555*$D$3/SUMIF($T$5:$T$999,"&gt;="&amp;$H$3),0)))</f>
        <v>0</v>
      </c>
      <c r="Y555" s="21"/>
      <c r="Z555" s="16" t="str">
        <f aca="false">IF(X555=0,"",X555-Y555)</f>
        <v/>
      </c>
      <c r="AA555" s="22" t="str">
        <f aca="false">IFERROR(Y555/X555,"")</f>
        <v/>
      </c>
      <c r="AB555" s="16" t="n">
        <v>0</v>
      </c>
      <c r="AC555" s="21"/>
    </row>
    <row r="556" customFormat="false" ht="15" hidden="false" customHeight="true" outlineLevel="0" collapsed="false">
      <c r="A556" s="15" t="s">
        <v>5653</v>
      </c>
      <c r="B556" s="15" t="s">
        <v>5654</v>
      </c>
      <c r="C556" s="15" t="s">
        <v>5655</v>
      </c>
      <c r="D556" s="15" t="s">
        <v>5656</v>
      </c>
      <c r="E556" s="15" t="s">
        <v>5657</v>
      </c>
      <c r="F556" s="15" t="s">
        <v>5658</v>
      </c>
      <c r="G556" s="15" t="s">
        <v>5659</v>
      </c>
      <c r="H556" s="15" t="s">
        <v>5660</v>
      </c>
      <c r="I556" s="15" t="s">
        <v>5661</v>
      </c>
      <c r="J556" s="15" t="s">
        <v>5650</v>
      </c>
      <c r="K556" s="15" t="s">
        <v>2098</v>
      </c>
      <c r="L556" s="15" t="s">
        <v>5662</v>
      </c>
      <c r="M556" s="15" t="s">
        <v>5663</v>
      </c>
      <c r="N556" s="15" t="s">
        <v>73</v>
      </c>
      <c r="O556" s="16" t="n">
        <v>0</v>
      </c>
      <c r="P556" s="16" t="n">
        <v>0</v>
      </c>
      <c r="Q556" s="16" t="n">
        <v>0</v>
      </c>
      <c r="R556" s="16" t="n">
        <v>0</v>
      </c>
      <c r="S556" s="16" t="n">
        <v>0</v>
      </c>
      <c r="T556" s="17" t="n">
        <f aca="false">AVERAGE(O556:Q556)</f>
        <v>0</v>
      </c>
      <c r="U556" s="18" t="str">
        <f aca="false">IF(T556&gt;=$H$3,"Eligible","Not Eligible")</f>
        <v>Not Eligible</v>
      </c>
      <c r="V556" s="19" t="n">
        <f aca="false">IF(T556&lt;$H$3,0,IFERROR(T556/SUMIF($T$5:$T$999,"&gt;="&amp;$H$3),0))</f>
        <v>0</v>
      </c>
      <c r="W556" s="15" t="str">
        <f aca="false">IF(T556=0,"Win-Back","Active")</f>
        <v>Win-Back</v>
      </c>
      <c r="X556" s="20" t="n">
        <f aca="false">IF(T556=0,0,IF(T556&gt;=$H$3,ROUND(T556*$D$3/SUMIF($T$5:$T$999,"&gt;="&amp;$H$3),0),ROUNDUP(T556*$D$3/SUMIF($T$5:$T$999,"&gt;="&amp;$H$3),0)))</f>
        <v>0</v>
      </c>
      <c r="Y556" s="21"/>
      <c r="Z556" s="16" t="str">
        <f aca="false">IF(X556=0,"",X556-Y556)</f>
        <v/>
      </c>
      <c r="AA556" s="22" t="str">
        <f aca="false">IFERROR(Y556/X556,"")</f>
        <v/>
      </c>
      <c r="AB556" s="16" t="n">
        <v>0</v>
      </c>
      <c r="AC556" s="21"/>
    </row>
    <row r="557" customFormat="false" ht="15" hidden="false" customHeight="true" outlineLevel="0" collapsed="false">
      <c r="A557" s="15" t="s">
        <v>5664</v>
      </c>
      <c r="B557" s="15" t="s">
        <v>5665</v>
      </c>
      <c r="C557" s="15" t="s">
        <v>5666</v>
      </c>
      <c r="D557" s="15" t="s">
        <v>5667</v>
      </c>
      <c r="E557" s="15" t="s">
        <v>5668</v>
      </c>
      <c r="F557" s="15" t="s">
        <v>5669</v>
      </c>
      <c r="G557" s="15" t="s">
        <v>5670</v>
      </c>
      <c r="H557" s="15" t="s">
        <v>5671</v>
      </c>
      <c r="I557" s="15" t="s">
        <v>5672</v>
      </c>
      <c r="J557" s="15" t="s">
        <v>5673</v>
      </c>
      <c r="K557" s="15" t="s">
        <v>2098</v>
      </c>
      <c r="L557" s="15" t="s">
        <v>5674</v>
      </c>
      <c r="M557" s="15" t="s">
        <v>5675</v>
      </c>
      <c r="N557" s="15" t="s">
        <v>73</v>
      </c>
      <c r="O557" s="16" t="n">
        <v>0</v>
      </c>
      <c r="P557" s="16" t="n">
        <v>0</v>
      </c>
      <c r="Q557" s="16" t="n">
        <v>0</v>
      </c>
      <c r="R557" s="16" t="n">
        <v>0</v>
      </c>
      <c r="S557" s="16" t="n">
        <v>0</v>
      </c>
      <c r="T557" s="17" t="n">
        <f aca="false">AVERAGE(O557:Q557)</f>
        <v>0</v>
      </c>
      <c r="U557" s="18" t="str">
        <f aca="false">IF(T557&gt;=$H$3,"Eligible","Not Eligible")</f>
        <v>Not Eligible</v>
      </c>
      <c r="V557" s="19" t="n">
        <f aca="false">IF(T557&lt;$H$3,0,IFERROR(T557/SUMIF($T$5:$T$999,"&gt;="&amp;$H$3),0))</f>
        <v>0</v>
      </c>
      <c r="W557" s="15" t="str">
        <f aca="false">IF(T557=0,"Win-Back","Active")</f>
        <v>Win-Back</v>
      </c>
      <c r="X557" s="20" t="n">
        <f aca="false">IF(T557=0,0,IF(T557&gt;=$H$3,ROUND(T557*$D$3/SUMIF($T$5:$T$999,"&gt;="&amp;$H$3),0),ROUNDUP(T557*$D$3/SUMIF($T$5:$T$999,"&gt;="&amp;$H$3),0)))</f>
        <v>0</v>
      </c>
      <c r="Y557" s="21"/>
      <c r="Z557" s="16" t="str">
        <f aca="false">IF(X557=0,"",X557-Y557)</f>
        <v/>
      </c>
      <c r="AA557" s="22" t="str">
        <f aca="false">IFERROR(Y557/X557,"")</f>
        <v/>
      </c>
      <c r="AB557" s="16" t="n">
        <v>0</v>
      </c>
      <c r="AC557" s="21"/>
    </row>
    <row r="558" customFormat="false" ht="15" hidden="false" customHeight="true" outlineLevel="0" collapsed="false">
      <c r="A558" s="15" t="s">
        <v>5676</v>
      </c>
      <c r="B558" s="15" t="s">
        <v>5677</v>
      </c>
      <c r="C558" s="15" t="s">
        <v>5678</v>
      </c>
      <c r="D558" s="15" t="s">
        <v>5679</v>
      </c>
      <c r="E558" s="15" t="s">
        <v>5680</v>
      </c>
      <c r="F558" s="15" t="s">
        <v>5681</v>
      </c>
      <c r="G558" s="15" t="s">
        <v>5682</v>
      </c>
      <c r="H558" s="15" t="s">
        <v>5683</v>
      </c>
      <c r="I558" s="15"/>
      <c r="J558" s="15" t="s">
        <v>1588</v>
      </c>
      <c r="K558" s="15" t="s">
        <v>47</v>
      </c>
      <c r="L558" s="15" t="s">
        <v>1589</v>
      </c>
      <c r="M558" s="15" t="s">
        <v>5684</v>
      </c>
      <c r="N558" s="15" t="s">
        <v>73</v>
      </c>
      <c r="O558" s="16" t="n">
        <v>0</v>
      </c>
      <c r="P558" s="16" t="n">
        <v>0</v>
      </c>
      <c r="Q558" s="16" t="n">
        <v>0</v>
      </c>
      <c r="R558" s="16" t="n">
        <v>0</v>
      </c>
      <c r="S558" s="16" t="n">
        <v>0</v>
      </c>
      <c r="T558" s="17" t="n">
        <f aca="false">AVERAGE(O558:Q558)</f>
        <v>0</v>
      </c>
      <c r="U558" s="18" t="str">
        <f aca="false">IF(T558&gt;=$H$3,"Eligible","Not Eligible")</f>
        <v>Not Eligible</v>
      </c>
      <c r="V558" s="19" t="n">
        <f aca="false">IF(T558&lt;$H$3,0,IFERROR(T558/SUMIF($T$5:$T$999,"&gt;="&amp;$H$3),0))</f>
        <v>0</v>
      </c>
      <c r="W558" s="15" t="str">
        <f aca="false">IF(T558=0,"Win-Back","Active")</f>
        <v>Win-Back</v>
      </c>
      <c r="X558" s="20" t="n">
        <f aca="false">IF(T558=0,0,IF(T558&gt;=$H$3,ROUND(T558*$D$3/SUMIF($T$5:$T$999,"&gt;="&amp;$H$3),0),ROUNDUP(T558*$D$3/SUMIF($T$5:$T$999,"&gt;="&amp;$H$3),0)))</f>
        <v>0</v>
      </c>
      <c r="Y558" s="21"/>
      <c r="Z558" s="16" t="str">
        <f aca="false">IF(X558=0,"",X558-Y558)</f>
        <v/>
      </c>
      <c r="AA558" s="22" t="str">
        <f aca="false">IFERROR(Y558/X558,"")</f>
        <v/>
      </c>
      <c r="AB558" s="16" t="n">
        <v>0</v>
      </c>
      <c r="AC558" s="21"/>
    </row>
    <row r="559" customFormat="false" ht="15" hidden="false" customHeight="true" outlineLevel="0" collapsed="false">
      <c r="A559" s="15" t="s">
        <v>5685</v>
      </c>
      <c r="B559" s="15" t="s">
        <v>5686</v>
      </c>
      <c r="C559" s="15" t="s">
        <v>5687</v>
      </c>
      <c r="D559" s="15" t="s">
        <v>5688</v>
      </c>
      <c r="E559" s="15" t="s">
        <v>5689</v>
      </c>
      <c r="F559" s="15" t="s">
        <v>5690</v>
      </c>
      <c r="G559" s="15" t="s">
        <v>5691</v>
      </c>
      <c r="H559" s="15" t="s">
        <v>5692</v>
      </c>
      <c r="I559" s="15" t="s">
        <v>1566</v>
      </c>
      <c r="J559" s="15" t="s">
        <v>4223</v>
      </c>
      <c r="K559" s="15" t="s">
        <v>402</v>
      </c>
      <c r="L559" s="15" t="s">
        <v>5693</v>
      </c>
      <c r="M559" s="15" t="s">
        <v>5694</v>
      </c>
      <c r="N559" s="15" t="s">
        <v>73</v>
      </c>
      <c r="O559" s="16" t="n">
        <v>0</v>
      </c>
      <c r="P559" s="16" t="n">
        <v>0</v>
      </c>
      <c r="Q559" s="16" t="n">
        <v>0</v>
      </c>
      <c r="R559" s="16" t="n">
        <v>0</v>
      </c>
      <c r="S559" s="16" t="n">
        <v>0</v>
      </c>
      <c r="T559" s="17" t="n">
        <f aca="false">AVERAGE(O559:Q559)</f>
        <v>0</v>
      </c>
      <c r="U559" s="18" t="str">
        <f aca="false">IF(T559&gt;=$H$3,"Eligible","Not Eligible")</f>
        <v>Not Eligible</v>
      </c>
      <c r="V559" s="19" t="n">
        <f aca="false">IF(T559&lt;$H$3,0,IFERROR(T559/SUMIF($T$5:$T$999,"&gt;="&amp;$H$3),0))</f>
        <v>0</v>
      </c>
      <c r="W559" s="15" t="str">
        <f aca="false">IF(T559=0,"Win-Back","Active")</f>
        <v>Win-Back</v>
      </c>
      <c r="X559" s="20" t="n">
        <f aca="false">IF(T559=0,0,IF(T559&gt;=$H$3,ROUND(T559*$D$3/SUMIF($T$5:$T$999,"&gt;="&amp;$H$3),0),ROUNDUP(T559*$D$3/SUMIF($T$5:$T$999,"&gt;="&amp;$H$3),0)))</f>
        <v>0</v>
      </c>
      <c r="Y559" s="21"/>
      <c r="Z559" s="16" t="str">
        <f aca="false">IF(X559=0,"",X559-Y559)</f>
        <v/>
      </c>
      <c r="AA559" s="22" t="str">
        <f aca="false">IFERROR(Y559/X559,"")</f>
        <v/>
      </c>
      <c r="AB559" s="16" t="n">
        <v>0</v>
      </c>
      <c r="AC559" s="21"/>
    </row>
    <row r="560" customFormat="false" ht="15" hidden="false" customHeight="true" outlineLevel="0" collapsed="false">
      <c r="A560" s="15" t="s">
        <v>5695</v>
      </c>
      <c r="B560" s="15" t="s">
        <v>5696</v>
      </c>
      <c r="C560" s="15" t="s">
        <v>5697</v>
      </c>
      <c r="D560" s="15" t="s">
        <v>5698</v>
      </c>
      <c r="E560" s="15" t="s">
        <v>5699</v>
      </c>
      <c r="F560" s="15" t="s">
        <v>5700</v>
      </c>
      <c r="G560" s="15" t="s">
        <v>5701</v>
      </c>
      <c r="H560" s="15" t="s">
        <v>5702</v>
      </c>
      <c r="I560" s="15"/>
      <c r="J560" s="15" t="s">
        <v>2827</v>
      </c>
      <c r="K560" s="15" t="s">
        <v>70</v>
      </c>
      <c r="L560" s="15" t="s">
        <v>2828</v>
      </c>
      <c r="M560" s="15" t="s">
        <v>5703</v>
      </c>
      <c r="N560" s="15" t="s">
        <v>73</v>
      </c>
      <c r="O560" s="16" t="n">
        <v>0</v>
      </c>
      <c r="P560" s="16" t="n">
        <v>0</v>
      </c>
      <c r="Q560" s="16" t="n">
        <v>0</v>
      </c>
      <c r="R560" s="16" t="n">
        <v>0</v>
      </c>
      <c r="S560" s="16" t="n">
        <v>0</v>
      </c>
      <c r="T560" s="17" t="n">
        <f aca="false">AVERAGE(O560:Q560)</f>
        <v>0</v>
      </c>
      <c r="U560" s="18" t="str">
        <f aca="false">IF(T560&gt;=$H$3,"Eligible","Not Eligible")</f>
        <v>Not Eligible</v>
      </c>
      <c r="V560" s="19" t="n">
        <f aca="false">IF(T560&lt;$H$3,0,IFERROR(T560/SUMIF($T$5:$T$999,"&gt;="&amp;$H$3),0))</f>
        <v>0</v>
      </c>
      <c r="W560" s="15" t="str">
        <f aca="false">IF(T560=0,"Win-Back","Active")</f>
        <v>Win-Back</v>
      </c>
      <c r="X560" s="20" t="n">
        <f aca="false">IF(T560=0,0,IF(T560&gt;=$H$3,ROUND(T560*$D$3/SUMIF($T$5:$T$999,"&gt;="&amp;$H$3),0),ROUNDUP(T560*$D$3/SUMIF($T$5:$T$999,"&gt;="&amp;$H$3),0)))</f>
        <v>0</v>
      </c>
      <c r="Y560" s="21"/>
      <c r="Z560" s="16" t="str">
        <f aca="false">IF(X560=0,"",X560-Y560)</f>
        <v/>
      </c>
      <c r="AA560" s="22" t="str">
        <f aca="false">IFERROR(Y560/X560,"")</f>
        <v/>
      </c>
      <c r="AB560" s="16" t="n">
        <v>0</v>
      </c>
      <c r="AC560" s="21"/>
    </row>
    <row r="561" customFormat="false" ht="15" hidden="false" customHeight="true" outlineLevel="0" collapsed="false">
      <c r="A561" s="15" t="s">
        <v>5704</v>
      </c>
      <c r="B561" s="15" t="s">
        <v>5705</v>
      </c>
      <c r="C561" s="15" t="s">
        <v>5706</v>
      </c>
      <c r="D561" s="15" t="s">
        <v>5707</v>
      </c>
      <c r="E561" s="15" t="s">
        <v>5708</v>
      </c>
      <c r="F561" s="15" t="s">
        <v>5709</v>
      </c>
      <c r="G561" s="15" t="s">
        <v>5710</v>
      </c>
      <c r="H561" s="15" t="s">
        <v>5711</v>
      </c>
      <c r="I561" s="15"/>
      <c r="J561" s="15" t="s">
        <v>5712</v>
      </c>
      <c r="K561" s="15" t="s">
        <v>368</v>
      </c>
      <c r="L561" s="15" t="s">
        <v>5713</v>
      </c>
      <c r="M561" s="15" t="s">
        <v>5714</v>
      </c>
      <c r="N561" s="15" t="s">
        <v>73</v>
      </c>
      <c r="O561" s="16" t="n">
        <v>0</v>
      </c>
      <c r="P561" s="16" t="n">
        <v>0</v>
      </c>
      <c r="Q561" s="16" t="n">
        <v>0</v>
      </c>
      <c r="R561" s="16" t="n">
        <v>0</v>
      </c>
      <c r="S561" s="16" t="n">
        <v>0</v>
      </c>
      <c r="T561" s="17" t="n">
        <f aca="false">AVERAGE(O561:Q561)</f>
        <v>0</v>
      </c>
      <c r="U561" s="18" t="str">
        <f aca="false">IF(T561&gt;=$H$3,"Eligible","Not Eligible")</f>
        <v>Not Eligible</v>
      </c>
      <c r="V561" s="19" t="n">
        <f aca="false">IF(T561&lt;$H$3,0,IFERROR(T561/SUMIF($T$5:$T$999,"&gt;="&amp;$H$3),0))</f>
        <v>0</v>
      </c>
      <c r="W561" s="15" t="str">
        <f aca="false">IF(T561=0,"Win-Back","Active")</f>
        <v>Win-Back</v>
      </c>
      <c r="X561" s="20" t="n">
        <f aca="false">IF(T561=0,0,IF(T561&gt;=$H$3,ROUND(T561*$D$3/SUMIF($T$5:$T$999,"&gt;="&amp;$H$3),0),ROUNDUP(T561*$D$3/SUMIF($T$5:$T$999,"&gt;="&amp;$H$3),0)))</f>
        <v>0</v>
      </c>
      <c r="Y561" s="21"/>
      <c r="Z561" s="16" t="str">
        <f aca="false">IF(X561=0,"",X561-Y561)</f>
        <v/>
      </c>
      <c r="AA561" s="22" t="str">
        <f aca="false">IFERROR(Y561/X561,"")</f>
        <v/>
      </c>
      <c r="AB561" s="16" t="n">
        <v>0</v>
      </c>
      <c r="AC561" s="21"/>
    </row>
    <row r="562" customFormat="false" ht="15" hidden="false" customHeight="true" outlineLevel="0" collapsed="false">
      <c r="A562" s="15" t="s">
        <v>5715</v>
      </c>
      <c r="B562" s="15" t="s">
        <v>5716</v>
      </c>
      <c r="C562" s="15" t="s">
        <v>5717</v>
      </c>
      <c r="D562" s="15" t="s">
        <v>5707</v>
      </c>
      <c r="E562" s="15" t="s">
        <v>5708</v>
      </c>
      <c r="F562" s="15" t="s">
        <v>5718</v>
      </c>
      <c r="G562" s="15" t="s">
        <v>5710</v>
      </c>
      <c r="H562" s="15" t="s">
        <v>5719</v>
      </c>
      <c r="I562" s="15" t="s">
        <v>5720</v>
      </c>
      <c r="J562" s="15" t="s">
        <v>5721</v>
      </c>
      <c r="K562" s="15" t="s">
        <v>368</v>
      </c>
      <c r="L562" s="15" t="s">
        <v>5722</v>
      </c>
      <c r="M562" s="15" t="s">
        <v>5714</v>
      </c>
      <c r="N562" s="15" t="s">
        <v>73</v>
      </c>
      <c r="O562" s="16" t="n">
        <v>0</v>
      </c>
      <c r="P562" s="16" t="n">
        <v>0</v>
      </c>
      <c r="Q562" s="16" t="n">
        <v>0</v>
      </c>
      <c r="R562" s="16" t="n">
        <v>0</v>
      </c>
      <c r="S562" s="16" t="n">
        <v>0</v>
      </c>
      <c r="T562" s="17" t="n">
        <f aca="false">AVERAGE(O562:Q562)</f>
        <v>0</v>
      </c>
      <c r="U562" s="18" t="str">
        <f aca="false">IF(T562&gt;=$H$3,"Eligible","Not Eligible")</f>
        <v>Not Eligible</v>
      </c>
      <c r="V562" s="19" t="n">
        <f aca="false">IF(T562&lt;$H$3,0,IFERROR(T562/SUMIF($T$5:$T$999,"&gt;="&amp;$H$3),0))</f>
        <v>0</v>
      </c>
      <c r="W562" s="15" t="str">
        <f aca="false">IF(T562=0,"Win-Back","Active")</f>
        <v>Win-Back</v>
      </c>
      <c r="X562" s="20" t="n">
        <f aca="false">IF(T562=0,0,IF(T562&gt;=$H$3,ROUND(T562*$D$3/SUMIF($T$5:$T$999,"&gt;="&amp;$H$3),0),ROUNDUP(T562*$D$3/SUMIF($T$5:$T$999,"&gt;="&amp;$H$3),0)))</f>
        <v>0</v>
      </c>
      <c r="Y562" s="21"/>
      <c r="Z562" s="16" t="str">
        <f aca="false">IF(X562=0,"",X562-Y562)</f>
        <v/>
      </c>
      <c r="AA562" s="22" t="str">
        <f aca="false">IFERROR(Y562/X562,"")</f>
        <v/>
      </c>
      <c r="AB562" s="16" t="n">
        <v>0</v>
      </c>
      <c r="AC562" s="21"/>
    </row>
    <row r="563" customFormat="false" ht="15" hidden="false" customHeight="true" outlineLevel="0" collapsed="false">
      <c r="A563" s="15" t="s">
        <v>5723</v>
      </c>
      <c r="B563" s="15" t="s">
        <v>5724</v>
      </c>
      <c r="C563" s="15" t="s">
        <v>5725</v>
      </c>
      <c r="D563" s="15" t="s">
        <v>5726</v>
      </c>
      <c r="E563" s="15" t="s">
        <v>5727</v>
      </c>
      <c r="F563" s="15" t="s">
        <v>5728</v>
      </c>
      <c r="G563" s="15" t="s">
        <v>5729</v>
      </c>
      <c r="H563" s="15" t="s">
        <v>5730</v>
      </c>
      <c r="I563" s="15"/>
      <c r="J563" s="15" t="s">
        <v>5731</v>
      </c>
      <c r="K563" s="15" t="s">
        <v>1890</v>
      </c>
      <c r="L563" s="15" t="s">
        <v>5732</v>
      </c>
      <c r="M563" s="15" t="s">
        <v>5733</v>
      </c>
      <c r="N563" s="15" t="s">
        <v>73</v>
      </c>
      <c r="O563" s="16" t="n">
        <v>0</v>
      </c>
      <c r="P563" s="16" t="n">
        <v>0</v>
      </c>
      <c r="Q563" s="16" t="n">
        <v>0</v>
      </c>
      <c r="R563" s="16" t="n">
        <v>0</v>
      </c>
      <c r="S563" s="16" t="n">
        <v>0</v>
      </c>
      <c r="T563" s="17" t="n">
        <f aca="false">AVERAGE(O563:Q563)</f>
        <v>0</v>
      </c>
      <c r="U563" s="18" t="str">
        <f aca="false">IF(T563&gt;=$H$3,"Eligible","Not Eligible")</f>
        <v>Not Eligible</v>
      </c>
      <c r="V563" s="19" t="n">
        <f aca="false">IF(T563&lt;$H$3,0,IFERROR(T563/SUMIF($T$5:$T$999,"&gt;="&amp;$H$3),0))</f>
        <v>0</v>
      </c>
      <c r="W563" s="15" t="str">
        <f aca="false">IF(T563=0,"Win-Back","Active")</f>
        <v>Win-Back</v>
      </c>
      <c r="X563" s="20" t="n">
        <f aca="false">IF(T563=0,0,IF(T563&gt;=$H$3,ROUND(T563*$D$3/SUMIF($T$5:$T$999,"&gt;="&amp;$H$3),0),ROUNDUP(T563*$D$3/SUMIF($T$5:$T$999,"&gt;="&amp;$H$3),0)))</f>
        <v>0</v>
      </c>
      <c r="Y563" s="21"/>
      <c r="Z563" s="16" t="str">
        <f aca="false">IF(X563=0,"",X563-Y563)</f>
        <v/>
      </c>
      <c r="AA563" s="22" t="str">
        <f aca="false">IFERROR(Y563/X563,"")</f>
        <v/>
      </c>
      <c r="AB563" s="16" t="n">
        <v>0</v>
      </c>
      <c r="AC563" s="21"/>
    </row>
    <row r="564" customFormat="false" ht="15" hidden="false" customHeight="true" outlineLevel="0" collapsed="false">
      <c r="A564" s="15" t="s">
        <v>5734</v>
      </c>
      <c r="B564" s="15" t="s">
        <v>5735</v>
      </c>
      <c r="C564" s="15" t="s">
        <v>5736</v>
      </c>
      <c r="D564" s="15" t="s">
        <v>5737</v>
      </c>
      <c r="E564" s="15" t="s">
        <v>5738</v>
      </c>
      <c r="F564" s="15" t="s">
        <v>5739</v>
      </c>
      <c r="G564" s="15" t="s">
        <v>5740</v>
      </c>
      <c r="H564" s="15" t="s">
        <v>5741</v>
      </c>
      <c r="I564" s="15" t="s">
        <v>3473</v>
      </c>
      <c r="J564" s="15" t="s">
        <v>1655</v>
      </c>
      <c r="K564" s="15" t="s">
        <v>70</v>
      </c>
      <c r="L564" s="15" t="s">
        <v>1656</v>
      </c>
      <c r="M564" s="15" t="s">
        <v>5742</v>
      </c>
      <c r="N564" s="15" t="s">
        <v>73</v>
      </c>
      <c r="O564" s="16" t="n">
        <v>0</v>
      </c>
      <c r="P564" s="16" t="n">
        <v>0</v>
      </c>
      <c r="Q564" s="16" t="n">
        <v>0</v>
      </c>
      <c r="R564" s="16" t="n">
        <v>0</v>
      </c>
      <c r="S564" s="16" t="n">
        <v>0</v>
      </c>
      <c r="T564" s="17" t="n">
        <f aca="false">AVERAGE(O564:Q564)</f>
        <v>0</v>
      </c>
      <c r="U564" s="18" t="str">
        <f aca="false">IF(T564&gt;=$H$3,"Eligible","Not Eligible")</f>
        <v>Not Eligible</v>
      </c>
      <c r="V564" s="19" t="n">
        <f aca="false">IF(T564&lt;$H$3,0,IFERROR(T564/SUMIF($T$5:$T$999,"&gt;="&amp;$H$3),0))</f>
        <v>0</v>
      </c>
      <c r="W564" s="15" t="str">
        <f aca="false">IF(T564=0,"Win-Back","Active")</f>
        <v>Win-Back</v>
      </c>
      <c r="X564" s="20" t="n">
        <f aca="false">IF(T564=0,0,IF(T564&gt;=$H$3,ROUND(T564*$D$3/SUMIF($T$5:$T$999,"&gt;="&amp;$H$3),0),ROUNDUP(T564*$D$3/SUMIF($T$5:$T$999,"&gt;="&amp;$H$3),0)))</f>
        <v>0</v>
      </c>
      <c r="Y564" s="21"/>
      <c r="Z564" s="16" t="str">
        <f aca="false">IF(X564=0,"",X564-Y564)</f>
        <v/>
      </c>
      <c r="AA564" s="22" t="str">
        <f aca="false">IFERROR(Y564/X564,"")</f>
        <v/>
      </c>
      <c r="AB564" s="16" t="n">
        <v>0</v>
      </c>
      <c r="AC564" s="21"/>
    </row>
    <row r="565" customFormat="false" ht="15" hidden="false" customHeight="true" outlineLevel="0" collapsed="false">
      <c r="A565" s="15" t="s">
        <v>5743</v>
      </c>
      <c r="B565" s="15" t="s">
        <v>5744</v>
      </c>
      <c r="C565" s="15" t="s">
        <v>5745</v>
      </c>
      <c r="D565" s="15" t="s">
        <v>5746</v>
      </c>
      <c r="E565" s="15" t="s">
        <v>5747</v>
      </c>
      <c r="F565" s="15" t="s">
        <v>5748</v>
      </c>
      <c r="G565" s="15" t="s">
        <v>5749</v>
      </c>
      <c r="H565" s="15" t="s">
        <v>5750</v>
      </c>
      <c r="I565" s="15"/>
      <c r="J565" s="15" t="s">
        <v>2097</v>
      </c>
      <c r="K565" s="15" t="s">
        <v>2098</v>
      </c>
      <c r="L565" s="15" t="s">
        <v>5751</v>
      </c>
      <c r="M565" s="15" t="s">
        <v>5752</v>
      </c>
      <c r="N565" s="15" t="s">
        <v>73</v>
      </c>
      <c r="O565" s="16" t="n">
        <v>0</v>
      </c>
      <c r="P565" s="16" t="n">
        <v>0</v>
      </c>
      <c r="Q565" s="16" t="n">
        <v>0</v>
      </c>
      <c r="R565" s="16" t="n">
        <v>0</v>
      </c>
      <c r="S565" s="16" t="n">
        <v>0</v>
      </c>
      <c r="T565" s="17" t="n">
        <f aca="false">AVERAGE(O565:Q565)</f>
        <v>0</v>
      </c>
      <c r="U565" s="18" t="str">
        <f aca="false">IF(T565&gt;=$H$3,"Eligible","Not Eligible")</f>
        <v>Not Eligible</v>
      </c>
      <c r="V565" s="19" t="n">
        <f aca="false">IF(T565&lt;$H$3,0,IFERROR(T565/SUMIF($T$5:$T$999,"&gt;="&amp;$H$3),0))</f>
        <v>0</v>
      </c>
      <c r="W565" s="15" t="str">
        <f aca="false">IF(T565=0,"Win-Back","Active")</f>
        <v>Win-Back</v>
      </c>
      <c r="X565" s="20" t="n">
        <f aca="false">IF(T565=0,0,IF(T565&gt;=$H$3,ROUND(T565*$D$3/SUMIF($T$5:$T$999,"&gt;="&amp;$H$3),0),ROUNDUP(T565*$D$3/SUMIF($T$5:$T$999,"&gt;="&amp;$H$3),0)))</f>
        <v>0</v>
      </c>
      <c r="Y565" s="21"/>
      <c r="Z565" s="16" t="str">
        <f aca="false">IF(X565=0,"",X565-Y565)</f>
        <v/>
      </c>
      <c r="AA565" s="22" t="str">
        <f aca="false">IFERROR(Y565/X565,"")</f>
        <v/>
      </c>
      <c r="AB565" s="16" t="n">
        <v>0</v>
      </c>
      <c r="AC565" s="21"/>
    </row>
    <row r="566" customFormat="false" ht="15" hidden="false" customHeight="true" outlineLevel="0" collapsed="false">
      <c r="A566" s="15" t="s">
        <v>5753</v>
      </c>
      <c r="B566" s="15" t="s">
        <v>5754</v>
      </c>
      <c r="C566" s="15" t="s">
        <v>5755</v>
      </c>
      <c r="D566" s="15" t="s">
        <v>5756</v>
      </c>
      <c r="E566" s="15" t="s">
        <v>5757</v>
      </c>
      <c r="F566" s="15" t="s">
        <v>5758</v>
      </c>
      <c r="G566" s="15" t="s">
        <v>5759</v>
      </c>
      <c r="H566" s="15" t="s">
        <v>5760</v>
      </c>
      <c r="I566" s="15"/>
      <c r="J566" s="15" t="s">
        <v>2827</v>
      </c>
      <c r="K566" s="15" t="s">
        <v>70</v>
      </c>
      <c r="L566" s="15" t="s">
        <v>2828</v>
      </c>
      <c r="M566" s="15" t="s">
        <v>5761</v>
      </c>
      <c r="N566" s="15" t="s">
        <v>73</v>
      </c>
      <c r="O566" s="16" t="n">
        <v>0</v>
      </c>
      <c r="P566" s="16" t="n">
        <v>0</v>
      </c>
      <c r="Q566" s="16" t="n">
        <v>0</v>
      </c>
      <c r="R566" s="16" t="n">
        <v>0</v>
      </c>
      <c r="S566" s="16" t="n">
        <v>0</v>
      </c>
      <c r="T566" s="17" t="n">
        <f aca="false">AVERAGE(O566:Q566)</f>
        <v>0</v>
      </c>
      <c r="U566" s="18" t="str">
        <f aca="false">IF(T566&gt;=$H$3,"Eligible","Not Eligible")</f>
        <v>Not Eligible</v>
      </c>
      <c r="V566" s="19" t="n">
        <f aca="false">IF(T566&lt;$H$3,0,IFERROR(T566/SUMIF($T$5:$T$999,"&gt;="&amp;$H$3),0))</f>
        <v>0</v>
      </c>
      <c r="W566" s="15" t="str">
        <f aca="false">IF(T566=0,"Win-Back","Active")</f>
        <v>Win-Back</v>
      </c>
      <c r="X566" s="20" t="n">
        <f aca="false">IF(T566=0,0,IF(T566&gt;=$H$3,ROUND(T566*$D$3/SUMIF($T$5:$T$999,"&gt;="&amp;$H$3),0),ROUNDUP(T566*$D$3/SUMIF($T$5:$T$999,"&gt;="&amp;$H$3),0)))</f>
        <v>0</v>
      </c>
      <c r="Y566" s="21"/>
      <c r="Z566" s="16" t="str">
        <f aca="false">IF(X566=0,"",X566-Y566)</f>
        <v/>
      </c>
      <c r="AA566" s="22" t="str">
        <f aca="false">IFERROR(Y566/X566,"")</f>
        <v/>
      </c>
      <c r="AB566" s="16" t="n">
        <v>0</v>
      </c>
      <c r="AC566" s="21"/>
    </row>
    <row r="567" customFormat="false" ht="15" hidden="false" customHeight="true" outlineLevel="0" collapsed="false">
      <c r="A567" s="15"/>
      <c r="B567" s="15"/>
      <c r="C567" s="15" t="s">
        <v>5762</v>
      </c>
      <c r="D567" s="15" t="s">
        <v>5763</v>
      </c>
      <c r="E567" s="15" t="s">
        <v>5764</v>
      </c>
      <c r="F567" s="15"/>
      <c r="G567" s="15"/>
      <c r="H567" s="15" t="s">
        <v>5765</v>
      </c>
      <c r="I567" s="15"/>
      <c r="J567" s="15" t="s">
        <v>5766</v>
      </c>
      <c r="K567" s="15" t="s">
        <v>5767</v>
      </c>
      <c r="L567" s="15" t="s">
        <v>5768</v>
      </c>
      <c r="M567" s="15" t="s">
        <v>4617</v>
      </c>
      <c r="N567" s="15" t="s">
        <v>73</v>
      </c>
      <c r="O567" s="16" t="n">
        <v>0</v>
      </c>
      <c r="P567" s="16" t="n">
        <v>0</v>
      </c>
      <c r="Q567" s="16" t="n">
        <v>0</v>
      </c>
      <c r="R567" s="16" t="n">
        <v>0</v>
      </c>
      <c r="S567" s="16" t="n">
        <v>0</v>
      </c>
      <c r="T567" s="17" t="n">
        <f aca="false">AVERAGE(O567:Q567)</f>
        <v>0</v>
      </c>
      <c r="U567" s="18" t="str">
        <f aca="false">IF(T567&gt;=$H$3,"Eligible","Not Eligible")</f>
        <v>Not Eligible</v>
      </c>
      <c r="V567" s="19" t="n">
        <f aca="false">IF(T567&lt;$H$3,0,IFERROR(T567/SUMIF($T$5:$T$999,"&gt;="&amp;$H$3),0))</f>
        <v>0</v>
      </c>
      <c r="W567" s="15" t="str">
        <f aca="false">IF(T567=0,"Win-Back","Active")</f>
        <v>Win-Back</v>
      </c>
      <c r="X567" s="20" t="n">
        <f aca="false">IF(T567=0,0,IF(T567&gt;=$H$3,ROUND(T567*$D$3/SUMIF($T$5:$T$999,"&gt;="&amp;$H$3),0),ROUNDUP(T567*$D$3/SUMIF($T$5:$T$999,"&gt;="&amp;$H$3),0)))</f>
        <v>0</v>
      </c>
      <c r="Y567" s="21"/>
      <c r="Z567" s="16" t="str">
        <f aca="false">IF(X567=0,"",X567-Y567)</f>
        <v/>
      </c>
      <c r="AA567" s="22" t="str">
        <f aca="false">IFERROR(Y567/X567,"")</f>
        <v/>
      </c>
      <c r="AB567" s="16" t="n">
        <v>0</v>
      </c>
      <c r="AC567" s="21"/>
    </row>
    <row r="568" customFormat="false" ht="15" hidden="false" customHeight="true" outlineLevel="0" collapsed="false">
      <c r="A568" s="15" t="s">
        <v>5769</v>
      </c>
      <c r="B568" s="15" t="s">
        <v>5770</v>
      </c>
      <c r="C568" s="15" t="s">
        <v>5771</v>
      </c>
      <c r="D568" s="15" t="s">
        <v>5772</v>
      </c>
      <c r="E568" s="15" t="s">
        <v>5773</v>
      </c>
      <c r="F568" s="15" t="s">
        <v>5774</v>
      </c>
      <c r="G568" s="15" t="s">
        <v>5775</v>
      </c>
      <c r="H568" s="15" t="s">
        <v>5776</v>
      </c>
      <c r="I568" s="15"/>
      <c r="J568" s="15" t="s">
        <v>5777</v>
      </c>
      <c r="K568" s="15" t="s">
        <v>1139</v>
      </c>
      <c r="L568" s="15" t="s">
        <v>5778</v>
      </c>
      <c r="M568" s="15" t="s">
        <v>5779</v>
      </c>
      <c r="N568" s="15" t="s">
        <v>73</v>
      </c>
      <c r="O568" s="16" t="n">
        <v>0</v>
      </c>
      <c r="P568" s="16" t="n">
        <v>0</v>
      </c>
      <c r="Q568" s="16" t="n">
        <v>0</v>
      </c>
      <c r="R568" s="16" t="n">
        <v>0</v>
      </c>
      <c r="S568" s="16" t="n">
        <v>0</v>
      </c>
      <c r="T568" s="17" t="n">
        <f aca="false">AVERAGE(O568:Q568)</f>
        <v>0</v>
      </c>
      <c r="U568" s="18" t="str">
        <f aca="false">IF(T568&gt;=$H$3,"Eligible","Not Eligible")</f>
        <v>Not Eligible</v>
      </c>
      <c r="V568" s="19" t="n">
        <f aca="false">IF(T568&lt;$H$3,0,IFERROR(T568/SUMIF($T$5:$T$999,"&gt;="&amp;$H$3),0))</f>
        <v>0</v>
      </c>
      <c r="W568" s="15" t="str">
        <f aca="false">IF(T568=0,"Win-Back","Active")</f>
        <v>Win-Back</v>
      </c>
      <c r="X568" s="20" t="n">
        <f aca="false">IF(T568=0,0,IF(T568&gt;=$H$3,ROUND(T568*$D$3/SUMIF($T$5:$T$999,"&gt;="&amp;$H$3),0),ROUNDUP(T568*$D$3/SUMIF($T$5:$T$999,"&gt;="&amp;$H$3),0)))</f>
        <v>0</v>
      </c>
      <c r="Y568" s="21"/>
      <c r="Z568" s="16" t="str">
        <f aca="false">IF(X568=0,"",X568-Y568)</f>
        <v/>
      </c>
      <c r="AA568" s="22" t="str">
        <f aca="false">IFERROR(Y568/X568,"")</f>
        <v/>
      </c>
      <c r="AB568" s="16" t="n">
        <v>0</v>
      </c>
      <c r="AC568" s="21"/>
    </row>
    <row r="569" customFormat="false" ht="15" hidden="false" customHeight="true" outlineLevel="0" collapsed="false">
      <c r="A569" s="15" t="s">
        <v>5780</v>
      </c>
      <c r="B569" s="15" t="s">
        <v>5781</v>
      </c>
      <c r="C569" s="15" t="s">
        <v>5782</v>
      </c>
      <c r="D569" s="15" t="s">
        <v>5783</v>
      </c>
      <c r="E569" s="15" t="s">
        <v>5784</v>
      </c>
      <c r="F569" s="15" t="s">
        <v>5785</v>
      </c>
      <c r="G569" s="15" t="s">
        <v>5786</v>
      </c>
      <c r="H569" s="15" t="s">
        <v>5787</v>
      </c>
      <c r="I569" s="15"/>
      <c r="J569" s="15" t="s">
        <v>5766</v>
      </c>
      <c r="K569" s="15" t="s">
        <v>5767</v>
      </c>
      <c r="L569" s="15" t="s">
        <v>5788</v>
      </c>
      <c r="M569" s="15" t="s">
        <v>5789</v>
      </c>
      <c r="N569" s="15" t="s">
        <v>73</v>
      </c>
      <c r="O569" s="16" t="n">
        <v>0</v>
      </c>
      <c r="P569" s="16" t="n">
        <v>0</v>
      </c>
      <c r="Q569" s="16" t="n">
        <v>0</v>
      </c>
      <c r="R569" s="16" t="n">
        <v>0</v>
      </c>
      <c r="S569" s="16" t="n">
        <v>0</v>
      </c>
      <c r="T569" s="17" t="n">
        <f aca="false">AVERAGE(O569:Q569)</f>
        <v>0</v>
      </c>
      <c r="U569" s="18" t="str">
        <f aca="false">IF(T569&gt;=$H$3,"Eligible","Not Eligible")</f>
        <v>Not Eligible</v>
      </c>
      <c r="V569" s="19" t="n">
        <f aca="false">IF(T569&lt;$H$3,0,IFERROR(T569/SUMIF($T$5:$T$999,"&gt;="&amp;$H$3),0))</f>
        <v>0</v>
      </c>
      <c r="W569" s="15" t="str">
        <f aca="false">IF(T569=0,"Win-Back","Active")</f>
        <v>Win-Back</v>
      </c>
      <c r="X569" s="20" t="n">
        <f aca="false">IF(T569=0,0,IF(T569&gt;=$H$3,ROUND(T569*$D$3/SUMIF($T$5:$T$999,"&gt;="&amp;$H$3),0),ROUNDUP(T569*$D$3/SUMIF($T$5:$T$999,"&gt;="&amp;$H$3),0)))</f>
        <v>0</v>
      </c>
      <c r="Y569" s="21"/>
      <c r="Z569" s="16" t="str">
        <f aca="false">IF(X569=0,"",X569-Y569)</f>
        <v/>
      </c>
      <c r="AA569" s="22" t="str">
        <f aca="false">IFERROR(Y569/X569,"")</f>
        <v/>
      </c>
      <c r="AB569" s="16" t="n">
        <v>0</v>
      </c>
      <c r="AC569" s="21"/>
    </row>
    <row r="570" customFormat="false" ht="15" hidden="false" customHeight="true" outlineLevel="0" collapsed="false">
      <c r="A570" s="15" t="s">
        <v>5790</v>
      </c>
      <c r="B570" s="15" t="s">
        <v>5791</v>
      </c>
      <c r="C570" s="15" t="s">
        <v>5792</v>
      </c>
      <c r="D570" s="15" t="s">
        <v>5793</v>
      </c>
      <c r="E570" s="15" t="s">
        <v>5794</v>
      </c>
      <c r="F570" s="15" t="s">
        <v>5795</v>
      </c>
      <c r="G570" s="15" t="s">
        <v>5796</v>
      </c>
      <c r="H570" s="15" t="s">
        <v>5797</v>
      </c>
      <c r="I570" s="15"/>
      <c r="J570" s="15" t="s">
        <v>2688</v>
      </c>
      <c r="K570" s="15" t="s">
        <v>368</v>
      </c>
      <c r="L570" s="15" t="s">
        <v>2689</v>
      </c>
      <c r="M570" s="15" t="s">
        <v>5798</v>
      </c>
      <c r="N570" s="15" t="s">
        <v>73</v>
      </c>
      <c r="O570" s="16" t="n">
        <v>0</v>
      </c>
      <c r="P570" s="16" t="n">
        <v>0</v>
      </c>
      <c r="Q570" s="16" t="n">
        <v>0</v>
      </c>
      <c r="R570" s="16" t="n">
        <v>0</v>
      </c>
      <c r="S570" s="16" t="n">
        <v>0</v>
      </c>
      <c r="T570" s="17" t="n">
        <f aca="false">AVERAGE(O570:Q570)</f>
        <v>0</v>
      </c>
      <c r="U570" s="18" t="str">
        <f aca="false">IF(T570&gt;=$H$3,"Eligible","Not Eligible")</f>
        <v>Not Eligible</v>
      </c>
      <c r="V570" s="19" t="n">
        <f aca="false">IF(T570&lt;$H$3,0,IFERROR(T570/SUMIF($T$5:$T$999,"&gt;="&amp;$H$3),0))</f>
        <v>0</v>
      </c>
      <c r="W570" s="15" t="str">
        <f aca="false">IF(T570=0,"Win-Back","Active")</f>
        <v>Win-Back</v>
      </c>
      <c r="X570" s="20" t="n">
        <f aca="false">IF(T570=0,0,IF(T570&gt;=$H$3,ROUND(T570*$D$3/SUMIF($T$5:$T$999,"&gt;="&amp;$H$3),0),ROUNDUP(T570*$D$3/SUMIF($T$5:$T$999,"&gt;="&amp;$H$3),0)))</f>
        <v>0</v>
      </c>
      <c r="Y570" s="21"/>
      <c r="Z570" s="16" t="str">
        <f aca="false">IF(X570=0,"",X570-Y570)</f>
        <v/>
      </c>
      <c r="AA570" s="22" t="str">
        <f aca="false">IFERROR(Y570/X570,"")</f>
        <v/>
      </c>
      <c r="AB570" s="16" t="n">
        <v>0</v>
      </c>
      <c r="AC570" s="21"/>
    </row>
    <row r="571" customFormat="false" ht="15" hidden="false" customHeight="true" outlineLevel="0" collapsed="false">
      <c r="A571" s="15" t="s">
        <v>5799</v>
      </c>
      <c r="B571" s="15" t="s">
        <v>5800</v>
      </c>
      <c r="C571" s="15" t="s">
        <v>5801</v>
      </c>
      <c r="D571" s="15" t="s">
        <v>5802</v>
      </c>
      <c r="E571" s="15" t="s">
        <v>5803</v>
      </c>
      <c r="F571" s="15" t="s">
        <v>5804</v>
      </c>
      <c r="G571" s="15" t="s">
        <v>5805</v>
      </c>
      <c r="H571" s="15" t="s">
        <v>5806</v>
      </c>
      <c r="I571" s="15"/>
      <c r="J571" s="15" t="s">
        <v>5807</v>
      </c>
      <c r="K571" s="15" t="s">
        <v>2804</v>
      </c>
      <c r="L571" s="15" t="s">
        <v>5808</v>
      </c>
      <c r="M571" s="15" t="s">
        <v>5809</v>
      </c>
      <c r="N571" s="15" t="s">
        <v>73</v>
      </c>
      <c r="O571" s="16" t="n">
        <v>0</v>
      </c>
      <c r="P571" s="16" t="n">
        <v>0</v>
      </c>
      <c r="Q571" s="16" t="n">
        <v>0</v>
      </c>
      <c r="R571" s="16" t="n">
        <v>0</v>
      </c>
      <c r="S571" s="16" t="n">
        <v>0</v>
      </c>
      <c r="T571" s="17" t="n">
        <f aca="false">AVERAGE(O571:Q571)</f>
        <v>0</v>
      </c>
      <c r="U571" s="18" t="str">
        <f aca="false">IF(T571&gt;=$H$3,"Eligible","Not Eligible")</f>
        <v>Not Eligible</v>
      </c>
      <c r="V571" s="19" t="n">
        <f aca="false">IF(T571&lt;$H$3,0,IFERROR(T571/SUMIF($T$5:$T$999,"&gt;="&amp;$H$3),0))</f>
        <v>0</v>
      </c>
      <c r="W571" s="15" t="str">
        <f aca="false">IF(T571=0,"Win-Back","Active")</f>
        <v>Win-Back</v>
      </c>
      <c r="X571" s="20" t="n">
        <f aca="false">IF(T571=0,0,IF(T571&gt;=$H$3,ROUND(T571*$D$3/SUMIF($T$5:$T$999,"&gt;="&amp;$H$3),0),ROUNDUP(T571*$D$3/SUMIF($T$5:$T$999,"&gt;="&amp;$H$3),0)))</f>
        <v>0</v>
      </c>
      <c r="Y571" s="21"/>
      <c r="Z571" s="16" t="str">
        <f aca="false">IF(X571=0,"",X571-Y571)</f>
        <v/>
      </c>
      <c r="AA571" s="22" t="str">
        <f aca="false">IFERROR(Y571/X571,"")</f>
        <v/>
      </c>
      <c r="AB571" s="16" t="n">
        <v>0</v>
      </c>
      <c r="AC571" s="21"/>
    </row>
    <row r="572" customFormat="false" ht="15" hidden="false" customHeight="true" outlineLevel="0" collapsed="false">
      <c r="A572" s="15" t="s">
        <v>5810</v>
      </c>
      <c r="B572" s="15" t="s">
        <v>5811</v>
      </c>
      <c r="C572" s="15" t="s">
        <v>5812</v>
      </c>
      <c r="D572" s="15" t="s">
        <v>5813</v>
      </c>
      <c r="E572" s="15" t="s">
        <v>5814</v>
      </c>
      <c r="F572" s="15" t="s">
        <v>5815</v>
      </c>
      <c r="G572" s="15" t="s">
        <v>5816</v>
      </c>
      <c r="H572" s="15" t="s">
        <v>5817</v>
      </c>
      <c r="I572" s="15" t="s">
        <v>148</v>
      </c>
      <c r="J572" s="15" t="s">
        <v>646</v>
      </c>
      <c r="K572" s="15" t="s">
        <v>47</v>
      </c>
      <c r="L572" s="15" t="s">
        <v>647</v>
      </c>
      <c r="M572" s="15" t="s">
        <v>5818</v>
      </c>
      <c r="N572" s="15" t="s">
        <v>73</v>
      </c>
      <c r="O572" s="16" t="n">
        <v>0</v>
      </c>
      <c r="P572" s="16" t="n">
        <v>0</v>
      </c>
      <c r="Q572" s="16" t="n">
        <v>0</v>
      </c>
      <c r="R572" s="16" t="n">
        <v>0</v>
      </c>
      <c r="S572" s="16" t="n">
        <v>0</v>
      </c>
      <c r="T572" s="17" t="n">
        <f aca="false">AVERAGE(O572:Q572)</f>
        <v>0</v>
      </c>
      <c r="U572" s="18" t="str">
        <f aca="false">IF(T572&gt;=$H$3,"Eligible","Not Eligible")</f>
        <v>Not Eligible</v>
      </c>
      <c r="V572" s="19" t="n">
        <f aca="false">IF(T572&lt;$H$3,0,IFERROR(T572/SUMIF($T$5:$T$999,"&gt;="&amp;$H$3),0))</f>
        <v>0</v>
      </c>
      <c r="W572" s="15" t="str">
        <f aca="false">IF(T572=0,"Win-Back","Active")</f>
        <v>Win-Back</v>
      </c>
      <c r="X572" s="20" t="n">
        <f aca="false">IF(T572=0,0,IF(T572&gt;=$H$3,ROUND(T572*$D$3/SUMIF($T$5:$T$999,"&gt;="&amp;$H$3),0),ROUNDUP(T572*$D$3/SUMIF($T$5:$T$999,"&gt;="&amp;$H$3),0)))</f>
        <v>0</v>
      </c>
      <c r="Y572" s="21"/>
      <c r="Z572" s="16" t="str">
        <f aca="false">IF(X572=0,"",X572-Y572)</f>
        <v/>
      </c>
      <c r="AA572" s="22" t="str">
        <f aca="false">IFERROR(Y572/X572,"")</f>
        <v/>
      </c>
      <c r="AB572" s="16" t="n">
        <v>0</v>
      </c>
      <c r="AC572" s="21"/>
    </row>
    <row r="573" customFormat="false" ht="15" hidden="false" customHeight="true" outlineLevel="0" collapsed="false">
      <c r="A573" s="15" t="s">
        <v>5819</v>
      </c>
      <c r="B573" s="15" t="s">
        <v>5820</v>
      </c>
      <c r="C573" s="15" t="s">
        <v>5821</v>
      </c>
      <c r="D573" s="15" t="s">
        <v>5822</v>
      </c>
      <c r="E573" s="15" t="s">
        <v>5823</v>
      </c>
      <c r="F573" s="15" t="s">
        <v>5824</v>
      </c>
      <c r="G573" s="15" t="s">
        <v>5825</v>
      </c>
      <c r="H573" s="15" t="s">
        <v>5826</v>
      </c>
      <c r="I573" s="15"/>
      <c r="J573" s="15" t="s">
        <v>379</v>
      </c>
      <c r="K573" s="15" t="s">
        <v>368</v>
      </c>
      <c r="L573" s="15" t="s">
        <v>5827</v>
      </c>
      <c r="M573" s="15" t="s">
        <v>5828</v>
      </c>
      <c r="N573" s="15" t="s">
        <v>73</v>
      </c>
      <c r="O573" s="16" t="n">
        <v>0</v>
      </c>
      <c r="P573" s="16" t="n">
        <v>0</v>
      </c>
      <c r="Q573" s="16" t="n">
        <v>0</v>
      </c>
      <c r="R573" s="16" t="n">
        <v>0</v>
      </c>
      <c r="S573" s="16" t="n">
        <v>0</v>
      </c>
      <c r="T573" s="17" t="n">
        <f aca="false">AVERAGE(O573:Q573)</f>
        <v>0</v>
      </c>
      <c r="U573" s="18" t="str">
        <f aca="false">IF(T573&gt;=$H$3,"Eligible","Not Eligible")</f>
        <v>Not Eligible</v>
      </c>
      <c r="V573" s="19" t="n">
        <f aca="false">IF(T573&lt;$H$3,0,IFERROR(T573/SUMIF($T$5:$T$999,"&gt;="&amp;$H$3),0))</f>
        <v>0</v>
      </c>
      <c r="W573" s="15" t="str">
        <f aca="false">IF(T573=0,"Win-Back","Active")</f>
        <v>Win-Back</v>
      </c>
      <c r="X573" s="20" t="n">
        <f aca="false">IF(T573=0,0,IF(T573&gt;=$H$3,ROUND(T573*$D$3/SUMIF($T$5:$T$999,"&gt;="&amp;$H$3),0),ROUNDUP(T573*$D$3/SUMIF($T$5:$T$999,"&gt;="&amp;$H$3),0)))</f>
        <v>0</v>
      </c>
      <c r="Y573" s="21"/>
      <c r="Z573" s="16" t="str">
        <f aca="false">IF(X573=0,"",X573-Y573)</f>
        <v/>
      </c>
      <c r="AA573" s="22" t="str">
        <f aca="false">IFERROR(Y573/X573,"")</f>
        <v/>
      </c>
      <c r="AB573" s="16" t="n">
        <v>0</v>
      </c>
      <c r="AC573" s="21"/>
    </row>
    <row r="574" customFormat="false" ht="15" hidden="false" customHeight="true" outlineLevel="0" collapsed="false">
      <c r="A574" s="15" t="s">
        <v>5829</v>
      </c>
      <c r="B574" s="15" t="s">
        <v>5830</v>
      </c>
      <c r="C574" s="15" t="s">
        <v>5831</v>
      </c>
      <c r="D574" s="15" t="s">
        <v>5832</v>
      </c>
      <c r="E574" s="15" t="s">
        <v>5833</v>
      </c>
      <c r="F574" s="15" t="s">
        <v>5834</v>
      </c>
      <c r="G574" s="15" t="s">
        <v>5835</v>
      </c>
      <c r="H574" s="15" t="s">
        <v>5836</v>
      </c>
      <c r="I574" s="15"/>
      <c r="J574" s="15" t="s">
        <v>689</v>
      </c>
      <c r="K574" s="15" t="s">
        <v>47</v>
      </c>
      <c r="L574" s="15" t="s">
        <v>1751</v>
      </c>
      <c r="M574" s="15" t="s">
        <v>5837</v>
      </c>
      <c r="N574" s="15" t="s">
        <v>73</v>
      </c>
      <c r="O574" s="16" t="n">
        <v>0</v>
      </c>
      <c r="P574" s="16" t="n">
        <v>0</v>
      </c>
      <c r="Q574" s="16" t="n">
        <v>0</v>
      </c>
      <c r="R574" s="16" t="n">
        <v>0</v>
      </c>
      <c r="S574" s="16" t="n">
        <v>0</v>
      </c>
      <c r="T574" s="17" t="n">
        <f aca="false">AVERAGE(O574:Q574)</f>
        <v>0</v>
      </c>
      <c r="U574" s="18" t="str">
        <f aca="false">IF(T574&gt;=$H$3,"Eligible","Not Eligible")</f>
        <v>Not Eligible</v>
      </c>
      <c r="V574" s="19" t="n">
        <f aca="false">IF(T574&lt;$H$3,0,IFERROR(T574/SUMIF($T$5:$T$999,"&gt;="&amp;$H$3),0))</f>
        <v>0</v>
      </c>
      <c r="W574" s="15" t="str">
        <f aca="false">IF(T574=0,"Win-Back","Active")</f>
        <v>Win-Back</v>
      </c>
      <c r="X574" s="20" t="n">
        <f aca="false">IF(T574=0,0,IF(T574&gt;=$H$3,ROUND(T574*$D$3/SUMIF($T$5:$T$999,"&gt;="&amp;$H$3),0),ROUNDUP(T574*$D$3/SUMIF($T$5:$T$999,"&gt;="&amp;$H$3),0)))</f>
        <v>0</v>
      </c>
      <c r="Y574" s="21"/>
      <c r="Z574" s="16" t="str">
        <f aca="false">IF(X574=0,"",X574-Y574)</f>
        <v/>
      </c>
      <c r="AA574" s="22" t="str">
        <f aca="false">IFERROR(Y574/X574,"")</f>
        <v/>
      </c>
      <c r="AB574" s="16" t="n">
        <v>0</v>
      </c>
      <c r="AC574" s="21"/>
    </row>
    <row r="575" customFormat="false" ht="15" hidden="false" customHeight="true" outlineLevel="0" collapsed="false">
      <c r="A575" s="15" t="s">
        <v>5838</v>
      </c>
      <c r="B575" s="15" t="s">
        <v>5839</v>
      </c>
      <c r="C575" s="15" t="s">
        <v>5840</v>
      </c>
      <c r="D575" s="15" t="s">
        <v>5841</v>
      </c>
      <c r="E575" s="15" t="s">
        <v>5842</v>
      </c>
      <c r="F575" s="15" t="s">
        <v>5843</v>
      </c>
      <c r="G575" s="15" t="s">
        <v>5844</v>
      </c>
      <c r="H575" s="15" t="s">
        <v>5845</v>
      </c>
      <c r="I575" s="15"/>
      <c r="J575" s="15" t="s">
        <v>1053</v>
      </c>
      <c r="K575" s="15" t="s">
        <v>47</v>
      </c>
      <c r="L575" s="15" t="s">
        <v>5846</v>
      </c>
      <c r="M575" s="15" t="s">
        <v>5847</v>
      </c>
      <c r="N575" s="15" t="s">
        <v>73</v>
      </c>
      <c r="O575" s="16" t="n">
        <v>0</v>
      </c>
      <c r="P575" s="16" t="n">
        <v>0</v>
      </c>
      <c r="Q575" s="16" t="n">
        <v>0</v>
      </c>
      <c r="R575" s="16" t="n">
        <v>0</v>
      </c>
      <c r="S575" s="16" t="n">
        <v>0</v>
      </c>
      <c r="T575" s="17" t="n">
        <f aca="false">AVERAGE(O575:Q575)</f>
        <v>0</v>
      </c>
      <c r="U575" s="18" t="str">
        <f aca="false">IF(T575&gt;=$H$3,"Eligible","Not Eligible")</f>
        <v>Not Eligible</v>
      </c>
      <c r="V575" s="19" t="n">
        <f aca="false">IF(T575&lt;$H$3,0,IFERROR(T575/SUMIF($T$5:$T$999,"&gt;="&amp;$H$3),0))</f>
        <v>0</v>
      </c>
      <c r="W575" s="15" t="str">
        <f aca="false">IF(T575=0,"Win-Back","Active")</f>
        <v>Win-Back</v>
      </c>
      <c r="X575" s="20" t="n">
        <f aca="false">IF(T575=0,0,IF(T575&gt;=$H$3,ROUND(T575*$D$3/SUMIF($T$5:$T$999,"&gt;="&amp;$H$3),0),ROUNDUP(T575*$D$3/SUMIF($T$5:$T$999,"&gt;="&amp;$H$3),0)))</f>
        <v>0</v>
      </c>
      <c r="Y575" s="21"/>
      <c r="Z575" s="16" t="str">
        <f aca="false">IF(X575=0,"",X575-Y575)</f>
        <v/>
      </c>
      <c r="AA575" s="22" t="str">
        <f aca="false">IFERROR(Y575/X575,"")</f>
        <v/>
      </c>
      <c r="AB575" s="16" t="n">
        <v>0</v>
      </c>
      <c r="AC575" s="21"/>
    </row>
    <row r="576" customFormat="false" ht="15" hidden="false" customHeight="true" outlineLevel="0" collapsed="false">
      <c r="A576" s="15" t="s">
        <v>5848</v>
      </c>
      <c r="B576" s="15" t="s">
        <v>5849</v>
      </c>
      <c r="C576" s="15" t="s">
        <v>5850</v>
      </c>
      <c r="D576" s="15" t="s">
        <v>5851</v>
      </c>
      <c r="E576" s="15" t="s">
        <v>5852</v>
      </c>
      <c r="F576" s="15" t="s">
        <v>5853</v>
      </c>
      <c r="G576" s="15" t="s">
        <v>5854</v>
      </c>
      <c r="H576" s="15" t="s">
        <v>5855</v>
      </c>
      <c r="I576" s="15"/>
      <c r="J576" s="15" t="s">
        <v>1064</v>
      </c>
      <c r="K576" s="15" t="s">
        <v>368</v>
      </c>
      <c r="L576" s="15" t="s">
        <v>1065</v>
      </c>
      <c r="M576" s="15" t="s">
        <v>5856</v>
      </c>
      <c r="N576" s="15" t="s">
        <v>73</v>
      </c>
      <c r="O576" s="16" t="n">
        <v>0</v>
      </c>
      <c r="P576" s="16" t="n">
        <v>0</v>
      </c>
      <c r="Q576" s="16" t="n">
        <v>0</v>
      </c>
      <c r="R576" s="16" t="n">
        <v>0</v>
      </c>
      <c r="S576" s="16" t="n">
        <v>0</v>
      </c>
      <c r="T576" s="17" t="n">
        <f aca="false">AVERAGE(O576:Q576)</f>
        <v>0</v>
      </c>
      <c r="U576" s="18" t="str">
        <f aca="false">IF(T576&gt;=$H$3,"Eligible","Not Eligible")</f>
        <v>Not Eligible</v>
      </c>
      <c r="V576" s="19" t="n">
        <f aca="false">IF(T576&lt;$H$3,0,IFERROR(T576/SUMIF($T$5:$T$999,"&gt;="&amp;$H$3),0))</f>
        <v>0</v>
      </c>
      <c r="W576" s="15" t="str">
        <f aca="false">IF(T576=0,"Win-Back","Active")</f>
        <v>Win-Back</v>
      </c>
      <c r="X576" s="20" t="n">
        <f aca="false">IF(T576=0,0,IF(T576&gt;=$H$3,ROUND(T576*$D$3/SUMIF($T$5:$T$999,"&gt;="&amp;$H$3),0),ROUNDUP(T576*$D$3/SUMIF($T$5:$T$999,"&gt;="&amp;$H$3),0)))</f>
        <v>0</v>
      </c>
      <c r="Y576" s="21"/>
      <c r="Z576" s="16" t="str">
        <f aca="false">IF(X576=0,"",X576-Y576)</f>
        <v/>
      </c>
      <c r="AA576" s="22" t="str">
        <f aca="false">IFERROR(Y576/X576,"")</f>
        <v/>
      </c>
      <c r="AB576" s="16" t="n">
        <v>0</v>
      </c>
      <c r="AC576" s="21"/>
    </row>
    <row r="577" customFormat="false" ht="15" hidden="false" customHeight="true" outlineLevel="0" collapsed="false">
      <c r="A577" s="15" t="s">
        <v>5857</v>
      </c>
      <c r="B577" s="15" t="s">
        <v>5858</v>
      </c>
      <c r="C577" s="15" t="s">
        <v>5859</v>
      </c>
      <c r="D577" s="15" t="s">
        <v>3247</v>
      </c>
      <c r="E577" s="15" t="s">
        <v>293</v>
      </c>
      <c r="F577" s="15" t="s">
        <v>5860</v>
      </c>
      <c r="G577" s="15" t="s">
        <v>3249</v>
      </c>
      <c r="H577" s="15" t="s">
        <v>5861</v>
      </c>
      <c r="I577" s="15"/>
      <c r="J577" s="15" t="s">
        <v>5862</v>
      </c>
      <c r="K577" s="15" t="s">
        <v>70</v>
      </c>
      <c r="L577" s="15" t="s">
        <v>5863</v>
      </c>
      <c r="M577" s="15" t="s">
        <v>3251</v>
      </c>
      <c r="N577" s="15" t="s">
        <v>73</v>
      </c>
      <c r="O577" s="16" t="n">
        <v>0</v>
      </c>
      <c r="P577" s="16" t="n">
        <v>0</v>
      </c>
      <c r="Q577" s="16" t="n">
        <v>0</v>
      </c>
      <c r="R577" s="16" t="n">
        <v>0</v>
      </c>
      <c r="S577" s="16" t="n">
        <v>0</v>
      </c>
      <c r="T577" s="17" t="n">
        <f aca="false">AVERAGE(O577:Q577)</f>
        <v>0</v>
      </c>
      <c r="U577" s="18" t="str">
        <f aca="false">IF(T577&gt;=$H$3,"Eligible","Not Eligible")</f>
        <v>Not Eligible</v>
      </c>
      <c r="V577" s="19" t="n">
        <f aca="false">IF(T577&lt;$H$3,0,IFERROR(T577/SUMIF($T$5:$T$999,"&gt;="&amp;$H$3),0))</f>
        <v>0</v>
      </c>
      <c r="W577" s="15" t="str">
        <f aca="false">IF(T577=0,"Win-Back","Active")</f>
        <v>Win-Back</v>
      </c>
      <c r="X577" s="20" t="n">
        <f aca="false">IF(T577=0,0,IF(T577&gt;=$H$3,ROUND(T577*$D$3/SUMIF($T$5:$T$999,"&gt;="&amp;$H$3),0),ROUNDUP(T577*$D$3/SUMIF($T$5:$T$999,"&gt;="&amp;$H$3),0)))</f>
        <v>0</v>
      </c>
      <c r="Y577" s="21" t="n">
        <v>27</v>
      </c>
      <c r="Z577" s="16" t="str">
        <f aca="false">IF(X577=0,"",X577-Y577)</f>
        <v/>
      </c>
      <c r="AA577" s="22" t="str">
        <f aca="false">IFERROR(Y577/X577,"")</f>
        <v/>
      </c>
      <c r="AB577" s="16" t="n">
        <v>0</v>
      </c>
      <c r="AC577" s="21"/>
    </row>
    <row r="578" customFormat="false" ht="15" hidden="false" customHeight="true" outlineLevel="0" collapsed="false">
      <c r="A578" s="15" t="s">
        <v>5864</v>
      </c>
      <c r="B578" s="15" t="s">
        <v>5865</v>
      </c>
      <c r="C578" s="15" t="s">
        <v>5866</v>
      </c>
      <c r="D578" s="15" t="s">
        <v>3247</v>
      </c>
      <c r="E578" s="15" t="s">
        <v>293</v>
      </c>
      <c r="F578" s="15" t="s">
        <v>5867</v>
      </c>
      <c r="G578" s="15" t="s">
        <v>3249</v>
      </c>
      <c r="H578" s="15" t="s">
        <v>5868</v>
      </c>
      <c r="I578" s="15"/>
      <c r="J578" s="15" t="s">
        <v>5869</v>
      </c>
      <c r="K578" s="15" t="s">
        <v>70</v>
      </c>
      <c r="L578" s="15" t="s">
        <v>5870</v>
      </c>
      <c r="M578" s="15" t="s">
        <v>3251</v>
      </c>
      <c r="N578" s="15" t="s">
        <v>73</v>
      </c>
      <c r="O578" s="16" t="n">
        <v>0</v>
      </c>
      <c r="P578" s="16" t="n">
        <v>0</v>
      </c>
      <c r="Q578" s="16" t="n">
        <v>0</v>
      </c>
      <c r="R578" s="16" t="n">
        <v>0</v>
      </c>
      <c r="S578" s="16" t="n">
        <v>0</v>
      </c>
      <c r="T578" s="17" t="n">
        <f aca="false">AVERAGE(O578:Q578)</f>
        <v>0</v>
      </c>
      <c r="U578" s="18" t="str">
        <f aca="false">IF(T578&gt;=$H$3,"Eligible","Not Eligible")</f>
        <v>Not Eligible</v>
      </c>
      <c r="V578" s="19" t="n">
        <f aca="false">IF(T578&lt;$H$3,0,IFERROR(T578/SUMIF($T$5:$T$999,"&gt;="&amp;$H$3),0))</f>
        <v>0</v>
      </c>
      <c r="W578" s="15" t="str">
        <f aca="false">IF(T578=0,"Win-Back","Active")</f>
        <v>Win-Back</v>
      </c>
      <c r="X578" s="20" t="n">
        <f aca="false">IF(T578=0,0,IF(T578&gt;=$H$3,ROUND(T578*$D$3/SUMIF($T$5:$T$999,"&gt;="&amp;$H$3),0),ROUNDUP(T578*$D$3/SUMIF($T$5:$T$999,"&gt;="&amp;$H$3),0)))</f>
        <v>0</v>
      </c>
      <c r="Y578" s="21" t="n">
        <v>19</v>
      </c>
      <c r="Z578" s="16" t="str">
        <f aca="false">IF(X578=0,"",X578-Y578)</f>
        <v/>
      </c>
      <c r="AA578" s="22" t="str">
        <f aca="false">IFERROR(Y578/X578,"")</f>
        <v/>
      </c>
      <c r="AB578" s="16" t="n">
        <v>0</v>
      </c>
      <c r="AC578" s="21"/>
    </row>
    <row r="579" customFormat="false" ht="15" hidden="false" customHeight="true" outlineLevel="0" collapsed="false">
      <c r="A579" s="15" t="s">
        <v>5871</v>
      </c>
      <c r="B579" s="15" t="s">
        <v>5872</v>
      </c>
      <c r="C579" s="15" t="s">
        <v>5873</v>
      </c>
      <c r="D579" s="15" t="s">
        <v>3247</v>
      </c>
      <c r="E579" s="15" t="s">
        <v>293</v>
      </c>
      <c r="F579" s="15" t="s">
        <v>5874</v>
      </c>
      <c r="G579" s="15" t="s">
        <v>3249</v>
      </c>
      <c r="H579" s="15" t="s">
        <v>5875</v>
      </c>
      <c r="I579" s="15"/>
      <c r="J579" s="15" t="s">
        <v>5876</v>
      </c>
      <c r="K579" s="15" t="s">
        <v>70</v>
      </c>
      <c r="L579" s="15" t="s">
        <v>2420</v>
      </c>
      <c r="M579" s="15" t="s">
        <v>3251</v>
      </c>
      <c r="N579" s="15" t="s">
        <v>73</v>
      </c>
      <c r="O579" s="16" t="n">
        <v>0</v>
      </c>
      <c r="P579" s="16" t="n">
        <v>0</v>
      </c>
      <c r="Q579" s="16" t="n">
        <v>0</v>
      </c>
      <c r="R579" s="16" t="n">
        <v>0</v>
      </c>
      <c r="S579" s="16" t="n">
        <v>0</v>
      </c>
      <c r="T579" s="17" t="n">
        <f aca="false">AVERAGE(O579:Q579)</f>
        <v>0</v>
      </c>
      <c r="U579" s="18" t="str">
        <f aca="false">IF(T579&gt;=$H$3,"Eligible","Not Eligible")</f>
        <v>Not Eligible</v>
      </c>
      <c r="V579" s="19" t="n">
        <f aca="false">IF(T579&lt;$H$3,0,IFERROR(T579/SUMIF($T$5:$T$999,"&gt;="&amp;$H$3),0))</f>
        <v>0</v>
      </c>
      <c r="W579" s="15" t="str">
        <f aca="false">IF(T579=0,"Win-Back","Active")</f>
        <v>Win-Back</v>
      </c>
      <c r="X579" s="20" t="n">
        <f aca="false">IF(T579=0,0,IF(T579&gt;=$H$3,ROUND(T579*$D$3/SUMIF($T$5:$T$999,"&gt;="&amp;$H$3),0),ROUNDUP(T579*$D$3/SUMIF($T$5:$T$999,"&gt;="&amp;$H$3),0)))</f>
        <v>0</v>
      </c>
      <c r="Y579" s="21" t="n">
        <v>29</v>
      </c>
      <c r="Z579" s="16" t="str">
        <f aca="false">IF(X579=0,"",X579-Y579)</f>
        <v/>
      </c>
      <c r="AA579" s="22" t="str">
        <f aca="false">IFERROR(Y579/X579,"")</f>
        <v/>
      </c>
      <c r="AB579" s="16" t="n">
        <v>0</v>
      </c>
      <c r="AC579" s="21"/>
    </row>
    <row r="580" customFormat="false" ht="15" hidden="false" customHeight="true" outlineLevel="0" collapsed="false">
      <c r="A580" s="15" t="s">
        <v>5877</v>
      </c>
      <c r="B580" s="15" t="s">
        <v>5878</v>
      </c>
      <c r="C580" s="15" t="s">
        <v>5879</v>
      </c>
      <c r="D580" s="15" t="s">
        <v>3247</v>
      </c>
      <c r="E580" s="15" t="s">
        <v>293</v>
      </c>
      <c r="F580" s="15" t="s">
        <v>5880</v>
      </c>
      <c r="G580" s="15" t="s">
        <v>3249</v>
      </c>
      <c r="H580" s="15" t="s">
        <v>5881</v>
      </c>
      <c r="I580" s="15" t="s">
        <v>5882</v>
      </c>
      <c r="J580" s="15" t="s">
        <v>5883</v>
      </c>
      <c r="K580" s="15" t="s">
        <v>70</v>
      </c>
      <c r="L580" s="15" t="s">
        <v>5884</v>
      </c>
      <c r="M580" s="15" t="s">
        <v>3251</v>
      </c>
      <c r="N580" s="15" t="s">
        <v>73</v>
      </c>
      <c r="O580" s="16" t="n">
        <v>0</v>
      </c>
      <c r="P580" s="16" t="n">
        <v>0</v>
      </c>
      <c r="Q580" s="16" t="n">
        <v>0</v>
      </c>
      <c r="R580" s="16" t="n">
        <v>0</v>
      </c>
      <c r="S580" s="16" t="n">
        <v>0</v>
      </c>
      <c r="T580" s="17" t="n">
        <f aca="false">AVERAGE(O580:Q580)</f>
        <v>0</v>
      </c>
      <c r="U580" s="18" t="str">
        <f aca="false">IF(T580&gt;=$H$3,"Eligible","Not Eligible")</f>
        <v>Not Eligible</v>
      </c>
      <c r="V580" s="19" t="n">
        <f aca="false">IF(T580&lt;$H$3,0,IFERROR(T580/SUMIF($T$5:$T$999,"&gt;="&amp;$H$3),0))</f>
        <v>0</v>
      </c>
      <c r="W580" s="15" t="str">
        <f aca="false">IF(T580=0,"Win-Back","Active")</f>
        <v>Win-Back</v>
      </c>
      <c r="X580" s="20" t="n">
        <f aca="false">IF(T580=0,0,IF(T580&gt;=$H$3,ROUND(T580*$D$3/SUMIF($T$5:$T$999,"&gt;="&amp;$H$3),0),ROUNDUP(T580*$D$3/SUMIF($T$5:$T$999,"&gt;="&amp;$H$3),0)))</f>
        <v>0</v>
      </c>
      <c r="Y580" s="21" t="n">
        <v>37</v>
      </c>
      <c r="Z580" s="16" t="str">
        <f aca="false">IF(X580=0,"",X580-Y580)</f>
        <v/>
      </c>
      <c r="AA580" s="22" t="str">
        <f aca="false">IFERROR(Y580/X580,"")</f>
        <v/>
      </c>
      <c r="AB580" s="16" t="n">
        <v>0</v>
      </c>
      <c r="AC580" s="21"/>
    </row>
    <row r="581" customFormat="false" ht="15" hidden="false" customHeight="true" outlineLevel="0" collapsed="false">
      <c r="A581" s="15" t="s">
        <v>5885</v>
      </c>
      <c r="B581" s="15" t="s">
        <v>5886</v>
      </c>
      <c r="C581" s="15" t="s">
        <v>5887</v>
      </c>
      <c r="D581" s="15" t="s">
        <v>5888</v>
      </c>
      <c r="E581" s="15" t="s">
        <v>5889</v>
      </c>
      <c r="F581" s="15" t="s">
        <v>5890</v>
      </c>
      <c r="G581" s="15" t="s">
        <v>5891</v>
      </c>
      <c r="H581" s="15" t="s">
        <v>5892</v>
      </c>
      <c r="I581" s="15"/>
      <c r="J581" s="15" t="s">
        <v>594</v>
      </c>
      <c r="K581" s="15" t="s">
        <v>368</v>
      </c>
      <c r="L581" s="15" t="s">
        <v>5893</v>
      </c>
      <c r="M581" s="15" t="s">
        <v>5894</v>
      </c>
      <c r="N581" s="15" t="s">
        <v>73</v>
      </c>
      <c r="O581" s="16" t="n">
        <v>0</v>
      </c>
      <c r="P581" s="16" t="n">
        <v>0</v>
      </c>
      <c r="Q581" s="16" t="n">
        <v>0</v>
      </c>
      <c r="R581" s="16" t="n">
        <v>0</v>
      </c>
      <c r="S581" s="16" t="n">
        <v>0</v>
      </c>
      <c r="T581" s="17" t="n">
        <f aca="false">AVERAGE(O581:Q581)</f>
        <v>0</v>
      </c>
      <c r="U581" s="18" t="str">
        <f aca="false">IF(T581&gt;=$H$3,"Eligible","Not Eligible")</f>
        <v>Not Eligible</v>
      </c>
      <c r="V581" s="19" t="n">
        <f aca="false">IF(T581&lt;$H$3,0,IFERROR(T581/SUMIF($T$5:$T$999,"&gt;="&amp;$H$3),0))</f>
        <v>0</v>
      </c>
      <c r="W581" s="15" t="str">
        <f aca="false">IF(T581=0,"Win-Back","Active")</f>
        <v>Win-Back</v>
      </c>
      <c r="X581" s="20" t="n">
        <f aca="false">IF(T581=0,0,IF(T581&gt;=$H$3,ROUND(T581*$D$3/SUMIF($T$5:$T$999,"&gt;="&amp;$H$3),0),ROUNDUP(T581*$D$3/SUMIF($T$5:$T$999,"&gt;="&amp;$H$3),0)))</f>
        <v>0</v>
      </c>
      <c r="Y581" s="21"/>
      <c r="Z581" s="16" t="str">
        <f aca="false">IF(X581=0,"",X581-Y581)</f>
        <v/>
      </c>
      <c r="AA581" s="22" t="str">
        <f aca="false">IFERROR(Y581/X581,"")</f>
        <v/>
      </c>
      <c r="AB581" s="16" t="n">
        <v>0</v>
      </c>
      <c r="AC581" s="21"/>
    </row>
    <row r="582" customFormat="false" ht="15" hidden="false" customHeight="true" outlineLevel="0" collapsed="false">
      <c r="A582" s="15"/>
      <c r="B582" s="15"/>
      <c r="C582" s="15" t="s">
        <v>5895</v>
      </c>
      <c r="D582" s="15" t="s">
        <v>5896</v>
      </c>
      <c r="E582" s="15" t="s">
        <v>5897</v>
      </c>
      <c r="F582" s="15"/>
      <c r="G582" s="15"/>
      <c r="H582" s="15" t="s">
        <v>5898</v>
      </c>
      <c r="I582" s="15"/>
      <c r="J582" s="15" t="s">
        <v>5097</v>
      </c>
      <c r="K582" s="15" t="s">
        <v>1418</v>
      </c>
      <c r="L582" s="15" t="s">
        <v>5899</v>
      </c>
      <c r="M582" s="15" t="s">
        <v>4617</v>
      </c>
      <c r="N582" s="15" t="s">
        <v>73</v>
      </c>
      <c r="O582" s="16" t="n">
        <v>0</v>
      </c>
      <c r="P582" s="16" t="n">
        <v>0</v>
      </c>
      <c r="Q582" s="16" t="n">
        <v>0</v>
      </c>
      <c r="R582" s="16" t="n">
        <v>0</v>
      </c>
      <c r="S582" s="16" t="n">
        <v>0</v>
      </c>
      <c r="T582" s="17" t="n">
        <f aca="false">AVERAGE(O582:Q582)</f>
        <v>0</v>
      </c>
      <c r="U582" s="18" t="str">
        <f aca="false">IF(T582&gt;=$H$3,"Eligible","Not Eligible")</f>
        <v>Not Eligible</v>
      </c>
      <c r="V582" s="19" t="n">
        <f aca="false">IF(T582&lt;$H$3,0,IFERROR(T582/SUMIF($T$5:$T$999,"&gt;="&amp;$H$3),0))</f>
        <v>0</v>
      </c>
      <c r="W582" s="15" t="str">
        <f aca="false">IF(T582=0,"Win-Back","Active")</f>
        <v>Win-Back</v>
      </c>
      <c r="X582" s="20" t="n">
        <f aca="false">IF(T582=0,0,IF(T582&gt;=$H$3,ROUND(T582*$D$3/SUMIF($T$5:$T$999,"&gt;="&amp;$H$3),0),ROUNDUP(T582*$D$3/SUMIF($T$5:$T$999,"&gt;="&amp;$H$3),0)))</f>
        <v>0</v>
      </c>
      <c r="Y582" s="21"/>
      <c r="Z582" s="16" t="str">
        <f aca="false">IF(X582=0,"",X582-Y582)</f>
        <v/>
      </c>
      <c r="AA582" s="22" t="str">
        <f aca="false">IFERROR(Y582/X582,"")</f>
        <v/>
      </c>
      <c r="AB582" s="16" t="n">
        <v>0</v>
      </c>
      <c r="AC582" s="21"/>
    </row>
    <row r="583" customFormat="false" ht="15" hidden="false" customHeight="true" outlineLevel="0" collapsed="false">
      <c r="A583" s="15" t="s">
        <v>5900</v>
      </c>
      <c r="B583" s="15" t="s">
        <v>5901</v>
      </c>
      <c r="C583" s="15" t="s">
        <v>5902</v>
      </c>
      <c r="D583" s="15" t="s">
        <v>5903</v>
      </c>
      <c r="E583" s="15" t="s">
        <v>5904</v>
      </c>
      <c r="F583" s="15" t="s">
        <v>5905</v>
      </c>
      <c r="G583" s="15" t="s">
        <v>5906</v>
      </c>
      <c r="H583" s="15" t="s">
        <v>5907</v>
      </c>
      <c r="I583" s="15"/>
      <c r="J583" s="15" t="s">
        <v>5908</v>
      </c>
      <c r="K583" s="15" t="s">
        <v>2839</v>
      </c>
      <c r="L583" s="15" t="s">
        <v>5909</v>
      </c>
      <c r="M583" s="15" t="s">
        <v>5910</v>
      </c>
      <c r="N583" s="15" t="s">
        <v>73</v>
      </c>
      <c r="O583" s="16" t="n">
        <v>0</v>
      </c>
      <c r="P583" s="16" t="n">
        <v>0</v>
      </c>
      <c r="Q583" s="16" t="n">
        <v>0</v>
      </c>
      <c r="R583" s="16" t="n">
        <v>0</v>
      </c>
      <c r="S583" s="16" t="n">
        <v>0</v>
      </c>
      <c r="T583" s="17" t="n">
        <f aca="false">AVERAGE(O583:Q583)</f>
        <v>0</v>
      </c>
      <c r="U583" s="18" t="str">
        <f aca="false">IF(T583&gt;=$H$3,"Eligible","Not Eligible")</f>
        <v>Not Eligible</v>
      </c>
      <c r="V583" s="19" t="n">
        <f aca="false">IF(T583&lt;$H$3,0,IFERROR(T583/SUMIF($T$5:$T$999,"&gt;="&amp;$H$3),0))</f>
        <v>0</v>
      </c>
      <c r="W583" s="15" t="str">
        <f aca="false">IF(T583=0,"Win-Back","Active")</f>
        <v>Win-Back</v>
      </c>
      <c r="X583" s="20" t="n">
        <f aca="false">IF(T583=0,0,IF(T583&gt;=$H$3,ROUND(T583*$D$3/SUMIF($T$5:$T$999,"&gt;="&amp;$H$3),0),ROUNDUP(T583*$D$3/SUMIF($T$5:$T$999,"&gt;="&amp;$H$3),0)))</f>
        <v>0</v>
      </c>
      <c r="Y583" s="21"/>
      <c r="Z583" s="16" t="str">
        <f aca="false">IF(X583=0,"",X583-Y583)</f>
        <v/>
      </c>
      <c r="AA583" s="22" t="str">
        <f aca="false">IFERROR(Y583/X583,"")</f>
        <v/>
      </c>
      <c r="AB583" s="16" t="n">
        <v>0</v>
      </c>
      <c r="AC583" s="21"/>
    </row>
    <row r="584" customFormat="false" ht="15" hidden="false" customHeight="true" outlineLevel="0" collapsed="false">
      <c r="A584" s="15" t="s">
        <v>5911</v>
      </c>
      <c r="B584" s="15" t="s">
        <v>5912</v>
      </c>
      <c r="C584" s="15" t="s">
        <v>5913</v>
      </c>
      <c r="D584" s="15" t="s">
        <v>5914</v>
      </c>
      <c r="E584" s="15" t="s">
        <v>5915</v>
      </c>
      <c r="F584" s="15" t="s">
        <v>5916</v>
      </c>
      <c r="G584" s="15" t="s">
        <v>5917</v>
      </c>
      <c r="H584" s="15" t="s">
        <v>5918</v>
      </c>
      <c r="I584" s="15" t="s">
        <v>5919</v>
      </c>
      <c r="J584" s="15" t="s">
        <v>594</v>
      </c>
      <c r="K584" s="15" t="s">
        <v>368</v>
      </c>
      <c r="L584" s="15" t="s">
        <v>5893</v>
      </c>
      <c r="M584" s="15" t="s">
        <v>5920</v>
      </c>
      <c r="N584" s="15" t="s">
        <v>73</v>
      </c>
      <c r="O584" s="16" t="n">
        <v>0</v>
      </c>
      <c r="P584" s="16" t="n">
        <v>0</v>
      </c>
      <c r="Q584" s="16" t="n">
        <v>0</v>
      </c>
      <c r="R584" s="16" t="n">
        <v>0</v>
      </c>
      <c r="S584" s="16" t="n">
        <v>0</v>
      </c>
      <c r="T584" s="17" t="n">
        <f aca="false">AVERAGE(O584:Q584)</f>
        <v>0</v>
      </c>
      <c r="U584" s="18" t="str">
        <f aca="false">IF(T584&gt;=$H$3,"Eligible","Not Eligible")</f>
        <v>Not Eligible</v>
      </c>
      <c r="V584" s="19" t="n">
        <f aca="false">IF(T584&lt;$H$3,0,IFERROR(T584/SUMIF($T$5:$T$999,"&gt;="&amp;$H$3),0))</f>
        <v>0</v>
      </c>
      <c r="W584" s="15" t="str">
        <f aca="false">IF(T584=0,"Win-Back","Active")</f>
        <v>Win-Back</v>
      </c>
      <c r="X584" s="20" t="n">
        <f aca="false">IF(T584=0,0,IF(T584&gt;=$H$3,ROUND(T584*$D$3/SUMIF($T$5:$T$999,"&gt;="&amp;$H$3),0),ROUNDUP(T584*$D$3/SUMIF($T$5:$T$999,"&gt;="&amp;$H$3),0)))</f>
        <v>0</v>
      </c>
      <c r="Y584" s="21"/>
      <c r="Z584" s="16" t="str">
        <f aca="false">IF(X584=0,"",X584-Y584)</f>
        <v/>
      </c>
      <c r="AA584" s="22" t="str">
        <f aca="false">IFERROR(Y584/X584,"")</f>
        <v/>
      </c>
      <c r="AB584" s="16" t="n">
        <v>0</v>
      </c>
      <c r="AC584" s="21"/>
    </row>
    <row r="585" customFormat="false" ht="15" hidden="false" customHeight="true" outlineLevel="0" collapsed="false">
      <c r="A585" s="15" t="s">
        <v>5921</v>
      </c>
      <c r="B585" s="15" t="s">
        <v>5922</v>
      </c>
      <c r="C585" s="15" t="s">
        <v>5923</v>
      </c>
      <c r="D585" s="15" t="s">
        <v>5924</v>
      </c>
      <c r="E585" s="15" t="s">
        <v>5925</v>
      </c>
      <c r="F585" s="15" t="s">
        <v>5926</v>
      </c>
      <c r="G585" s="15" t="s">
        <v>5927</v>
      </c>
      <c r="H585" s="15" t="s">
        <v>5928</v>
      </c>
      <c r="I585" s="15"/>
      <c r="J585" s="15" t="s">
        <v>5929</v>
      </c>
      <c r="K585" s="15" t="s">
        <v>5930</v>
      </c>
      <c r="L585" s="15" t="s">
        <v>5931</v>
      </c>
      <c r="M585" s="15" t="s">
        <v>5932</v>
      </c>
      <c r="N585" s="15" t="s">
        <v>73</v>
      </c>
      <c r="O585" s="16" t="n">
        <v>0</v>
      </c>
      <c r="P585" s="16" t="n">
        <v>0</v>
      </c>
      <c r="Q585" s="16" t="n">
        <v>0</v>
      </c>
      <c r="R585" s="16" t="n">
        <v>0</v>
      </c>
      <c r="S585" s="16" t="n">
        <v>0</v>
      </c>
      <c r="T585" s="17" t="n">
        <f aca="false">AVERAGE(O585:Q585)</f>
        <v>0</v>
      </c>
      <c r="U585" s="18" t="str">
        <f aca="false">IF(T585&gt;=$H$3,"Eligible","Not Eligible")</f>
        <v>Not Eligible</v>
      </c>
      <c r="V585" s="19" t="n">
        <f aca="false">IF(T585&lt;$H$3,0,IFERROR(T585/SUMIF($T$5:$T$999,"&gt;="&amp;$H$3),0))</f>
        <v>0</v>
      </c>
      <c r="W585" s="15" t="str">
        <f aca="false">IF(T585=0,"Win-Back","Active")</f>
        <v>Win-Back</v>
      </c>
      <c r="X585" s="20" t="n">
        <f aca="false">IF(T585=0,0,IF(T585&gt;=$H$3,ROUND(T585*$D$3/SUMIF($T$5:$T$999,"&gt;="&amp;$H$3),0),ROUNDUP(T585*$D$3/SUMIF($T$5:$T$999,"&gt;="&amp;$H$3),0)))</f>
        <v>0</v>
      </c>
      <c r="Y585" s="21"/>
      <c r="Z585" s="16" t="str">
        <f aca="false">IF(X585=0,"",X585-Y585)</f>
        <v/>
      </c>
      <c r="AA585" s="22" t="str">
        <f aca="false">IFERROR(Y585/X585,"")</f>
        <v/>
      </c>
      <c r="AB585" s="16" t="n">
        <v>0</v>
      </c>
      <c r="AC585" s="21"/>
    </row>
    <row r="586" customFormat="false" ht="15" hidden="false" customHeight="true" outlineLevel="0" collapsed="false">
      <c r="A586" s="15" t="s">
        <v>5933</v>
      </c>
      <c r="B586" s="15" t="s">
        <v>5934</v>
      </c>
      <c r="C586" s="15" t="s">
        <v>5935</v>
      </c>
      <c r="D586" s="15" t="s">
        <v>5936</v>
      </c>
      <c r="E586" s="15" t="s">
        <v>5937</v>
      </c>
      <c r="F586" s="15"/>
      <c r="G586" s="15"/>
      <c r="H586" s="15" t="s">
        <v>5938</v>
      </c>
      <c r="I586" s="15"/>
      <c r="J586" s="15" t="s">
        <v>5939</v>
      </c>
      <c r="K586" s="15" t="s">
        <v>3203</v>
      </c>
      <c r="L586" s="15" t="s">
        <v>5940</v>
      </c>
      <c r="M586" s="15" t="s">
        <v>4617</v>
      </c>
      <c r="N586" s="15" t="s">
        <v>73</v>
      </c>
      <c r="O586" s="16" t="n">
        <v>0</v>
      </c>
      <c r="P586" s="16" t="n">
        <v>0</v>
      </c>
      <c r="Q586" s="16" t="n">
        <v>0</v>
      </c>
      <c r="R586" s="16" t="n">
        <v>0</v>
      </c>
      <c r="S586" s="16" t="n">
        <v>0</v>
      </c>
      <c r="T586" s="17" t="n">
        <f aca="false">AVERAGE(O586:Q586)</f>
        <v>0</v>
      </c>
      <c r="U586" s="18" t="str">
        <f aca="false">IF(T586&gt;=$H$3,"Eligible","Not Eligible")</f>
        <v>Not Eligible</v>
      </c>
      <c r="V586" s="19" t="n">
        <f aca="false">IF(T586&lt;$H$3,0,IFERROR(T586/SUMIF($T$5:$T$999,"&gt;="&amp;$H$3),0))</f>
        <v>0</v>
      </c>
      <c r="W586" s="15" t="str">
        <f aca="false">IF(T586=0,"Win-Back","Active")</f>
        <v>Win-Back</v>
      </c>
      <c r="X586" s="20" t="n">
        <f aca="false">IF(T586=0,0,IF(T586&gt;=$H$3,ROUND(T586*$D$3/SUMIF($T$5:$T$999,"&gt;="&amp;$H$3),0),ROUNDUP(T586*$D$3/SUMIF($T$5:$T$999,"&gt;="&amp;$H$3),0)))</f>
        <v>0</v>
      </c>
      <c r="Y586" s="21"/>
      <c r="Z586" s="16" t="str">
        <f aca="false">IF(X586=0,"",X586-Y586)</f>
        <v/>
      </c>
      <c r="AA586" s="22" t="str">
        <f aca="false">IFERROR(Y586/X586,"")</f>
        <v/>
      </c>
      <c r="AB586" s="16" t="n">
        <v>0</v>
      </c>
      <c r="AC586" s="21"/>
    </row>
    <row r="587" customFormat="false" ht="15" hidden="false" customHeight="true" outlineLevel="0" collapsed="false">
      <c r="A587" s="15"/>
      <c r="B587" s="15"/>
      <c r="C587" s="15" t="s">
        <v>5941</v>
      </c>
      <c r="D587" s="15" t="s">
        <v>5942</v>
      </c>
      <c r="E587" s="15" t="s">
        <v>5943</v>
      </c>
      <c r="F587" s="15" t="s">
        <v>5944</v>
      </c>
      <c r="G587" s="15" t="s">
        <v>5945</v>
      </c>
      <c r="H587" s="15" t="s">
        <v>5946</v>
      </c>
      <c r="I587" s="15"/>
      <c r="J587" s="15" t="s">
        <v>5947</v>
      </c>
      <c r="K587" s="15" t="s">
        <v>678</v>
      </c>
      <c r="L587" s="15" t="s">
        <v>5948</v>
      </c>
      <c r="M587" s="15" t="s">
        <v>5949</v>
      </c>
      <c r="N587" s="15" t="s">
        <v>73</v>
      </c>
      <c r="O587" s="16" t="n">
        <v>0</v>
      </c>
      <c r="P587" s="16" t="n">
        <v>0</v>
      </c>
      <c r="Q587" s="16" t="n">
        <v>0</v>
      </c>
      <c r="R587" s="16" t="n">
        <v>0</v>
      </c>
      <c r="S587" s="16" t="n">
        <v>0</v>
      </c>
      <c r="T587" s="17" t="n">
        <f aca="false">AVERAGE(O587:Q587)</f>
        <v>0</v>
      </c>
      <c r="U587" s="18" t="str">
        <f aca="false">IF(T587&gt;=$H$3,"Eligible","Not Eligible")</f>
        <v>Not Eligible</v>
      </c>
      <c r="V587" s="19" t="n">
        <f aca="false">IF(T587&lt;$H$3,0,IFERROR(T587/SUMIF($T$5:$T$999,"&gt;="&amp;$H$3),0))</f>
        <v>0</v>
      </c>
      <c r="W587" s="15" t="str">
        <f aca="false">IF(T587=0,"Win-Back","Active")</f>
        <v>Win-Back</v>
      </c>
      <c r="X587" s="20" t="n">
        <f aca="false">IF(T587=0,0,IF(T587&gt;=$H$3,ROUND(T587*$D$3/SUMIF($T$5:$T$999,"&gt;="&amp;$H$3),0),ROUNDUP(T587*$D$3/SUMIF($T$5:$T$999,"&gt;="&amp;$H$3),0)))</f>
        <v>0</v>
      </c>
      <c r="Y587" s="21"/>
      <c r="Z587" s="16" t="str">
        <f aca="false">IF(X587=0,"",X587-Y587)</f>
        <v/>
      </c>
      <c r="AA587" s="22" t="str">
        <f aca="false">IFERROR(Y587/X587,"")</f>
        <v/>
      </c>
      <c r="AB587" s="16" t="n">
        <v>0</v>
      </c>
      <c r="AC587" s="21"/>
    </row>
    <row r="588" customFormat="false" ht="15" hidden="false" customHeight="true" outlineLevel="0" collapsed="false">
      <c r="A588" s="15" t="s">
        <v>5950</v>
      </c>
      <c r="B588" s="15" t="s">
        <v>5951</v>
      </c>
      <c r="C588" s="15" t="s">
        <v>5952</v>
      </c>
      <c r="D588" s="15" t="s">
        <v>5953</v>
      </c>
      <c r="E588" s="15" t="s">
        <v>5954</v>
      </c>
      <c r="F588" s="15" t="s">
        <v>5955</v>
      </c>
      <c r="G588" s="15" t="s">
        <v>5956</v>
      </c>
      <c r="H588" s="15" t="s">
        <v>5957</v>
      </c>
      <c r="I588" s="15" t="s">
        <v>5958</v>
      </c>
      <c r="J588" s="15" t="s">
        <v>5929</v>
      </c>
      <c r="K588" s="15" t="s">
        <v>5930</v>
      </c>
      <c r="L588" s="15" t="s">
        <v>5959</v>
      </c>
      <c r="M588" s="15" t="s">
        <v>5960</v>
      </c>
      <c r="N588" s="15" t="s">
        <v>73</v>
      </c>
      <c r="O588" s="16" t="n">
        <v>0</v>
      </c>
      <c r="P588" s="16" t="n">
        <v>0</v>
      </c>
      <c r="Q588" s="16" t="n">
        <v>0</v>
      </c>
      <c r="R588" s="16" t="n">
        <v>0</v>
      </c>
      <c r="S588" s="16" t="n">
        <v>0</v>
      </c>
      <c r="T588" s="17" t="n">
        <f aca="false">AVERAGE(O588:Q588)</f>
        <v>0</v>
      </c>
      <c r="U588" s="18" t="str">
        <f aca="false">IF(T588&gt;=$H$3,"Eligible","Not Eligible")</f>
        <v>Not Eligible</v>
      </c>
      <c r="V588" s="19" t="n">
        <f aca="false">IF(T588&lt;$H$3,0,IFERROR(T588/SUMIF($T$5:$T$999,"&gt;="&amp;$H$3),0))</f>
        <v>0</v>
      </c>
      <c r="W588" s="15" t="str">
        <f aca="false">IF(T588=0,"Win-Back","Active")</f>
        <v>Win-Back</v>
      </c>
      <c r="X588" s="20" t="n">
        <f aca="false">IF(T588=0,0,IF(T588&gt;=$H$3,ROUND(T588*$D$3/SUMIF($T$5:$T$999,"&gt;="&amp;$H$3),0),ROUNDUP(T588*$D$3/SUMIF($T$5:$T$999,"&gt;="&amp;$H$3),0)))</f>
        <v>0</v>
      </c>
      <c r="Y588" s="21"/>
      <c r="Z588" s="16" t="str">
        <f aca="false">IF(X588=0,"",X588-Y588)</f>
        <v/>
      </c>
      <c r="AA588" s="22" t="str">
        <f aca="false">IFERROR(Y588/X588,"")</f>
        <v/>
      </c>
      <c r="AB588" s="16" t="n">
        <v>0</v>
      </c>
      <c r="AC588" s="21"/>
    </row>
    <row r="589" customFormat="false" ht="15" hidden="false" customHeight="true" outlineLevel="0" collapsed="false">
      <c r="A589" s="15" t="s">
        <v>5961</v>
      </c>
      <c r="B589" s="15" t="s">
        <v>5962</v>
      </c>
      <c r="C589" s="15" t="s">
        <v>5963</v>
      </c>
      <c r="D589" s="15" t="s">
        <v>5964</v>
      </c>
      <c r="E589" s="15" t="s">
        <v>5965</v>
      </c>
      <c r="F589" s="15" t="s">
        <v>5966</v>
      </c>
      <c r="G589" s="15" t="s">
        <v>5967</v>
      </c>
      <c r="H589" s="15" t="s">
        <v>5968</v>
      </c>
      <c r="I589" s="15" t="s">
        <v>5969</v>
      </c>
      <c r="J589" s="15" t="s">
        <v>5929</v>
      </c>
      <c r="K589" s="15" t="s">
        <v>5930</v>
      </c>
      <c r="L589" s="15" t="s">
        <v>5970</v>
      </c>
      <c r="M589" s="15" t="s">
        <v>5971</v>
      </c>
      <c r="N589" s="15" t="s">
        <v>73</v>
      </c>
      <c r="O589" s="16" t="n">
        <v>0</v>
      </c>
      <c r="P589" s="16" t="n">
        <v>0</v>
      </c>
      <c r="Q589" s="16" t="n">
        <v>0</v>
      </c>
      <c r="R589" s="16" t="n">
        <v>0</v>
      </c>
      <c r="S589" s="16" t="n">
        <v>0</v>
      </c>
      <c r="T589" s="17" t="n">
        <f aca="false">AVERAGE(O589:Q589)</f>
        <v>0</v>
      </c>
      <c r="U589" s="18" t="str">
        <f aca="false">IF(T589&gt;=$H$3,"Eligible","Not Eligible")</f>
        <v>Not Eligible</v>
      </c>
      <c r="V589" s="19" t="n">
        <f aca="false">IF(T589&lt;$H$3,0,IFERROR(T589/SUMIF($T$5:$T$999,"&gt;="&amp;$H$3),0))</f>
        <v>0</v>
      </c>
      <c r="W589" s="15" t="str">
        <f aca="false">IF(T589=0,"Win-Back","Active")</f>
        <v>Win-Back</v>
      </c>
      <c r="X589" s="20" t="n">
        <f aca="false">IF(T589=0,0,IF(T589&gt;=$H$3,ROUND(T589*$D$3/SUMIF($T$5:$T$999,"&gt;="&amp;$H$3),0),ROUNDUP(T589*$D$3/SUMIF($T$5:$T$999,"&gt;="&amp;$H$3),0)))</f>
        <v>0</v>
      </c>
      <c r="Y589" s="21"/>
      <c r="Z589" s="16" t="str">
        <f aca="false">IF(X589=0,"",X589-Y589)</f>
        <v/>
      </c>
      <c r="AA589" s="22" t="str">
        <f aca="false">IFERROR(Y589/X589,"")</f>
        <v/>
      </c>
      <c r="AB589" s="16" t="n">
        <v>0</v>
      </c>
      <c r="AC589" s="21"/>
    </row>
    <row r="590" customFormat="false" ht="15" hidden="false" customHeight="true" outlineLevel="0" collapsed="false">
      <c r="A590" s="15" t="s">
        <v>5972</v>
      </c>
      <c r="B590" s="15" t="s">
        <v>5973</v>
      </c>
      <c r="C590" s="15" t="s">
        <v>5974</v>
      </c>
      <c r="D590" s="15" t="s">
        <v>5975</v>
      </c>
      <c r="E590" s="15" t="s">
        <v>5976</v>
      </c>
      <c r="F590" s="15" t="s">
        <v>5977</v>
      </c>
      <c r="G590" s="15" t="s">
        <v>5978</v>
      </c>
      <c r="H590" s="15" t="s">
        <v>5979</v>
      </c>
      <c r="I590" s="15"/>
      <c r="J590" s="15" t="s">
        <v>5980</v>
      </c>
      <c r="K590" s="15" t="s">
        <v>735</v>
      </c>
      <c r="L590" s="15" t="s">
        <v>5981</v>
      </c>
      <c r="M590" s="15" t="s">
        <v>5982</v>
      </c>
      <c r="N590" s="15" t="s">
        <v>73</v>
      </c>
      <c r="O590" s="16" t="n">
        <v>0</v>
      </c>
      <c r="P590" s="16" t="n">
        <v>0</v>
      </c>
      <c r="Q590" s="16" t="n">
        <v>0</v>
      </c>
      <c r="R590" s="16" t="n">
        <v>0</v>
      </c>
      <c r="S590" s="16" t="n">
        <v>0</v>
      </c>
      <c r="T590" s="17" t="n">
        <f aca="false">AVERAGE(O590:Q590)</f>
        <v>0</v>
      </c>
      <c r="U590" s="18" t="str">
        <f aca="false">IF(T590&gt;=$H$3,"Eligible","Not Eligible")</f>
        <v>Not Eligible</v>
      </c>
      <c r="V590" s="19" t="n">
        <f aca="false">IF(T590&lt;$H$3,0,IFERROR(T590/SUMIF($T$5:$T$999,"&gt;="&amp;$H$3),0))</f>
        <v>0</v>
      </c>
      <c r="W590" s="15" t="str">
        <f aca="false">IF(T590=0,"Win-Back","Active")</f>
        <v>Win-Back</v>
      </c>
      <c r="X590" s="20" t="n">
        <f aca="false">IF(T590=0,0,IF(T590&gt;=$H$3,ROUND(T590*$D$3/SUMIF($T$5:$T$999,"&gt;="&amp;$H$3),0),ROUNDUP(T590*$D$3/SUMIF($T$5:$T$999,"&gt;="&amp;$H$3),0)))</f>
        <v>0</v>
      </c>
      <c r="Y590" s="21"/>
      <c r="Z590" s="16" t="str">
        <f aca="false">IF(X590=0,"",X590-Y590)</f>
        <v/>
      </c>
      <c r="AA590" s="22" t="str">
        <f aca="false">IFERROR(Y590/X590,"")</f>
        <v/>
      </c>
      <c r="AB590" s="16" t="n">
        <v>0</v>
      </c>
      <c r="AC590" s="21"/>
    </row>
    <row r="591" customFormat="false" ht="15" hidden="false" customHeight="true" outlineLevel="0" collapsed="false">
      <c r="A591" s="15" t="s">
        <v>5983</v>
      </c>
      <c r="B591" s="15" t="s">
        <v>5984</v>
      </c>
      <c r="C591" s="15" t="s">
        <v>5985</v>
      </c>
      <c r="D591" s="15" t="s">
        <v>5986</v>
      </c>
      <c r="E591" s="15" t="s">
        <v>5987</v>
      </c>
      <c r="F591" s="15" t="s">
        <v>5988</v>
      </c>
      <c r="G591" s="15" t="s">
        <v>5989</v>
      </c>
      <c r="H591" s="15" t="s">
        <v>5990</v>
      </c>
      <c r="I591" s="15"/>
      <c r="J591" s="15" t="s">
        <v>5991</v>
      </c>
      <c r="K591" s="15" t="s">
        <v>1418</v>
      </c>
      <c r="L591" s="15" t="s">
        <v>5992</v>
      </c>
      <c r="M591" s="15" t="s">
        <v>5993</v>
      </c>
      <c r="N591" s="15" t="s">
        <v>73</v>
      </c>
      <c r="O591" s="16" t="n">
        <v>0</v>
      </c>
      <c r="P591" s="16" t="n">
        <v>0</v>
      </c>
      <c r="Q591" s="16" t="n">
        <v>0</v>
      </c>
      <c r="R591" s="16" t="n">
        <v>0</v>
      </c>
      <c r="S591" s="16" t="n">
        <v>0</v>
      </c>
      <c r="T591" s="17" t="n">
        <f aca="false">AVERAGE(O591:Q591)</f>
        <v>0</v>
      </c>
      <c r="U591" s="18" t="str">
        <f aca="false">IF(T591&gt;=$H$3,"Eligible","Not Eligible")</f>
        <v>Not Eligible</v>
      </c>
      <c r="V591" s="19" t="n">
        <f aca="false">IF(T591&lt;$H$3,0,IFERROR(T591/SUMIF($T$5:$T$999,"&gt;="&amp;$H$3),0))</f>
        <v>0</v>
      </c>
      <c r="W591" s="15" t="str">
        <f aca="false">IF(T591=0,"Win-Back","Active")</f>
        <v>Win-Back</v>
      </c>
      <c r="X591" s="20" t="n">
        <f aca="false">IF(T591=0,0,IF(T591&gt;=$H$3,ROUND(T591*$D$3/SUMIF($T$5:$T$999,"&gt;="&amp;$H$3),0),ROUNDUP(T591*$D$3/SUMIF($T$5:$T$999,"&gt;="&amp;$H$3),0)))</f>
        <v>0</v>
      </c>
      <c r="Y591" s="21"/>
      <c r="Z591" s="16" t="str">
        <f aca="false">IF(X591=0,"",X591-Y591)</f>
        <v/>
      </c>
      <c r="AA591" s="22" t="str">
        <f aca="false">IFERROR(Y591/X591,"")</f>
        <v/>
      </c>
      <c r="AB591" s="16" t="n">
        <v>0</v>
      </c>
      <c r="AC591" s="21"/>
    </row>
    <row r="592" customFormat="false" ht="15" hidden="false" customHeight="true" outlineLevel="0" collapsed="false">
      <c r="A592" s="15" t="s">
        <v>5994</v>
      </c>
      <c r="B592" s="15" t="s">
        <v>5995</v>
      </c>
      <c r="C592" s="15" t="s">
        <v>5996</v>
      </c>
      <c r="D592" s="15" t="s">
        <v>5997</v>
      </c>
      <c r="E592" s="15" t="s">
        <v>5987</v>
      </c>
      <c r="F592" s="15" t="s">
        <v>5998</v>
      </c>
      <c r="G592" s="15" t="s">
        <v>5999</v>
      </c>
      <c r="H592" s="15" t="s">
        <v>6000</v>
      </c>
      <c r="I592" s="15" t="s">
        <v>1739</v>
      </c>
      <c r="J592" s="15" t="s">
        <v>5991</v>
      </c>
      <c r="K592" s="15" t="s">
        <v>1418</v>
      </c>
      <c r="L592" s="15" t="s">
        <v>6001</v>
      </c>
      <c r="M592" s="15" t="s">
        <v>6002</v>
      </c>
      <c r="N592" s="15" t="s">
        <v>73</v>
      </c>
      <c r="O592" s="16" t="n">
        <v>0</v>
      </c>
      <c r="P592" s="16" t="n">
        <v>0</v>
      </c>
      <c r="Q592" s="16" t="n">
        <v>0</v>
      </c>
      <c r="R592" s="16" t="n">
        <v>0</v>
      </c>
      <c r="S592" s="16" t="n">
        <v>0</v>
      </c>
      <c r="T592" s="17" t="n">
        <f aca="false">AVERAGE(O592:Q592)</f>
        <v>0</v>
      </c>
      <c r="U592" s="18" t="str">
        <f aca="false">IF(T592&gt;=$H$3,"Eligible","Not Eligible")</f>
        <v>Not Eligible</v>
      </c>
      <c r="V592" s="19" t="n">
        <f aca="false">IF(T592&lt;$H$3,0,IFERROR(T592/SUMIF($T$5:$T$999,"&gt;="&amp;$H$3),0))</f>
        <v>0</v>
      </c>
      <c r="W592" s="15" t="str">
        <f aca="false">IF(T592=0,"Win-Back","Active")</f>
        <v>Win-Back</v>
      </c>
      <c r="X592" s="20" t="n">
        <f aca="false">IF(T592=0,0,IF(T592&gt;=$H$3,ROUND(T592*$D$3/SUMIF($T$5:$T$999,"&gt;="&amp;$H$3),0),ROUNDUP(T592*$D$3/SUMIF($T$5:$T$999,"&gt;="&amp;$H$3),0)))</f>
        <v>0</v>
      </c>
      <c r="Y592" s="21"/>
      <c r="Z592" s="16" t="str">
        <f aca="false">IF(X592=0,"",X592-Y592)</f>
        <v/>
      </c>
      <c r="AA592" s="22" t="str">
        <f aca="false">IFERROR(Y592/X592,"")</f>
        <v/>
      </c>
      <c r="AB592" s="16" t="n">
        <v>0</v>
      </c>
      <c r="AC592" s="21"/>
    </row>
    <row r="593" customFormat="false" ht="15" hidden="false" customHeight="true" outlineLevel="0" collapsed="false">
      <c r="A593" s="15" t="s">
        <v>6003</v>
      </c>
      <c r="B593" s="15" t="s">
        <v>6004</v>
      </c>
      <c r="C593" s="15" t="s">
        <v>6005</v>
      </c>
      <c r="D593" s="15" t="s">
        <v>6006</v>
      </c>
      <c r="E593" s="15" t="s">
        <v>6007</v>
      </c>
      <c r="F593" s="15" t="s">
        <v>6008</v>
      </c>
      <c r="G593" s="15" t="s">
        <v>6009</v>
      </c>
      <c r="H593" s="15" t="s">
        <v>6010</v>
      </c>
      <c r="I593" s="15"/>
      <c r="J593" s="15" t="s">
        <v>6011</v>
      </c>
      <c r="K593" s="15" t="s">
        <v>70</v>
      </c>
      <c r="L593" s="15" t="s">
        <v>6012</v>
      </c>
      <c r="M593" s="15" t="s">
        <v>6013</v>
      </c>
      <c r="N593" s="15" t="s">
        <v>73</v>
      </c>
      <c r="O593" s="16" t="n">
        <v>0</v>
      </c>
      <c r="P593" s="16" t="n">
        <v>0</v>
      </c>
      <c r="Q593" s="16" t="n">
        <v>0</v>
      </c>
      <c r="R593" s="16" t="n">
        <v>0</v>
      </c>
      <c r="S593" s="16" t="n">
        <v>0</v>
      </c>
      <c r="T593" s="17" t="n">
        <f aca="false">AVERAGE(O593:Q593)</f>
        <v>0</v>
      </c>
      <c r="U593" s="18" t="str">
        <f aca="false">IF(T593&gt;=$H$3,"Eligible","Not Eligible")</f>
        <v>Not Eligible</v>
      </c>
      <c r="V593" s="19" t="n">
        <f aca="false">IF(T593&lt;$H$3,0,IFERROR(T593/SUMIF($T$5:$T$999,"&gt;="&amp;$H$3),0))</f>
        <v>0</v>
      </c>
      <c r="W593" s="15" t="str">
        <f aca="false">IF(T593=0,"Win-Back","Active")</f>
        <v>Win-Back</v>
      </c>
      <c r="X593" s="20" t="n">
        <f aca="false">IF(T593=0,0,IF(T593&gt;=$H$3,ROUND(T593*$D$3/SUMIF($T$5:$T$999,"&gt;="&amp;$H$3),0),ROUNDUP(T593*$D$3/SUMIF($T$5:$T$999,"&gt;="&amp;$H$3),0)))</f>
        <v>0</v>
      </c>
      <c r="Y593" s="21" t="n">
        <v>2</v>
      </c>
      <c r="Z593" s="16" t="str">
        <f aca="false">IF(X593=0,"",X593-Y593)</f>
        <v/>
      </c>
      <c r="AA593" s="22" t="str">
        <f aca="false">IFERROR(Y593/X593,"")</f>
        <v/>
      </c>
      <c r="AB593" s="16" t="n">
        <v>0</v>
      </c>
      <c r="AC593" s="21"/>
    </row>
    <row r="594" customFormat="false" ht="15" hidden="false" customHeight="true" outlineLevel="0" collapsed="false">
      <c r="A594" s="15" t="s">
        <v>6014</v>
      </c>
      <c r="B594" s="15" t="s">
        <v>6015</v>
      </c>
      <c r="C594" s="15" t="s">
        <v>6016</v>
      </c>
      <c r="D594" s="15" t="s">
        <v>6017</v>
      </c>
      <c r="E594" s="15" t="s">
        <v>3144</v>
      </c>
      <c r="F594" s="15" t="s">
        <v>3145</v>
      </c>
      <c r="G594" s="15" t="s">
        <v>6018</v>
      </c>
      <c r="H594" s="15" t="s">
        <v>6019</v>
      </c>
      <c r="I594" s="15" t="s">
        <v>6020</v>
      </c>
      <c r="J594" s="15" t="s">
        <v>6021</v>
      </c>
      <c r="K594" s="15" t="s">
        <v>1418</v>
      </c>
      <c r="L594" s="15" t="s">
        <v>6022</v>
      </c>
      <c r="M594" s="15" t="s">
        <v>6023</v>
      </c>
      <c r="N594" s="15" t="s">
        <v>73</v>
      </c>
      <c r="O594" s="16" t="n">
        <v>0</v>
      </c>
      <c r="P594" s="16" t="n">
        <v>0</v>
      </c>
      <c r="Q594" s="16" t="n">
        <v>0</v>
      </c>
      <c r="R594" s="16" t="n">
        <v>0</v>
      </c>
      <c r="S594" s="16" t="n">
        <v>0</v>
      </c>
      <c r="T594" s="17" t="n">
        <f aca="false">AVERAGE(O594:Q594)</f>
        <v>0</v>
      </c>
      <c r="U594" s="18" t="str">
        <f aca="false">IF(T594&gt;=$H$3,"Eligible","Not Eligible")</f>
        <v>Not Eligible</v>
      </c>
      <c r="V594" s="19" t="n">
        <f aca="false">IF(T594&lt;$H$3,0,IFERROR(T594/SUMIF($T$5:$T$999,"&gt;="&amp;$H$3),0))</f>
        <v>0</v>
      </c>
      <c r="W594" s="15" t="str">
        <f aca="false">IF(T594=0,"Win-Back","Active")</f>
        <v>Win-Back</v>
      </c>
      <c r="X594" s="20" t="n">
        <f aca="false">IF(T594=0,0,IF(T594&gt;=$H$3,ROUND(T594*$D$3/SUMIF($T$5:$T$999,"&gt;="&amp;$H$3),0),ROUNDUP(T594*$D$3/SUMIF($T$5:$T$999,"&gt;="&amp;$H$3),0)))</f>
        <v>0</v>
      </c>
      <c r="Y594" s="21"/>
      <c r="Z594" s="16" t="str">
        <f aca="false">IF(X594=0,"",X594-Y594)</f>
        <v/>
      </c>
      <c r="AA594" s="22" t="str">
        <f aca="false">IFERROR(Y594/X594,"")</f>
        <v/>
      </c>
      <c r="AB594" s="16" t="n">
        <v>0</v>
      </c>
      <c r="AC594" s="21"/>
    </row>
    <row r="595" customFormat="false" ht="15" hidden="false" customHeight="true" outlineLevel="0" collapsed="false">
      <c r="A595" s="15" t="s">
        <v>6024</v>
      </c>
      <c r="B595" s="15" t="s">
        <v>6025</v>
      </c>
      <c r="C595" s="15" t="s">
        <v>6026</v>
      </c>
      <c r="D595" s="15" t="s">
        <v>6027</v>
      </c>
      <c r="E595" s="15" t="s">
        <v>6028</v>
      </c>
      <c r="F595" s="15" t="s">
        <v>6029</v>
      </c>
      <c r="G595" s="15" t="s">
        <v>6030</v>
      </c>
      <c r="H595" s="15" t="s">
        <v>6031</v>
      </c>
      <c r="I595" s="15"/>
      <c r="J595" s="15" t="s">
        <v>646</v>
      </c>
      <c r="K595" s="15" t="s">
        <v>47</v>
      </c>
      <c r="L595" s="15" t="s">
        <v>647</v>
      </c>
      <c r="M595" s="15" t="s">
        <v>6032</v>
      </c>
      <c r="N595" s="15" t="s">
        <v>73</v>
      </c>
      <c r="O595" s="16" t="n">
        <v>0</v>
      </c>
      <c r="P595" s="16" t="n">
        <v>0</v>
      </c>
      <c r="Q595" s="16" t="n">
        <v>0</v>
      </c>
      <c r="R595" s="16" t="n">
        <v>0</v>
      </c>
      <c r="S595" s="16" t="n">
        <v>0</v>
      </c>
      <c r="T595" s="17" t="n">
        <f aca="false">AVERAGE(O595:Q595)</f>
        <v>0</v>
      </c>
      <c r="U595" s="18" t="str">
        <f aca="false">IF(T595&gt;=$H$3,"Eligible","Not Eligible")</f>
        <v>Not Eligible</v>
      </c>
      <c r="V595" s="19" t="n">
        <f aca="false">IF(T595&lt;$H$3,0,IFERROR(T595/SUMIF($T$5:$T$999,"&gt;="&amp;$H$3),0))</f>
        <v>0</v>
      </c>
      <c r="W595" s="15" t="str">
        <f aca="false">IF(T595=0,"Win-Back","Active")</f>
        <v>Win-Back</v>
      </c>
      <c r="X595" s="20" t="n">
        <f aca="false">IF(T595=0,0,IF(T595&gt;=$H$3,ROUND(T595*$D$3/SUMIF($T$5:$T$999,"&gt;="&amp;$H$3),0),ROUNDUP(T595*$D$3/SUMIF($T$5:$T$999,"&gt;="&amp;$H$3),0)))</f>
        <v>0</v>
      </c>
      <c r="Y595" s="21"/>
      <c r="Z595" s="16" t="str">
        <f aca="false">IF(X595=0,"",X595-Y595)</f>
        <v/>
      </c>
      <c r="AA595" s="22" t="str">
        <f aca="false">IFERROR(Y595/X595,"")</f>
        <v/>
      </c>
      <c r="AB595" s="16" t="n">
        <v>0</v>
      </c>
      <c r="AC595" s="21"/>
    </row>
    <row r="596" customFormat="false" ht="15" hidden="false" customHeight="true" outlineLevel="0" collapsed="false">
      <c r="A596" s="15"/>
      <c r="B596" s="15"/>
      <c r="C596" s="15" t="s">
        <v>6033</v>
      </c>
      <c r="D596" s="15" t="s">
        <v>6034</v>
      </c>
      <c r="E596" s="15" t="s">
        <v>6035</v>
      </c>
      <c r="F596" s="15"/>
      <c r="G596" s="15"/>
      <c r="H596" s="15" t="s">
        <v>6036</v>
      </c>
      <c r="I596" s="15"/>
      <c r="J596" s="15" t="s">
        <v>6037</v>
      </c>
      <c r="K596" s="15" t="s">
        <v>1418</v>
      </c>
      <c r="L596" s="15" t="s">
        <v>6038</v>
      </c>
      <c r="M596" s="15" t="s">
        <v>4617</v>
      </c>
      <c r="N596" s="15" t="s">
        <v>73</v>
      </c>
      <c r="O596" s="16" t="n">
        <v>0</v>
      </c>
      <c r="P596" s="16" t="n">
        <v>0</v>
      </c>
      <c r="Q596" s="16" t="n">
        <v>0</v>
      </c>
      <c r="R596" s="16" t="n">
        <v>0</v>
      </c>
      <c r="S596" s="16" t="n">
        <v>0</v>
      </c>
      <c r="T596" s="17" t="n">
        <f aca="false">AVERAGE(O596:Q596)</f>
        <v>0</v>
      </c>
      <c r="U596" s="18" t="str">
        <f aca="false">IF(T596&gt;=$H$3,"Eligible","Not Eligible")</f>
        <v>Not Eligible</v>
      </c>
      <c r="V596" s="19" t="n">
        <f aca="false">IF(T596&lt;$H$3,0,IFERROR(T596/SUMIF($T$5:$T$999,"&gt;="&amp;$H$3),0))</f>
        <v>0</v>
      </c>
      <c r="W596" s="15" t="str">
        <f aca="false">IF(T596=0,"Win-Back","Active")</f>
        <v>Win-Back</v>
      </c>
      <c r="X596" s="20" t="n">
        <f aca="false">IF(T596=0,0,IF(T596&gt;=$H$3,ROUND(T596*$D$3/SUMIF($T$5:$T$999,"&gt;="&amp;$H$3),0),ROUNDUP(T596*$D$3/SUMIF($T$5:$T$999,"&gt;="&amp;$H$3),0)))</f>
        <v>0</v>
      </c>
      <c r="Y596" s="21"/>
      <c r="Z596" s="16" t="str">
        <f aca="false">IF(X596=0,"",X596-Y596)</f>
        <v/>
      </c>
      <c r="AA596" s="22" t="str">
        <f aca="false">IFERROR(Y596/X596,"")</f>
        <v/>
      </c>
      <c r="AB596" s="16" t="n">
        <v>0</v>
      </c>
      <c r="AC596" s="21"/>
    </row>
    <row r="597" customFormat="false" ht="15" hidden="false" customHeight="true" outlineLevel="0" collapsed="false">
      <c r="A597" s="15"/>
      <c r="B597" s="15"/>
      <c r="C597" s="15" t="s">
        <v>6039</v>
      </c>
      <c r="D597" s="15" t="s">
        <v>6040</v>
      </c>
      <c r="E597" s="15" t="s">
        <v>6041</v>
      </c>
      <c r="F597" s="15"/>
      <c r="G597" s="15"/>
      <c r="H597" s="15" t="s">
        <v>6042</v>
      </c>
      <c r="I597" s="15"/>
      <c r="J597" s="15" t="s">
        <v>6037</v>
      </c>
      <c r="K597" s="15" t="s">
        <v>1418</v>
      </c>
      <c r="L597" s="15" t="s">
        <v>6038</v>
      </c>
      <c r="M597" s="15" t="s">
        <v>4617</v>
      </c>
      <c r="N597" s="15" t="s">
        <v>73</v>
      </c>
      <c r="O597" s="16" t="n">
        <v>0</v>
      </c>
      <c r="P597" s="16" t="n">
        <v>0</v>
      </c>
      <c r="Q597" s="16" t="n">
        <v>0</v>
      </c>
      <c r="R597" s="16" t="n">
        <v>0</v>
      </c>
      <c r="S597" s="16" t="n">
        <v>0</v>
      </c>
      <c r="T597" s="17" t="n">
        <f aca="false">AVERAGE(O597:Q597)</f>
        <v>0</v>
      </c>
      <c r="U597" s="18" t="str">
        <f aca="false">IF(T597&gt;=$H$3,"Eligible","Not Eligible")</f>
        <v>Not Eligible</v>
      </c>
      <c r="V597" s="19" t="n">
        <f aca="false">IF(T597&lt;$H$3,0,IFERROR(T597/SUMIF($T$5:$T$999,"&gt;="&amp;$H$3),0))</f>
        <v>0</v>
      </c>
      <c r="W597" s="15" t="str">
        <f aca="false">IF(T597=0,"Win-Back","Active")</f>
        <v>Win-Back</v>
      </c>
      <c r="X597" s="20" t="n">
        <f aca="false">IF(T597=0,0,IF(T597&gt;=$H$3,ROUND(T597*$D$3/SUMIF($T$5:$T$999,"&gt;="&amp;$H$3),0),ROUNDUP(T597*$D$3/SUMIF($T$5:$T$999,"&gt;="&amp;$H$3),0)))</f>
        <v>0</v>
      </c>
      <c r="Y597" s="21"/>
      <c r="Z597" s="16" t="str">
        <f aca="false">IF(X597=0,"",X597-Y597)</f>
        <v/>
      </c>
      <c r="AA597" s="22" t="str">
        <f aca="false">IFERROR(Y597/X597,"")</f>
        <v/>
      </c>
      <c r="AB597" s="16" t="n">
        <v>0</v>
      </c>
      <c r="AC597" s="21"/>
    </row>
    <row r="598" customFormat="false" ht="15" hidden="false" customHeight="true" outlineLevel="0" collapsed="false">
      <c r="A598" s="15" t="s">
        <v>6043</v>
      </c>
      <c r="B598" s="15" t="s">
        <v>6044</v>
      </c>
      <c r="C598" s="15" t="s">
        <v>6045</v>
      </c>
      <c r="D598" s="15" t="s">
        <v>6046</v>
      </c>
      <c r="E598" s="15" t="s">
        <v>6047</v>
      </c>
      <c r="F598" s="15" t="s">
        <v>6048</v>
      </c>
      <c r="G598" s="15" t="s">
        <v>6049</v>
      </c>
      <c r="H598" s="15" t="s">
        <v>6050</v>
      </c>
      <c r="I598" s="15" t="s">
        <v>6051</v>
      </c>
      <c r="J598" s="15" t="s">
        <v>969</v>
      </c>
      <c r="K598" s="15" t="s">
        <v>70</v>
      </c>
      <c r="L598" s="15" t="s">
        <v>970</v>
      </c>
      <c r="M598" s="15" t="s">
        <v>6052</v>
      </c>
      <c r="N598" s="15" t="s">
        <v>73</v>
      </c>
      <c r="O598" s="16" t="n">
        <v>0</v>
      </c>
      <c r="P598" s="16" t="n">
        <v>0</v>
      </c>
      <c r="Q598" s="16" t="n">
        <v>0</v>
      </c>
      <c r="R598" s="16" t="n">
        <v>0</v>
      </c>
      <c r="S598" s="16" t="n">
        <v>0</v>
      </c>
      <c r="T598" s="17" t="n">
        <f aca="false">AVERAGE(O598:Q598)</f>
        <v>0</v>
      </c>
      <c r="U598" s="18" t="str">
        <f aca="false">IF(T598&gt;=$H$3,"Eligible","Not Eligible")</f>
        <v>Not Eligible</v>
      </c>
      <c r="V598" s="19" t="n">
        <f aca="false">IF(T598&lt;$H$3,0,IFERROR(T598/SUMIF($T$5:$T$999,"&gt;="&amp;$H$3),0))</f>
        <v>0</v>
      </c>
      <c r="W598" s="15" t="str">
        <f aca="false">IF(T598=0,"Win-Back","Active")</f>
        <v>Win-Back</v>
      </c>
      <c r="X598" s="20" t="n">
        <f aca="false">IF(T598=0,0,IF(T598&gt;=$H$3,ROUND(T598*$D$3/SUMIF($T$5:$T$999,"&gt;="&amp;$H$3),0),ROUNDUP(T598*$D$3/SUMIF($T$5:$T$999,"&gt;="&amp;$H$3),0)))</f>
        <v>0</v>
      </c>
      <c r="Y598" s="21"/>
      <c r="Z598" s="16" t="str">
        <f aca="false">IF(X598=0,"",X598-Y598)</f>
        <v/>
      </c>
      <c r="AA598" s="22" t="str">
        <f aca="false">IFERROR(Y598/X598,"")</f>
        <v/>
      </c>
      <c r="AB598" s="16" t="n">
        <v>0</v>
      </c>
      <c r="AC598" s="21"/>
    </row>
    <row r="599" customFormat="false" ht="15" hidden="false" customHeight="true" outlineLevel="0" collapsed="false">
      <c r="A599" s="15"/>
      <c r="B599" s="15"/>
      <c r="C599" s="15" t="s">
        <v>6053</v>
      </c>
      <c r="D599" s="15" t="s">
        <v>6054</v>
      </c>
      <c r="E599" s="15" t="s">
        <v>6055</v>
      </c>
      <c r="F599" s="15"/>
      <c r="G599" s="15"/>
      <c r="H599" s="15" t="s">
        <v>6056</v>
      </c>
      <c r="I599" s="15"/>
      <c r="J599" s="15" t="s">
        <v>6057</v>
      </c>
      <c r="K599" s="15" t="s">
        <v>1418</v>
      </c>
      <c r="L599" s="15" t="s">
        <v>6058</v>
      </c>
      <c r="M599" s="15" t="s">
        <v>4617</v>
      </c>
      <c r="N599" s="15" t="s">
        <v>73</v>
      </c>
      <c r="O599" s="16" t="n">
        <v>0</v>
      </c>
      <c r="P599" s="16" t="n">
        <v>0</v>
      </c>
      <c r="Q599" s="16" t="n">
        <v>0</v>
      </c>
      <c r="R599" s="16" t="n">
        <v>0</v>
      </c>
      <c r="S599" s="16" t="n">
        <v>0</v>
      </c>
      <c r="T599" s="17" t="n">
        <f aca="false">AVERAGE(O599:Q599)</f>
        <v>0</v>
      </c>
      <c r="U599" s="18" t="str">
        <f aca="false">IF(T599&gt;=$H$3,"Eligible","Not Eligible")</f>
        <v>Not Eligible</v>
      </c>
      <c r="V599" s="19" t="n">
        <f aca="false">IF(T599&lt;$H$3,0,IFERROR(T599/SUMIF($T$5:$T$999,"&gt;="&amp;$H$3),0))</f>
        <v>0</v>
      </c>
      <c r="W599" s="15" t="str">
        <f aca="false">IF(T599=0,"Win-Back","Active")</f>
        <v>Win-Back</v>
      </c>
      <c r="X599" s="20" t="n">
        <f aca="false">IF(T599=0,0,IF(T599&gt;=$H$3,ROUND(T599*$D$3/SUMIF($T$5:$T$999,"&gt;="&amp;$H$3),0),ROUNDUP(T599*$D$3/SUMIF($T$5:$T$999,"&gt;="&amp;$H$3),0)))</f>
        <v>0</v>
      </c>
      <c r="Y599" s="21"/>
      <c r="Z599" s="16" t="str">
        <f aca="false">IF(X599=0,"",X599-Y599)</f>
        <v/>
      </c>
      <c r="AA599" s="22" t="str">
        <f aca="false">IFERROR(Y599/X599,"")</f>
        <v/>
      </c>
      <c r="AB599" s="16" t="n">
        <v>0</v>
      </c>
      <c r="AC599" s="21"/>
    </row>
    <row r="600" customFormat="false" ht="15" hidden="false" customHeight="true" outlineLevel="0" collapsed="false">
      <c r="A600" s="15" t="s">
        <v>6059</v>
      </c>
      <c r="B600" s="15" t="s">
        <v>6060</v>
      </c>
      <c r="C600" s="15" t="s">
        <v>6061</v>
      </c>
      <c r="D600" s="15" t="s">
        <v>6062</v>
      </c>
      <c r="E600" s="15" t="s">
        <v>6063</v>
      </c>
      <c r="F600" s="15" t="s">
        <v>6064</v>
      </c>
      <c r="G600" s="15" t="s">
        <v>6065</v>
      </c>
      <c r="H600" s="15" t="s">
        <v>6066</v>
      </c>
      <c r="I600" s="15"/>
      <c r="J600" s="15" t="s">
        <v>1869</v>
      </c>
      <c r="K600" s="15" t="s">
        <v>1418</v>
      </c>
      <c r="L600" s="15" t="s">
        <v>1870</v>
      </c>
      <c r="M600" s="15" t="s">
        <v>6067</v>
      </c>
      <c r="N600" s="15" t="s">
        <v>73</v>
      </c>
      <c r="O600" s="16" t="n">
        <v>0</v>
      </c>
      <c r="P600" s="16" t="n">
        <v>0</v>
      </c>
      <c r="Q600" s="16" t="n">
        <v>0</v>
      </c>
      <c r="R600" s="16" t="n">
        <v>0</v>
      </c>
      <c r="S600" s="16" t="n">
        <v>0</v>
      </c>
      <c r="T600" s="17" t="n">
        <f aca="false">AVERAGE(O600:Q600)</f>
        <v>0</v>
      </c>
      <c r="U600" s="18" t="str">
        <f aca="false">IF(T600&gt;=$H$3,"Eligible","Not Eligible")</f>
        <v>Not Eligible</v>
      </c>
      <c r="V600" s="19" t="n">
        <f aca="false">IF(T600&lt;$H$3,0,IFERROR(T600/SUMIF($T$5:$T$999,"&gt;="&amp;$H$3),0))</f>
        <v>0</v>
      </c>
      <c r="W600" s="15" t="str">
        <f aca="false">IF(T600=0,"Win-Back","Active")</f>
        <v>Win-Back</v>
      </c>
      <c r="X600" s="20" t="n">
        <f aca="false">IF(T600=0,0,IF(T600&gt;=$H$3,ROUND(T600*$D$3/SUMIF($T$5:$T$999,"&gt;="&amp;$H$3),0),ROUNDUP(T600*$D$3/SUMIF($T$5:$T$999,"&gt;="&amp;$H$3),0)))</f>
        <v>0</v>
      </c>
      <c r="Y600" s="21"/>
      <c r="Z600" s="16" t="str">
        <f aca="false">IF(X600=0,"",X600-Y600)</f>
        <v/>
      </c>
      <c r="AA600" s="22" t="str">
        <f aca="false">IFERROR(Y600/X600,"")</f>
        <v/>
      </c>
      <c r="AB600" s="16" t="n">
        <v>0</v>
      </c>
      <c r="AC600" s="21"/>
    </row>
    <row r="601" customFormat="false" ht="15" hidden="false" customHeight="true" outlineLevel="0" collapsed="false">
      <c r="A601" s="15"/>
      <c r="B601" s="15"/>
      <c r="C601" s="15" t="s">
        <v>6068</v>
      </c>
      <c r="D601" s="15" t="s">
        <v>6069</v>
      </c>
      <c r="E601" s="15" t="s">
        <v>6070</v>
      </c>
      <c r="F601" s="15"/>
      <c r="G601" s="15"/>
      <c r="H601" s="15" t="s">
        <v>6071</v>
      </c>
      <c r="I601" s="15"/>
      <c r="J601" s="15" t="s">
        <v>3935</v>
      </c>
      <c r="K601" s="15" t="s">
        <v>1222</v>
      </c>
      <c r="L601" s="15" t="s">
        <v>6072</v>
      </c>
      <c r="M601" s="15" t="s">
        <v>4617</v>
      </c>
      <c r="N601" s="15" t="s">
        <v>73</v>
      </c>
      <c r="O601" s="16" t="n">
        <v>0</v>
      </c>
      <c r="P601" s="16" t="n">
        <v>0</v>
      </c>
      <c r="Q601" s="16" t="n">
        <v>0</v>
      </c>
      <c r="R601" s="16" t="n">
        <v>0</v>
      </c>
      <c r="S601" s="16" t="n">
        <v>0</v>
      </c>
      <c r="T601" s="17" t="n">
        <f aca="false">AVERAGE(O601:Q601)</f>
        <v>0</v>
      </c>
      <c r="U601" s="18" t="str">
        <f aca="false">IF(T601&gt;=$H$3,"Eligible","Not Eligible")</f>
        <v>Not Eligible</v>
      </c>
      <c r="V601" s="19" t="n">
        <f aca="false">IF(T601&lt;$H$3,0,IFERROR(T601/SUMIF($T$5:$T$999,"&gt;="&amp;$H$3),0))</f>
        <v>0</v>
      </c>
      <c r="W601" s="15" t="str">
        <f aca="false">IF(T601=0,"Win-Back","Active")</f>
        <v>Win-Back</v>
      </c>
      <c r="X601" s="20" t="n">
        <f aca="false">IF(T601=0,0,IF(T601&gt;=$H$3,ROUND(T601*$D$3/SUMIF($T$5:$T$999,"&gt;="&amp;$H$3),0),ROUNDUP(T601*$D$3/SUMIF($T$5:$T$999,"&gt;="&amp;$H$3),0)))</f>
        <v>0</v>
      </c>
      <c r="Y601" s="21"/>
      <c r="Z601" s="16" t="str">
        <f aca="false">IF(X601=0,"",X601-Y601)</f>
        <v/>
      </c>
      <c r="AA601" s="22" t="str">
        <f aca="false">IFERROR(Y601/X601,"")</f>
        <v/>
      </c>
      <c r="AB601" s="16" t="n">
        <v>0</v>
      </c>
      <c r="AC601" s="21"/>
    </row>
    <row r="602" customFormat="false" ht="15" hidden="false" customHeight="true" outlineLevel="0" collapsed="false">
      <c r="A602" s="15" t="s">
        <v>6073</v>
      </c>
      <c r="B602" s="15" t="s">
        <v>6074</v>
      </c>
      <c r="C602" s="15" t="s">
        <v>6075</v>
      </c>
      <c r="D602" s="15" t="s">
        <v>6076</v>
      </c>
      <c r="E602" s="15" t="s">
        <v>6077</v>
      </c>
      <c r="F602" s="15" t="s">
        <v>6078</v>
      </c>
      <c r="G602" s="15" t="s">
        <v>6079</v>
      </c>
      <c r="H602" s="15" t="s">
        <v>6080</v>
      </c>
      <c r="I602" s="15"/>
      <c r="J602" s="15" t="s">
        <v>1374</v>
      </c>
      <c r="K602" s="15" t="s">
        <v>47</v>
      </c>
      <c r="L602" s="15" t="s">
        <v>1375</v>
      </c>
      <c r="M602" s="15" t="s">
        <v>6081</v>
      </c>
      <c r="N602" s="15" t="s">
        <v>73</v>
      </c>
      <c r="O602" s="16" t="n">
        <v>0</v>
      </c>
      <c r="P602" s="16" t="n">
        <v>0</v>
      </c>
      <c r="Q602" s="16" t="n">
        <v>0</v>
      </c>
      <c r="R602" s="16" t="n">
        <v>0</v>
      </c>
      <c r="S602" s="16" t="n">
        <v>0</v>
      </c>
      <c r="T602" s="17" t="n">
        <f aca="false">AVERAGE(O602:Q602)</f>
        <v>0</v>
      </c>
      <c r="U602" s="18" t="str">
        <f aca="false">IF(T602&gt;=$H$3,"Eligible","Not Eligible")</f>
        <v>Not Eligible</v>
      </c>
      <c r="V602" s="19" t="n">
        <f aca="false">IF(T602&lt;$H$3,0,IFERROR(T602/SUMIF($T$5:$T$999,"&gt;="&amp;$H$3),0))</f>
        <v>0</v>
      </c>
      <c r="W602" s="15" t="str">
        <f aca="false">IF(T602=0,"Win-Back","Active")</f>
        <v>Win-Back</v>
      </c>
      <c r="X602" s="20" t="n">
        <f aca="false">IF(T602=0,0,IF(T602&gt;=$H$3,ROUND(T602*$D$3/SUMIF($T$5:$T$999,"&gt;="&amp;$H$3),0),ROUNDUP(T602*$D$3/SUMIF($T$5:$T$999,"&gt;="&amp;$H$3),0)))</f>
        <v>0</v>
      </c>
      <c r="Y602" s="21"/>
      <c r="Z602" s="16" t="str">
        <f aca="false">IF(X602=0,"",X602-Y602)</f>
        <v/>
      </c>
      <c r="AA602" s="22" t="str">
        <f aca="false">IFERROR(Y602/X602,"")</f>
        <v/>
      </c>
      <c r="AB602" s="16" t="n">
        <v>0</v>
      </c>
      <c r="AC602" s="21"/>
    </row>
    <row r="603" customFormat="false" ht="15" hidden="false" customHeight="true" outlineLevel="0" collapsed="false">
      <c r="A603" s="15" t="s">
        <v>6082</v>
      </c>
      <c r="B603" s="15" t="s">
        <v>6083</v>
      </c>
      <c r="C603" s="15" t="s">
        <v>6084</v>
      </c>
      <c r="D603" s="15" t="s">
        <v>6085</v>
      </c>
      <c r="E603" s="15" t="s">
        <v>6086</v>
      </c>
      <c r="F603" s="15" t="s">
        <v>6087</v>
      </c>
      <c r="G603" s="15" t="s">
        <v>6088</v>
      </c>
      <c r="H603" s="15" t="s">
        <v>6089</v>
      </c>
      <c r="I603" s="15"/>
      <c r="J603" s="15" t="s">
        <v>6090</v>
      </c>
      <c r="K603" s="15" t="s">
        <v>678</v>
      </c>
      <c r="L603" s="15" t="s">
        <v>6091</v>
      </c>
      <c r="M603" s="15" t="s">
        <v>6092</v>
      </c>
      <c r="N603" s="15" t="s">
        <v>73</v>
      </c>
      <c r="O603" s="16" t="n">
        <v>0</v>
      </c>
      <c r="P603" s="16" t="n">
        <v>0</v>
      </c>
      <c r="Q603" s="16" t="n">
        <v>0</v>
      </c>
      <c r="R603" s="16" t="n">
        <v>0</v>
      </c>
      <c r="S603" s="16" t="n">
        <v>0</v>
      </c>
      <c r="T603" s="17" t="n">
        <f aca="false">AVERAGE(O603:Q603)</f>
        <v>0</v>
      </c>
      <c r="U603" s="18" t="str">
        <f aca="false">IF(T603&gt;=$H$3,"Eligible","Not Eligible")</f>
        <v>Not Eligible</v>
      </c>
      <c r="V603" s="19" t="n">
        <f aca="false">IF(T603&lt;$H$3,0,IFERROR(T603/SUMIF($T$5:$T$999,"&gt;="&amp;$H$3),0))</f>
        <v>0</v>
      </c>
      <c r="W603" s="15" t="str">
        <f aca="false">IF(T603=0,"Win-Back","Active")</f>
        <v>Win-Back</v>
      </c>
      <c r="X603" s="20" t="n">
        <f aca="false">IF(T603=0,0,IF(T603&gt;=$H$3,ROUND(T603*$D$3/SUMIF($T$5:$T$999,"&gt;="&amp;$H$3),0),ROUNDUP(T603*$D$3/SUMIF($T$5:$T$999,"&gt;="&amp;$H$3),0)))</f>
        <v>0</v>
      </c>
      <c r="Y603" s="21" t="n">
        <v>1</v>
      </c>
      <c r="Z603" s="16" t="str">
        <f aca="false">IF(X603=0,"",X603-Y603)</f>
        <v/>
      </c>
      <c r="AA603" s="22" t="str">
        <f aca="false">IFERROR(Y603/X603,"")</f>
        <v/>
      </c>
      <c r="AB603" s="16" t="n">
        <v>0</v>
      </c>
      <c r="AC603" s="21" t="n">
        <v>4</v>
      </c>
    </row>
    <row r="604" customFormat="false" ht="15" hidden="false" customHeight="true" outlineLevel="0" collapsed="false">
      <c r="A604" s="15" t="s">
        <v>6093</v>
      </c>
      <c r="B604" s="15" t="s">
        <v>6094</v>
      </c>
      <c r="C604" s="15" t="s">
        <v>6095</v>
      </c>
      <c r="D604" s="15" t="s">
        <v>6096</v>
      </c>
      <c r="E604" s="15" t="s">
        <v>6097</v>
      </c>
      <c r="F604" s="15" t="s">
        <v>6098</v>
      </c>
      <c r="G604" s="15" t="s">
        <v>6099</v>
      </c>
      <c r="H604" s="15" t="s">
        <v>6100</v>
      </c>
      <c r="I604" s="15"/>
      <c r="J604" s="15" t="s">
        <v>6101</v>
      </c>
      <c r="K604" s="15" t="s">
        <v>678</v>
      </c>
      <c r="L604" s="15" t="s">
        <v>6102</v>
      </c>
      <c r="M604" s="15" t="s">
        <v>6103</v>
      </c>
      <c r="N604" s="15" t="s">
        <v>73</v>
      </c>
      <c r="O604" s="16" t="n">
        <v>0</v>
      </c>
      <c r="P604" s="16" t="n">
        <v>0</v>
      </c>
      <c r="Q604" s="16" t="n">
        <v>0</v>
      </c>
      <c r="R604" s="16" t="n">
        <v>0</v>
      </c>
      <c r="S604" s="16" t="n">
        <v>0</v>
      </c>
      <c r="T604" s="17" t="n">
        <f aca="false">AVERAGE(O604:Q604)</f>
        <v>0</v>
      </c>
      <c r="U604" s="18" t="str">
        <f aca="false">IF(T604&gt;=$H$3,"Eligible","Not Eligible")</f>
        <v>Not Eligible</v>
      </c>
      <c r="V604" s="19" t="n">
        <f aca="false">IF(T604&lt;$H$3,0,IFERROR(T604/SUMIF($T$5:$T$999,"&gt;="&amp;$H$3),0))</f>
        <v>0</v>
      </c>
      <c r="W604" s="15" t="str">
        <f aca="false">IF(T604=0,"Win-Back","Active")</f>
        <v>Win-Back</v>
      </c>
      <c r="X604" s="20" t="n">
        <f aca="false">IF(T604=0,0,IF(T604&gt;=$H$3,ROUND(T604*$D$3/SUMIF($T$5:$T$999,"&gt;="&amp;$H$3),0),ROUNDUP(T604*$D$3/SUMIF($T$5:$T$999,"&gt;="&amp;$H$3),0)))</f>
        <v>0</v>
      </c>
      <c r="Y604" s="21"/>
      <c r="Z604" s="16" t="str">
        <f aca="false">IF(X604=0,"",X604-Y604)</f>
        <v/>
      </c>
      <c r="AA604" s="22" t="str">
        <f aca="false">IFERROR(Y604/X604,"")</f>
        <v/>
      </c>
      <c r="AB604" s="16" t="n">
        <v>0</v>
      </c>
      <c r="AC604" s="21"/>
    </row>
    <row r="605" customFormat="false" ht="15" hidden="false" customHeight="true" outlineLevel="0" collapsed="false">
      <c r="A605" s="15" t="s">
        <v>6104</v>
      </c>
      <c r="B605" s="15" t="s">
        <v>6105</v>
      </c>
      <c r="C605" s="15" t="s">
        <v>6106</v>
      </c>
      <c r="D605" s="15" t="s">
        <v>6107</v>
      </c>
      <c r="E605" s="15" t="s">
        <v>6108</v>
      </c>
      <c r="F605" s="15" t="s">
        <v>6109</v>
      </c>
      <c r="G605" s="15" t="s">
        <v>6110</v>
      </c>
      <c r="H605" s="15" t="s">
        <v>6111</v>
      </c>
      <c r="I605" s="15"/>
      <c r="J605" s="15" t="s">
        <v>1064</v>
      </c>
      <c r="K605" s="15" t="s">
        <v>368</v>
      </c>
      <c r="L605" s="15" t="s">
        <v>6112</v>
      </c>
      <c r="M605" s="15" t="s">
        <v>6113</v>
      </c>
      <c r="N605" s="15" t="s">
        <v>73</v>
      </c>
      <c r="O605" s="16" t="n">
        <v>0</v>
      </c>
      <c r="P605" s="16" t="n">
        <v>0</v>
      </c>
      <c r="Q605" s="16" t="n">
        <v>0</v>
      </c>
      <c r="R605" s="16" t="n">
        <v>0</v>
      </c>
      <c r="S605" s="16" t="n">
        <v>0</v>
      </c>
      <c r="T605" s="17" t="n">
        <f aca="false">AVERAGE(O605:Q605)</f>
        <v>0</v>
      </c>
      <c r="U605" s="18" t="str">
        <f aca="false">IF(T605&gt;=$H$3,"Eligible","Not Eligible")</f>
        <v>Not Eligible</v>
      </c>
      <c r="V605" s="19" t="n">
        <f aca="false">IF(T605&lt;$H$3,0,IFERROR(T605/SUMIF($T$5:$T$999,"&gt;="&amp;$H$3),0))</f>
        <v>0</v>
      </c>
      <c r="W605" s="15" t="str">
        <f aca="false">IF(T605=0,"Win-Back","Active")</f>
        <v>Win-Back</v>
      </c>
      <c r="X605" s="20" t="n">
        <f aca="false">IF(T605=0,0,IF(T605&gt;=$H$3,ROUND(T605*$D$3/SUMIF($T$5:$T$999,"&gt;="&amp;$H$3),0),ROUNDUP(T605*$D$3/SUMIF($T$5:$T$999,"&gt;="&amp;$H$3),0)))</f>
        <v>0</v>
      </c>
      <c r="Y605" s="21"/>
      <c r="Z605" s="16" t="str">
        <f aca="false">IF(X605=0,"",X605-Y605)</f>
        <v/>
      </c>
      <c r="AA605" s="22" t="str">
        <f aca="false">IFERROR(Y605/X605,"")</f>
        <v/>
      </c>
      <c r="AB605" s="16" t="n">
        <v>0</v>
      </c>
      <c r="AC605" s="21"/>
    </row>
    <row r="606" customFormat="false" ht="15" hidden="false" customHeight="true" outlineLevel="0" collapsed="false">
      <c r="A606" s="15" t="s">
        <v>6114</v>
      </c>
      <c r="B606" s="15" t="s">
        <v>6115</v>
      </c>
      <c r="C606" s="15" t="s">
        <v>6116</v>
      </c>
      <c r="D606" s="15" t="s">
        <v>6117</v>
      </c>
      <c r="E606" s="15" t="s">
        <v>6118</v>
      </c>
      <c r="F606" s="15" t="s">
        <v>6119</v>
      </c>
      <c r="G606" s="15" t="s">
        <v>6120</v>
      </c>
      <c r="H606" s="15" t="s">
        <v>6121</v>
      </c>
      <c r="I606" s="15"/>
      <c r="J606" s="15" t="s">
        <v>5356</v>
      </c>
      <c r="K606" s="15" t="s">
        <v>3203</v>
      </c>
      <c r="L606" s="15" t="s">
        <v>6122</v>
      </c>
      <c r="M606" s="15" t="s">
        <v>6123</v>
      </c>
      <c r="N606" s="15" t="s">
        <v>73</v>
      </c>
      <c r="O606" s="16" t="n">
        <v>0</v>
      </c>
      <c r="P606" s="16" t="n">
        <v>0</v>
      </c>
      <c r="Q606" s="16" t="n">
        <v>0</v>
      </c>
      <c r="R606" s="16" t="n">
        <v>0</v>
      </c>
      <c r="S606" s="16" t="n">
        <v>0</v>
      </c>
      <c r="T606" s="17" t="n">
        <f aca="false">AVERAGE(O606:Q606)</f>
        <v>0</v>
      </c>
      <c r="U606" s="18" t="str">
        <f aca="false">IF(T606&gt;=$H$3,"Eligible","Not Eligible")</f>
        <v>Not Eligible</v>
      </c>
      <c r="V606" s="19" t="n">
        <f aca="false">IF(T606&lt;$H$3,0,IFERROR(T606/SUMIF($T$5:$T$999,"&gt;="&amp;$H$3),0))</f>
        <v>0</v>
      </c>
      <c r="W606" s="15" t="str">
        <f aca="false">IF(T606=0,"Win-Back","Active")</f>
        <v>Win-Back</v>
      </c>
      <c r="X606" s="20" t="n">
        <f aca="false">IF(T606=0,0,IF(T606&gt;=$H$3,ROUND(T606*$D$3/SUMIF($T$5:$T$999,"&gt;="&amp;$H$3),0),ROUNDUP(T606*$D$3/SUMIF($T$5:$T$999,"&gt;="&amp;$H$3),0)))</f>
        <v>0</v>
      </c>
      <c r="Y606" s="21"/>
      <c r="Z606" s="16" t="str">
        <f aca="false">IF(X606=0,"",X606-Y606)</f>
        <v/>
      </c>
      <c r="AA606" s="22" t="str">
        <f aca="false">IFERROR(Y606/X606,"")</f>
        <v/>
      </c>
      <c r="AB606" s="16" t="n">
        <v>0</v>
      </c>
      <c r="AC606" s="21"/>
    </row>
    <row r="607" customFormat="false" ht="15" hidden="false" customHeight="true" outlineLevel="0" collapsed="false">
      <c r="A607" s="15" t="s">
        <v>6124</v>
      </c>
      <c r="B607" s="15" t="s">
        <v>6125</v>
      </c>
      <c r="C607" s="15" t="s">
        <v>6126</v>
      </c>
      <c r="D607" s="15" t="s">
        <v>6127</v>
      </c>
      <c r="E607" s="15" t="s">
        <v>6128</v>
      </c>
      <c r="F607" s="15" t="s">
        <v>6129</v>
      </c>
      <c r="G607" s="15" t="s">
        <v>6130</v>
      </c>
      <c r="H607" s="15" t="s">
        <v>6131</v>
      </c>
      <c r="I607" s="15"/>
      <c r="J607" s="15" t="s">
        <v>6132</v>
      </c>
      <c r="K607" s="15" t="s">
        <v>47</v>
      </c>
      <c r="L607" s="15" t="s">
        <v>6133</v>
      </c>
      <c r="M607" s="15" t="s">
        <v>6134</v>
      </c>
      <c r="N607" s="15" t="s">
        <v>73</v>
      </c>
      <c r="O607" s="16" t="n">
        <v>0</v>
      </c>
      <c r="P607" s="16" t="n">
        <v>0</v>
      </c>
      <c r="Q607" s="16" t="n">
        <v>0</v>
      </c>
      <c r="R607" s="16" t="n">
        <v>0</v>
      </c>
      <c r="S607" s="16" t="n">
        <v>0</v>
      </c>
      <c r="T607" s="17" t="n">
        <f aca="false">AVERAGE(O607:Q607)</f>
        <v>0</v>
      </c>
      <c r="U607" s="18" t="str">
        <f aca="false">IF(T607&gt;=$H$3,"Eligible","Not Eligible")</f>
        <v>Not Eligible</v>
      </c>
      <c r="V607" s="19" t="n">
        <f aca="false">IF(T607&lt;$H$3,0,IFERROR(T607/SUMIF($T$5:$T$999,"&gt;="&amp;$H$3),0))</f>
        <v>0</v>
      </c>
      <c r="W607" s="15" t="str">
        <f aca="false">IF(T607=0,"Win-Back","Active")</f>
        <v>Win-Back</v>
      </c>
      <c r="X607" s="20" t="n">
        <f aca="false">IF(T607=0,0,IF(T607&gt;=$H$3,ROUND(T607*$D$3/SUMIF($T$5:$T$999,"&gt;="&amp;$H$3),0),ROUNDUP(T607*$D$3/SUMIF($T$5:$T$999,"&gt;="&amp;$H$3),0)))</f>
        <v>0</v>
      </c>
      <c r="Y607" s="21"/>
      <c r="Z607" s="16" t="str">
        <f aca="false">IF(X607=0,"",X607-Y607)</f>
        <v/>
      </c>
      <c r="AA607" s="22" t="str">
        <f aca="false">IFERROR(Y607/X607,"")</f>
        <v/>
      </c>
      <c r="AB607" s="16" t="n">
        <v>0</v>
      </c>
      <c r="AC607" s="21"/>
    </row>
    <row r="608" customFormat="false" ht="15" hidden="false" customHeight="true" outlineLevel="0" collapsed="false">
      <c r="A608" s="15" t="s">
        <v>6135</v>
      </c>
      <c r="B608" s="15" t="s">
        <v>6136</v>
      </c>
      <c r="C608" s="15" t="s">
        <v>6137</v>
      </c>
      <c r="D608" s="15" t="s">
        <v>6138</v>
      </c>
      <c r="E608" s="15" t="s">
        <v>6139</v>
      </c>
      <c r="F608" s="15" t="s">
        <v>6140</v>
      </c>
      <c r="G608" s="15" t="s">
        <v>6141</v>
      </c>
      <c r="H608" s="15" t="s">
        <v>6142</v>
      </c>
      <c r="I608" s="15"/>
      <c r="J608" s="15" t="s">
        <v>6143</v>
      </c>
      <c r="K608" s="15" t="s">
        <v>70</v>
      </c>
      <c r="L608" s="15" t="s">
        <v>6144</v>
      </c>
      <c r="M608" s="15" t="s">
        <v>6145</v>
      </c>
      <c r="N608" s="15" t="s">
        <v>73</v>
      </c>
      <c r="O608" s="16" t="n">
        <v>0</v>
      </c>
      <c r="P608" s="16" t="n">
        <v>0</v>
      </c>
      <c r="Q608" s="16" t="n">
        <v>0</v>
      </c>
      <c r="R608" s="16" t="n">
        <v>0</v>
      </c>
      <c r="S608" s="16" t="n">
        <v>0</v>
      </c>
      <c r="T608" s="17" t="n">
        <f aca="false">AVERAGE(O608:Q608)</f>
        <v>0</v>
      </c>
      <c r="U608" s="18" t="str">
        <f aca="false">IF(T608&gt;=$H$3,"Eligible","Not Eligible")</f>
        <v>Not Eligible</v>
      </c>
      <c r="V608" s="19" t="n">
        <f aca="false">IF(T608&lt;$H$3,0,IFERROR(T608/SUMIF($T$5:$T$999,"&gt;="&amp;$H$3),0))</f>
        <v>0</v>
      </c>
      <c r="W608" s="15" t="str">
        <f aca="false">IF(T608=0,"Win-Back","Active")</f>
        <v>Win-Back</v>
      </c>
      <c r="X608" s="20" t="n">
        <f aca="false">IF(T608=0,0,IF(T608&gt;=$H$3,ROUND(T608*$D$3/SUMIF($T$5:$T$999,"&gt;="&amp;$H$3),0),ROUNDUP(T608*$D$3/SUMIF($T$5:$T$999,"&gt;="&amp;$H$3),0)))</f>
        <v>0</v>
      </c>
      <c r="Y608" s="21"/>
      <c r="Z608" s="16" t="str">
        <f aca="false">IF(X608=0,"",X608-Y608)</f>
        <v/>
      </c>
      <c r="AA608" s="22" t="str">
        <f aca="false">IFERROR(Y608/X608,"")</f>
        <v/>
      </c>
      <c r="AB608" s="16" t="n">
        <v>0</v>
      </c>
      <c r="AC608" s="21"/>
    </row>
    <row r="609" customFormat="false" ht="15" hidden="false" customHeight="true" outlineLevel="0" collapsed="false">
      <c r="A609" s="15" t="s">
        <v>6146</v>
      </c>
      <c r="B609" s="15" t="s">
        <v>6147</v>
      </c>
      <c r="C609" s="15" t="s">
        <v>6148</v>
      </c>
      <c r="D609" s="15" t="s">
        <v>6149</v>
      </c>
      <c r="E609" s="15" t="s">
        <v>6150</v>
      </c>
      <c r="F609" s="15" t="s">
        <v>6151</v>
      </c>
      <c r="G609" s="15" t="s">
        <v>6152</v>
      </c>
      <c r="H609" s="15" t="s">
        <v>6153</v>
      </c>
      <c r="I609" s="15"/>
      <c r="J609" s="15" t="s">
        <v>6154</v>
      </c>
      <c r="K609" s="15" t="s">
        <v>368</v>
      </c>
      <c r="L609" s="15" t="s">
        <v>6155</v>
      </c>
      <c r="M609" s="15" t="s">
        <v>6156</v>
      </c>
      <c r="N609" s="15" t="s">
        <v>73</v>
      </c>
      <c r="O609" s="16" t="n">
        <v>0</v>
      </c>
      <c r="P609" s="16" t="n">
        <v>0</v>
      </c>
      <c r="Q609" s="16" t="n">
        <v>0</v>
      </c>
      <c r="R609" s="16" t="n">
        <v>0</v>
      </c>
      <c r="S609" s="16" t="n">
        <v>0</v>
      </c>
      <c r="T609" s="17" t="n">
        <f aca="false">AVERAGE(O609:Q609)</f>
        <v>0</v>
      </c>
      <c r="U609" s="18" t="str">
        <f aca="false">IF(T609&gt;=$H$3,"Eligible","Not Eligible")</f>
        <v>Not Eligible</v>
      </c>
      <c r="V609" s="19" t="n">
        <f aca="false">IF(T609&lt;$H$3,0,IFERROR(T609/SUMIF($T$5:$T$999,"&gt;="&amp;$H$3),0))</f>
        <v>0</v>
      </c>
      <c r="W609" s="15" t="str">
        <f aca="false">IF(T609=0,"Win-Back","Active")</f>
        <v>Win-Back</v>
      </c>
      <c r="X609" s="20" t="n">
        <f aca="false">IF(T609=0,0,IF(T609&gt;=$H$3,ROUND(T609*$D$3/SUMIF($T$5:$T$999,"&gt;="&amp;$H$3),0),ROUNDUP(T609*$D$3/SUMIF($T$5:$T$999,"&gt;="&amp;$H$3),0)))</f>
        <v>0</v>
      </c>
      <c r="Y609" s="21"/>
      <c r="Z609" s="16" t="str">
        <f aca="false">IF(X609=0,"",X609-Y609)</f>
        <v/>
      </c>
      <c r="AA609" s="22" t="str">
        <f aca="false">IFERROR(Y609/X609,"")</f>
        <v/>
      </c>
      <c r="AB609" s="16" t="n">
        <v>0</v>
      </c>
      <c r="AC609" s="21"/>
    </row>
    <row r="610" customFormat="false" ht="15" hidden="false" customHeight="true" outlineLevel="0" collapsed="false">
      <c r="A610" s="15"/>
      <c r="B610" s="15"/>
      <c r="C610" s="15" t="s">
        <v>6157</v>
      </c>
      <c r="D610" s="15" t="s">
        <v>6158</v>
      </c>
      <c r="E610" s="15" t="s">
        <v>1801</v>
      </c>
      <c r="F610" s="15"/>
      <c r="G610" s="15"/>
      <c r="H610" s="15" t="s">
        <v>1719</v>
      </c>
      <c r="I610" s="15"/>
      <c r="J610" s="15" t="s">
        <v>379</v>
      </c>
      <c r="K610" s="15" t="s">
        <v>368</v>
      </c>
      <c r="L610" s="15" t="s">
        <v>1720</v>
      </c>
      <c r="M610" s="15" t="s">
        <v>4617</v>
      </c>
      <c r="N610" s="15" t="s">
        <v>73</v>
      </c>
      <c r="O610" s="16" t="n">
        <v>0</v>
      </c>
      <c r="P610" s="16" t="n">
        <v>0</v>
      </c>
      <c r="Q610" s="16" t="n">
        <v>0</v>
      </c>
      <c r="R610" s="16" t="n">
        <v>0</v>
      </c>
      <c r="S610" s="16" t="n">
        <v>0</v>
      </c>
      <c r="T610" s="17" t="n">
        <f aca="false">AVERAGE(O610:Q610)</f>
        <v>0</v>
      </c>
      <c r="U610" s="18" t="str">
        <f aca="false">IF(T610&gt;=$H$3,"Eligible","Not Eligible")</f>
        <v>Not Eligible</v>
      </c>
      <c r="V610" s="19" t="n">
        <f aca="false">IF(T610&lt;$H$3,0,IFERROR(T610/SUMIF($T$5:$T$999,"&gt;="&amp;$H$3),0))</f>
        <v>0</v>
      </c>
      <c r="W610" s="15" t="str">
        <f aca="false">IF(T610=0,"Win-Back","Active")</f>
        <v>Win-Back</v>
      </c>
      <c r="X610" s="20" t="n">
        <f aca="false">IF(T610=0,0,IF(T610&gt;=$H$3,ROUND(T610*$D$3/SUMIF($T$5:$T$999,"&gt;="&amp;$H$3),0),ROUNDUP(T610*$D$3/SUMIF($T$5:$T$999,"&gt;="&amp;$H$3),0)))</f>
        <v>0</v>
      </c>
      <c r="Y610" s="21"/>
      <c r="Z610" s="16" t="str">
        <f aca="false">IF(X610=0,"",X610-Y610)</f>
        <v/>
      </c>
      <c r="AA610" s="22" t="str">
        <f aca="false">IFERROR(Y610/X610,"")</f>
        <v/>
      </c>
      <c r="AB610" s="16" t="n">
        <v>0</v>
      </c>
      <c r="AC610" s="21"/>
    </row>
    <row r="611" customFormat="false" ht="15" hidden="false" customHeight="true" outlineLevel="0" collapsed="false">
      <c r="A611" s="15" t="s">
        <v>6159</v>
      </c>
      <c r="B611" s="15" t="s">
        <v>6160</v>
      </c>
      <c r="C611" s="15" t="s">
        <v>6161</v>
      </c>
      <c r="D611" s="15" t="s">
        <v>6162</v>
      </c>
      <c r="E611" s="15" t="s">
        <v>6163</v>
      </c>
      <c r="F611" s="15" t="s">
        <v>6164</v>
      </c>
      <c r="G611" s="15" t="s">
        <v>6165</v>
      </c>
      <c r="H611" s="15" t="s">
        <v>6166</v>
      </c>
      <c r="I611" s="15" t="s">
        <v>6167</v>
      </c>
      <c r="J611" s="15" t="s">
        <v>379</v>
      </c>
      <c r="K611" s="15" t="s">
        <v>368</v>
      </c>
      <c r="L611" s="15" t="s">
        <v>6168</v>
      </c>
      <c r="M611" s="15" t="s">
        <v>6169</v>
      </c>
      <c r="N611" s="15" t="s">
        <v>73</v>
      </c>
      <c r="O611" s="16" t="n">
        <v>0</v>
      </c>
      <c r="P611" s="16" t="n">
        <v>0</v>
      </c>
      <c r="Q611" s="16" t="n">
        <v>0</v>
      </c>
      <c r="R611" s="16" t="n">
        <v>0</v>
      </c>
      <c r="S611" s="16" t="n">
        <v>0</v>
      </c>
      <c r="T611" s="17" t="n">
        <f aca="false">AVERAGE(O611:Q611)</f>
        <v>0</v>
      </c>
      <c r="U611" s="18" t="str">
        <f aca="false">IF(T611&gt;=$H$3,"Eligible","Not Eligible")</f>
        <v>Not Eligible</v>
      </c>
      <c r="V611" s="19" t="n">
        <f aca="false">IF(T611&lt;$H$3,0,IFERROR(T611/SUMIF($T$5:$T$999,"&gt;="&amp;$H$3),0))</f>
        <v>0</v>
      </c>
      <c r="W611" s="15" t="str">
        <f aca="false">IF(T611=0,"Win-Back","Active")</f>
        <v>Win-Back</v>
      </c>
      <c r="X611" s="20" t="n">
        <f aca="false">IF(T611=0,0,IF(T611&gt;=$H$3,ROUND(T611*$D$3/SUMIF($T$5:$T$999,"&gt;="&amp;$H$3),0),ROUNDUP(T611*$D$3/SUMIF($T$5:$T$999,"&gt;="&amp;$H$3),0)))</f>
        <v>0</v>
      </c>
      <c r="Y611" s="21"/>
      <c r="Z611" s="16" t="str">
        <f aca="false">IF(X611=0,"",X611-Y611)</f>
        <v/>
      </c>
      <c r="AA611" s="22" t="str">
        <f aca="false">IFERROR(Y611/X611,"")</f>
        <v/>
      </c>
      <c r="AB611" s="16" t="n">
        <v>0</v>
      </c>
      <c r="AC611" s="21"/>
    </row>
    <row r="612" customFormat="false" ht="15" hidden="false" customHeight="true" outlineLevel="0" collapsed="false">
      <c r="A612" s="15" t="s">
        <v>6170</v>
      </c>
      <c r="B612" s="15" t="s">
        <v>6171</v>
      </c>
      <c r="C612" s="15" t="s">
        <v>6172</v>
      </c>
      <c r="D612" s="15" t="s">
        <v>6173</v>
      </c>
      <c r="E612" s="15" t="s">
        <v>6174</v>
      </c>
      <c r="F612" s="15" t="s">
        <v>6175</v>
      </c>
      <c r="G612" s="15" t="s">
        <v>6176</v>
      </c>
      <c r="H612" s="15" t="s">
        <v>6177</v>
      </c>
      <c r="I612" s="15"/>
      <c r="J612" s="15" t="s">
        <v>809</v>
      </c>
      <c r="K612" s="15" t="s">
        <v>735</v>
      </c>
      <c r="L612" s="15" t="s">
        <v>6178</v>
      </c>
      <c r="M612" s="15" t="s">
        <v>6179</v>
      </c>
      <c r="N612" s="15" t="s">
        <v>73</v>
      </c>
      <c r="O612" s="16" t="n">
        <v>0</v>
      </c>
      <c r="P612" s="16" t="n">
        <v>0</v>
      </c>
      <c r="Q612" s="16" t="n">
        <v>0</v>
      </c>
      <c r="R612" s="16" t="n">
        <v>0</v>
      </c>
      <c r="S612" s="16" t="n">
        <v>0</v>
      </c>
      <c r="T612" s="17" t="n">
        <f aca="false">AVERAGE(O612:Q612)</f>
        <v>0</v>
      </c>
      <c r="U612" s="18" t="str">
        <f aca="false">IF(T612&gt;=$H$3,"Eligible","Not Eligible")</f>
        <v>Not Eligible</v>
      </c>
      <c r="V612" s="19" t="n">
        <f aca="false">IF(T612&lt;$H$3,0,IFERROR(T612/SUMIF($T$5:$T$999,"&gt;="&amp;$H$3),0))</f>
        <v>0</v>
      </c>
      <c r="W612" s="15" t="str">
        <f aca="false">IF(T612=0,"Win-Back","Active")</f>
        <v>Win-Back</v>
      </c>
      <c r="X612" s="20" t="n">
        <f aca="false">IF(T612=0,0,IF(T612&gt;=$H$3,ROUND(T612*$D$3/SUMIF($T$5:$T$999,"&gt;="&amp;$H$3),0),ROUNDUP(T612*$D$3/SUMIF($T$5:$T$999,"&gt;="&amp;$H$3),0)))</f>
        <v>0</v>
      </c>
      <c r="Y612" s="21"/>
      <c r="Z612" s="16" t="str">
        <f aca="false">IF(X612=0,"",X612-Y612)</f>
        <v/>
      </c>
      <c r="AA612" s="22" t="str">
        <f aca="false">IFERROR(Y612/X612,"")</f>
        <v/>
      </c>
      <c r="AB612" s="16" t="n">
        <v>0</v>
      </c>
      <c r="AC612" s="21"/>
    </row>
    <row r="613" customFormat="false" ht="15" hidden="false" customHeight="true" outlineLevel="0" collapsed="false">
      <c r="A613" s="15" t="s">
        <v>6180</v>
      </c>
      <c r="B613" s="15" t="s">
        <v>6181</v>
      </c>
      <c r="C613" s="15" t="s">
        <v>6182</v>
      </c>
      <c r="D613" s="15" t="s">
        <v>6183</v>
      </c>
      <c r="E613" s="15" t="s">
        <v>6184</v>
      </c>
      <c r="F613" s="15" t="s">
        <v>6185</v>
      </c>
      <c r="G613" s="15" t="s">
        <v>6186</v>
      </c>
      <c r="H613" s="15" t="s">
        <v>6187</v>
      </c>
      <c r="I613" s="15"/>
      <c r="J613" s="15" t="s">
        <v>6188</v>
      </c>
      <c r="K613" s="15" t="s">
        <v>2839</v>
      </c>
      <c r="L613" s="15" t="s">
        <v>6189</v>
      </c>
      <c r="M613" s="15" t="s">
        <v>6190</v>
      </c>
      <c r="N613" s="15" t="s">
        <v>73</v>
      </c>
      <c r="O613" s="16" t="n">
        <v>0</v>
      </c>
      <c r="P613" s="16" t="n">
        <v>0</v>
      </c>
      <c r="Q613" s="16" t="n">
        <v>0</v>
      </c>
      <c r="R613" s="16" t="n">
        <v>0</v>
      </c>
      <c r="S613" s="16" t="n">
        <v>0</v>
      </c>
      <c r="T613" s="17" t="n">
        <f aca="false">AVERAGE(O613:Q613)</f>
        <v>0</v>
      </c>
      <c r="U613" s="18" t="str">
        <f aca="false">IF(T613&gt;=$H$3,"Eligible","Not Eligible")</f>
        <v>Not Eligible</v>
      </c>
      <c r="V613" s="19" t="n">
        <f aca="false">IF(T613&lt;$H$3,0,IFERROR(T613/SUMIF($T$5:$T$999,"&gt;="&amp;$H$3),0))</f>
        <v>0</v>
      </c>
      <c r="W613" s="15" t="str">
        <f aca="false">IF(T613=0,"Win-Back","Active")</f>
        <v>Win-Back</v>
      </c>
      <c r="X613" s="20" t="n">
        <f aca="false">IF(T613=0,0,IF(T613&gt;=$H$3,ROUND(T613*$D$3/SUMIF($T$5:$T$999,"&gt;="&amp;$H$3),0),ROUNDUP(T613*$D$3/SUMIF($T$5:$T$999,"&gt;="&amp;$H$3),0)))</f>
        <v>0</v>
      </c>
      <c r="Y613" s="21"/>
      <c r="Z613" s="16" t="str">
        <f aca="false">IF(X613=0,"",X613-Y613)</f>
        <v/>
      </c>
      <c r="AA613" s="22" t="str">
        <f aca="false">IFERROR(Y613/X613,"")</f>
        <v/>
      </c>
      <c r="AB613" s="16" t="n">
        <v>0</v>
      </c>
      <c r="AC613" s="21"/>
    </row>
    <row r="614" customFormat="false" ht="15" hidden="false" customHeight="true" outlineLevel="0" collapsed="false">
      <c r="A614" s="15" t="s">
        <v>6191</v>
      </c>
      <c r="B614" s="15" t="s">
        <v>6192</v>
      </c>
      <c r="C614" s="15" t="s">
        <v>6193</v>
      </c>
      <c r="D614" s="15" t="s">
        <v>6194</v>
      </c>
      <c r="E614" s="15" t="s">
        <v>6195</v>
      </c>
      <c r="F614" s="15" t="s">
        <v>6196</v>
      </c>
      <c r="G614" s="15" t="s">
        <v>6197</v>
      </c>
      <c r="H614" s="15" t="s">
        <v>6198</v>
      </c>
      <c r="I614" s="15"/>
      <c r="J614" s="15" t="s">
        <v>991</v>
      </c>
      <c r="K614" s="15" t="s">
        <v>368</v>
      </c>
      <c r="L614" s="15" t="s">
        <v>6199</v>
      </c>
      <c r="M614" s="15" t="s">
        <v>6200</v>
      </c>
      <c r="N614" s="15" t="s">
        <v>73</v>
      </c>
      <c r="O614" s="16" t="n">
        <v>0</v>
      </c>
      <c r="P614" s="16" t="n">
        <v>0</v>
      </c>
      <c r="Q614" s="16" t="n">
        <v>0</v>
      </c>
      <c r="R614" s="16" t="n">
        <v>0</v>
      </c>
      <c r="S614" s="16" t="n">
        <v>0</v>
      </c>
      <c r="T614" s="17" t="n">
        <f aca="false">AVERAGE(O614:Q614)</f>
        <v>0</v>
      </c>
      <c r="U614" s="18" t="str">
        <f aca="false">IF(T614&gt;=$H$3,"Eligible","Not Eligible")</f>
        <v>Not Eligible</v>
      </c>
      <c r="V614" s="19" t="n">
        <f aca="false">IF(T614&lt;$H$3,0,IFERROR(T614/SUMIF($T$5:$T$999,"&gt;="&amp;$H$3),0))</f>
        <v>0</v>
      </c>
      <c r="W614" s="15" t="str">
        <f aca="false">IF(T614=0,"Win-Back","Active")</f>
        <v>Win-Back</v>
      </c>
      <c r="X614" s="20" t="n">
        <f aca="false">IF(T614=0,0,IF(T614&gt;=$H$3,ROUND(T614*$D$3/SUMIF($T$5:$T$999,"&gt;="&amp;$H$3),0),ROUNDUP(T614*$D$3/SUMIF($T$5:$T$999,"&gt;="&amp;$H$3),0)))</f>
        <v>0</v>
      </c>
      <c r="Y614" s="21" t="n">
        <v>1</v>
      </c>
      <c r="Z614" s="16" t="str">
        <f aca="false">IF(X614=0,"",X614-Y614)</f>
        <v/>
      </c>
      <c r="AA614" s="22" t="str">
        <f aca="false">IFERROR(Y614/X614,"")</f>
        <v/>
      </c>
      <c r="AB614" s="16" t="n">
        <v>0</v>
      </c>
      <c r="AC614" s="21"/>
    </row>
    <row r="615" customFormat="false" ht="15" hidden="false" customHeight="true" outlineLevel="0" collapsed="false">
      <c r="A615" s="15" t="s">
        <v>6201</v>
      </c>
      <c r="B615" s="15" t="s">
        <v>6202</v>
      </c>
      <c r="C615" s="15" t="s">
        <v>6203</v>
      </c>
      <c r="D615" s="15" t="s">
        <v>6204</v>
      </c>
      <c r="E615" s="15" t="s">
        <v>6205</v>
      </c>
      <c r="F615" s="15" t="s">
        <v>6206</v>
      </c>
      <c r="G615" s="15" t="s">
        <v>6207</v>
      </c>
      <c r="H615" s="15" t="s">
        <v>6208</v>
      </c>
      <c r="I615" s="15"/>
      <c r="J615" s="15" t="s">
        <v>2688</v>
      </c>
      <c r="K615" s="15" t="s">
        <v>368</v>
      </c>
      <c r="L615" s="15" t="s">
        <v>6209</v>
      </c>
      <c r="M615" s="15" t="s">
        <v>6210</v>
      </c>
      <c r="N615" s="15" t="s">
        <v>73</v>
      </c>
      <c r="O615" s="16" t="n">
        <v>0</v>
      </c>
      <c r="P615" s="16" t="n">
        <v>0</v>
      </c>
      <c r="Q615" s="16" t="n">
        <v>0</v>
      </c>
      <c r="R615" s="16" t="n">
        <v>0</v>
      </c>
      <c r="S615" s="16" t="n">
        <v>0</v>
      </c>
      <c r="T615" s="17" t="n">
        <f aca="false">AVERAGE(O615:Q615)</f>
        <v>0</v>
      </c>
      <c r="U615" s="18" t="str">
        <f aca="false">IF(T615&gt;=$H$3,"Eligible","Not Eligible")</f>
        <v>Not Eligible</v>
      </c>
      <c r="V615" s="19" t="n">
        <f aca="false">IF(T615&lt;$H$3,0,IFERROR(T615/SUMIF($T$5:$T$999,"&gt;="&amp;$H$3),0))</f>
        <v>0</v>
      </c>
      <c r="W615" s="15" t="str">
        <f aca="false">IF(T615=0,"Win-Back","Active")</f>
        <v>Win-Back</v>
      </c>
      <c r="X615" s="20" t="n">
        <f aca="false">IF(T615=0,0,IF(T615&gt;=$H$3,ROUND(T615*$D$3/SUMIF($T$5:$T$999,"&gt;="&amp;$H$3),0),ROUNDUP(T615*$D$3/SUMIF($T$5:$T$999,"&gt;="&amp;$H$3),0)))</f>
        <v>0</v>
      </c>
      <c r="Y615" s="21"/>
      <c r="Z615" s="16" t="str">
        <f aca="false">IF(X615=0,"",X615-Y615)</f>
        <v/>
      </c>
      <c r="AA615" s="22" t="str">
        <f aca="false">IFERROR(Y615/X615,"")</f>
        <v/>
      </c>
      <c r="AB615" s="16" t="n">
        <v>0</v>
      </c>
      <c r="AC615" s="21"/>
    </row>
    <row r="616" customFormat="false" ht="15" hidden="false" customHeight="true" outlineLevel="0" collapsed="false">
      <c r="A616" s="15" t="s">
        <v>6211</v>
      </c>
      <c r="B616" s="15" t="s">
        <v>6212</v>
      </c>
      <c r="C616" s="15" t="s">
        <v>6213</v>
      </c>
      <c r="D616" s="15" t="s">
        <v>6214</v>
      </c>
      <c r="E616" s="15" t="s">
        <v>6215</v>
      </c>
      <c r="F616" s="15" t="s">
        <v>6216</v>
      </c>
      <c r="G616" s="15" t="s">
        <v>6217</v>
      </c>
      <c r="H616" s="15" t="s">
        <v>6218</v>
      </c>
      <c r="I616" s="15"/>
      <c r="J616" s="15" t="s">
        <v>6219</v>
      </c>
      <c r="K616" s="15" t="s">
        <v>1222</v>
      </c>
      <c r="L616" s="15" t="s">
        <v>6220</v>
      </c>
      <c r="M616" s="15" t="s">
        <v>6221</v>
      </c>
      <c r="N616" s="15" t="s">
        <v>73</v>
      </c>
      <c r="O616" s="16" t="n">
        <v>0</v>
      </c>
      <c r="P616" s="16" t="n">
        <v>0</v>
      </c>
      <c r="Q616" s="16" t="n">
        <v>0</v>
      </c>
      <c r="R616" s="16" t="n">
        <v>0</v>
      </c>
      <c r="S616" s="16" t="n">
        <v>0</v>
      </c>
      <c r="T616" s="17" t="n">
        <f aca="false">AVERAGE(O616:Q616)</f>
        <v>0</v>
      </c>
      <c r="U616" s="18" t="str">
        <f aca="false">IF(T616&gt;=$H$3,"Eligible","Not Eligible")</f>
        <v>Not Eligible</v>
      </c>
      <c r="V616" s="19" t="n">
        <f aca="false">IF(T616&lt;$H$3,0,IFERROR(T616/SUMIF($T$5:$T$999,"&gt;="&amp;$H$3),0))</f>
        <v>0</v>
      </c>
      <c r="W616" s="15" t="str">
        <f aca="false">IF(T616=0,"Win-Back","Active")</f>
        <v>Win-Back</v>
      </c>
      <c r="X616" s="20" t="n">
        <f aca="false">IF(T616=0,0,IF(T616&gt;=$H$3,ROUND(T616*$D$3/SUMIF($T$5:$T$999,"&gt;="&amp;$H$3),0),ROUNDUP(T616*$D$3/SUMIF($T$5:$T$999,"&gt;="&amp;$H$3),0)))</f>
        <v>0</v>
      </c>
      <c r="Y616" s="21"/>
      <c r="Z616" s="16" t="str">
        <f aca="false">IF(X616=0,"",X616-Y616)</f>
        <v/>
      </c>
      <c r="AA616" s="22" t="str">
        <f aca="false">IFERROR(Y616/X616,"")</f>
        <v/>
      </c>
      <c r="AB616" s="16" t="n">
        <v>0</v>
      </c>
      <c r="AC616" s="21"/>
    </row>
    <row r="617" customFormat="false" ht="15" hidden="false" customHeight="true" outlineLevel="0" collapsed="false">
      <c r="A617" s="15" t="s">
        <v>6222</v>
      </c>
      <c r="B617" s="15" t="s">
        <v>6223</v>
      </c>
      <c r="C617" s="15" t="s">
        <v>6224</v>
      </c>
      <c r="D617" s="15" t="s">
        <v>6225</v>
      </c>
      <c r="E617" s="15" t="s">
        <v>6226</v>
      </c>
      <c r="F617" s="15" t="s">
        <v>6227</v>
      </c>
      <c r="G617" s="15" t="s">
        <v>6228</v>
      </c>
      <c r="H617" s="15" t="s">
        <v>6229</v>
      </c>
      <c r="I617" s="15"/>
      <c r="J617" s="15" t="s">
        <v>6230</v>
      </c>
      <c r="K617" s="15" t="s">
        <v>2839</v>
      </c>
      <c r="L617" s="15" t="s">
        <v>6231</v>
      </c>
      <c r="M617" s="15" t="s">
        <v>6232</v>
      </c>
      <c r="N617" s="15" t="s">
        <v>73</v>
      </c>
      <c r="O617" s="16" t="n">
        <v>0</v>
      </c>
      <c r="P617" s="16" t="n">
        <v>0</v>
      </c>
      <c r="Q617" s="16" t="n">
        <v>0</v>
      </c>
      <c r="R617" s="16" t="n">
        <v>0</v>
      </c>
      <c r="S617" s="16" t="n">
        <v>0</v>
      </c>
      <c r="T617" s="17" t="n">
        <f aca="false">AVERAGE(O617:Q617)</f>
        <v>0</v>
      </c>
      <c r="U617" s="18" t="str">
        <f aca="false">IF(T617&gt;=$H$3,"Eligible","Not Eligible")</f>
        <v>Not Eligible</v>
      </c>
      <c r="V617" s="19" t="n">
        <f aca="false">IF(T617&lt;$H$3,0,IFERROR(T617/SUMIF($T$5:$T$999,"&gt;="&amp;$H$3),0))</f>
        <v>0</v>
      </c>
      <c r="W617" s="15" t="str">
        <f aca="false">IF(T617=0,"Win-Back","Active")</f>
        <v>Win-Back</v>
      </c>
      <c r="X617" s="20" t="n">
        <f aca="false">IF(T617=0,0,IF(T617&gt;=$H$3,ROUND(T617*$D$3/SUMIF($T$5:$T$999,"&gt;="&amp;$H$3),0),ROUNDUP(T617*$D$3/SUMIF($T$5:$T$999,"&gt;="&amp;$H$3),0)))</f>
        <v>0</v>
      </c>
      <c r="Y617" s="21"/>
      <c r="Z617" s="16" t="str">
        <f aca="false">IF(X617=0,"",X617-Y617)</f>
        <v/>
      </c>
      <c r="AA617" s="22" t="str">
        <f aca="false">IFERROR(Y617/X617,"")</f>
        <v/>
      </c>
      <c r="AB617" s="16" t="n">
        <v>0</v>
      </c>
      <c r="AC617" s="21"/>
    </row>
    <row r="618" customFormat="false" ht="15" hidden="false" customHeight="true" outlineLevel="0" collapsed="false">
      <c r="A618" s="15" t="s">
        <v>6233</v>
      </c>
      <c r="B618" s="15" t="s">
        <v>6234</v>
      </c>
      <c r="C618" s="15" t="s">
        <v>6235</v>
      </c>
      <c r="D618" s="15" t="s">
        <v>6236</v>
      </c>
      <c r="E618" s="15" t="s">
        <v>6236</v>
      </c>
      <c r="F618" s="15" t="s">
        <v>6237</v>
      </c>
      <c r="G618" s="15" t="s">
        <v>6238</v>
      </c>
      <c r="H618" s="15" t="s">
        <v>6239</v>
      </c>
      <c r="I618" s="15"/>
      <c r="J618" s="15" t="s">
        <v>6240</v>
      </c>
      <c r="K618" s="15" t="s">
        <v>2839</v>
      </c>
      <c r="L618" s="15" t="s">
        <v>6241</v>
      </c>
      <c r="M618" s="15" t="s">
        <v>6242</v>
      </c>
      <c r="N618" s="15" t="s">
        <v>73</v>
      </c>
      <c r="O618" s="16" t="n">
        <v>0</v>
      </c>
      <c r="P618" s="16" t="n">
        <v>0</v>
      </c>
      <c r="Q618" s="16" t="n">
        <v>0</v>
      </c>
      <c r="R618" s="16" t="n">
        <v>0</v>
      </c>
      <c r="S618" s="16" t="n">
        <v>0</v>
      </c>
      <c r="T618" s="17" t="n">
        <f aca="false">AVERAGE(O618:Q618)</f>
        <v>0</v>
      </c>
      <c r="U618" s="18" t="str">
        <f aca="false">IF(T618&gt;=$H$3,"Eligible","Not Eligible")</f>
        <v>Not Eligible</v>
      </c>
      <c r="V618" s="19" t="n">
        <f aca="false">IF(T618&lt;$H$3,0,IFERROR(T618/SUMIF($T$5:$T$999,"&gt;="&amp;$H$3),0))</f>
        <v>0</v>
      </c>
      <c r="W618" s="15" t="str">
        <f aca="false">IF(T618=0,"Win-Back","Active")</f>
        <v>Win-Back</v>
      </c>
      <c r="X618" s="20" t="n">
        <f aca="false">IF(T618=0,0,IF(T618&gt;=$H$3,ROUND(T618*$D$3/SUMIF($T$5:$T$999,"&gt;="&amp;$H$3),0),ROUNDUP(T618*$D$3/SUMIF($T$5:$T$999,"&gt;="&amp;$H$3),0)))</f>
        <v>0</v>
      </c>
      <c r="Y618" s="21"/>
      <c r="Z618" s="16" t="str">
        <f aca="false">IF(X618=0,"",X618-Y618)</f>
        <v/>
      </c>
      <c r="AA618" s="22" t="str">
        <f aca="false">IFERROR(Y618/X618,"")</f>
        <v/>
      </c>
      <c r="AB618" s="16" t="n">
        <v>0</v>
      </c>
      <c r="AC618" s="21"/>
    </row>
    <row r="619" customFormat="false" ht="15" hidden="false" customHeight="true" outlineLevel="0" collapsed="false">
      <c r="A619" s="15" t="s">
        <v>6243</v>
      </c>
      <c r="B619" s="15" t="s">
        <v>6244</v>
      </c>
      <c r="C619" s="15" t="s">
        <v>6245</v>
      </c>
      <c r="D619" s="15" t="s">
        <v>6246</v>
      </c>
      <c r="E619" s="15" t="s">
        <v>6247</v>
      </c>
      <c r="F619" s="15" t="s">
        <v>6248</v>
      </c>
      <c r="G619" s="15" t="s">
        <v>6249</v>
      </c>
      <c r="H619" s="15" t="s">
        <v>6250</v>
      </c>
      <c r="I619" s="15"/>
      <c r="J619" s="15" t="s">
        <v>991</v>
      </c>
      <c r="K619" s="15" t="s">
        <v>368</v>
      </c>
      <c r="L619" s="15" t="s">
        <v>6251</v>
      </c>
      <c r="M619" s="15" t="s">
        <v>6252</v>
      </c>
      <c r="N619" s="15" t="s">
        <v>73</v>
      </c>
      <c r="O619" s="16" t="n">
        <v>0</v>
      </c>
      <c r="P619" s="16" t="n">
        <v>0</v>
      </c>
      <c r="Q619" s="16" t="n">
        <v>0</v>
      </c>
      <c r="R619" s="16" t="n">
        <v>0</v>
      </c>
      <c r="S619" s="16" t="n">
        <v>0</v>
      </c>
      <c r="T619" s="17" t="n">
        <f aca="false">AVERAGE(O619:Q619)</f>
        <v>0</v>
      </c>
      <c r="U619" s="18" t="str">
        <f aca="false">IF(T619&gt;=$H$3,"Eligible","Not Eligible")</f>
        <v>Not Eligible</v>
      </c>
      <c r="V619" s="19" t="n">
        <f aca="false">IF(T619&lt;$H$3,0,IFERROR(T619/SUMIF($T$5:$T$999,"&gt;="&amp;$H$3),0))</f>
        <v>0</v>
      </c>
      <c r="W619" s="15" t="str">
        <f aca="false">IF(T619=0,"Win-Back","Active")</f>
        <v>Win-Back</v>
      </c>
      <c r="X619" s="20" t="n">
        <f aca="false">IF(T619=0,0,IF(T619&gt;=$H$3,ROUND(T619*$D$3/SUMIF($T$5:$T$999,"&gt;="&amp;$H$3),0),ROUNDUP(T619*$D$3/SUMIF($T$5:$T$999,"&gt;="&amp;$H$3),0)))</f>
        <v>0</v>
      </c>
      <c r="Y619" s="21"/>
      <c r="Z619" s="16" t="str">
        <f aca="false">IF(X619=0,"",X619-Y619)</f>
        <v/>
      </c>
      <c r="AA619" s="22" t="str">
        <f aca="false">IFERROR(Y619/X619,"")</f>
        <v/>
      </c>
      <c r="AB619" s="16" t="n">
        <v>0</v>
      </c>
      <c r="AC619" s="21"/>
    </row>
    <row r="620" customFormat="false" ht="15" hidden="false" customHeight="true" outlineLevel="0" collapsed="false">
      <c r="A620" s="15" t="s">
        <v>6253</v>
      </c>
      <c r="B620" s="15" t="s">
        <v>6254</v>
      </c>
      <c r="C620" s="15" t="s">
        <v>6255</v>
      </c>
      <c r="D620" s="15" t="s">
        <v>6256</v>
      </c>
      <c r="E620" s="15" t="s">
        <v>6257</v>
      </c>
      <c r="F620" s="15" t="s">
        <v>6258</v>
      </c>
      <c r="G620" s="15" t="s">
        <v>6259</v>
      </c>
      <c r="H620" s="15" t="s">
        <v>6260</v>
      </c>
      <c r="I620" s="15"/>
      <c r="J620" s="15" t="s">
        <v>6261</v>
      </c>
      <c r="K620" s="15" t="s">
        <v>1200</v>
      </c>
      <c r="L620" s="15" t="s">
        <v>6262</v>
      </c>
      <c r="M620" s="15" t="s">
        <v>6263</v>
      </c>
      <c r="N620" s="15" t="s">
        <v>73</v>
      </c>
      <c r="O620" s="16" t="n">
        <v>0</v>
      </c>
      <c r="P620" s="16" t="n">
        <v>0</v>
      </c>
      <c r="Q620" s="16" t="n">
        <v>0</v>
      </c>
      <c r="R620" s="16" t="n">
        <v>0</v>
      </c>
      <c r="S620" s="16" t="n">
        <v>0</v>
      </c>
      <c r="T620" s="17" t="n">
        <f aca="false">AVERAGE(O620:Q620)</f>
        <v>0</v>
      </c>
      <c r="U620" s="18" t="str">
        <f aca="false">IF(T620&gt;=$H$3,"Eligible","Not Eligible")</f>
        <v>Not Eligible</v>
      </c>
      <c r="V620" s="19" t="n">
        <f aca="false">IF(T620&lt;$H$3,0,IFERROR(T620/SUMIF($T$5:$T$999,"&gt;="&amp;$H$3),0))</f>
        <v>0</v>
      </c>
      <c r="W620" s="15" t="str">
        <f aca="false">IF(T620=0,"Win-Back","Active")</f>
        <v>Win-Back</v>
      </c>
      <c r="X620" s="20" t="n">
        <f aca="false">IF(T620=0,0,IF(T620&gt;=$H$3,ROUND(T620*$D$3/SUMIF($T$5:$T$999,"&gt;="&amp;$H$3),0),ROUNDUP(T620*$D$3/SUMIF($T$5:$T$999,"&gt;="&amp;$H$3),0)))</f>
        <v>0</v>
      </c>
      <c r="Y620" s="21"/>
      <c r="Z620" s="16" t="str">
        <f aca="false">IF(X620=0,"",X620-Y620)</f>
        <v/>
      </c>
      <c r="AA620" s="22" t="str">
        <f aca="false">IFERROR(Y620/X620,"")</f>
        <v/>
      </c>
      <c r="AB620" s="16" t="n">
        <v>0</v>
      </c>
      <c r="AC620" s="21"/>
    </row>
    <row r="621" customFormat="false" ht="15" hidden="false" customHeight="true" outlineLevel="0" collapsed="false">
      <c r="A621" s="15" t="s">
        <v>6264</v>
      </c>
      <c r="B621" s="15" t="s">
        <v>6265</v>
      </c>
      <c r="C621" s="15" t="s">
        <v>6266</v>
      </c>
      <c r="D621" s="15" t="s">
        <v>6267</v>
      </c>
      <c r="E621" s="15" t="s">
        <v>5757</v>
      </c>
      <c r="F621" s="15" t="s">
        <v>5758</v>
      </c>
      <c r="G621" s="15" t="s">
        <v>5759</v>
      </c>
      <c r="H621" s="15" t="s">
        <v>6268</v>
      </c>
      <c r="I621" s="15"/>
      <c r="J621" s="15" t="s">
        <v>1450</v>
      </c>
      <c r="K621" s="15" t="s">
        <v>70</v>
      </c>
      <c r="L621" s="15" t="s">
        <v>6269</v>
      </c>
      <c r="M621" s="15" t="s">
        <v>5761</v>
      </c>
      <c r="N621" s="15" t="s">
        <v>73</v>
      </c>
      <c r="O621" s="16" t="n">
        <v>0</v>
      </c>
      <c r="P621" s="16" t="n">
        <v>0</v>
      </c>
      <c r="Q621" s="16" t="n">
        <v>0</v>
      </c>
      <c r="R621" s="16" t="n">
        <v>0</v>
      </c>
      <c r="S621" s="16" t="n">
        <v>0</v>
      </c>
      <c r="T621" s="17" t="n">
        <f aca="false">AVERAGE(O621:Q621)</f>
        <v>0</v>
      </c>
      <c r="U621" s="18" t="str">
        <f aca="false">IF(T621&gt;=$H$3,"Eligible","Not Eligible")</f>
        <v>Not Eligible</v>
      </c>
      <c r="V621" s="19" t="n">
        <f aca="false">IF(T621&lt;$H$3,0,IFERROR(T621/SUMIF($T$5:$T$999,"&gt;="&amp;$H$3),0))</f>
        <v>0</v>
      </c>
      <c r="W621" s="15" t="str">
        <f aca="false">IF(T621=0,"Win-Back","Active")</f>
        <v>Win-Back</v>
      </c>
      <c r="X621" s="20" t="n">
        <f aca="false">IF(T621=0,0,IF(T621&gt;=$H$3,ROUND(T621*$D$3/SUMIF($T$5:$T$999,"&gt;="&amp;$H$3),0),ROUNDUP(T621*$D$3/SUMIF($T$5:$T$999,"&gt;="&amp;$H$3),0)))</f>
        <v>0</v>
      </c>
      <c r="Y621" s="21"/>
      <c r="Z621" s="16" t="str">
        <f aca="false">IF(X621=0,"",X621-Y621)</f>
        <v/>
      </c>
      <c r="AA621" s="22" t="str">
        <f aca="false">IFERROR(Y621/X621,"")</f>
        <v/>
      </c>
      <c r="AB621" s="16" t="n">
        <v>0</v>
      </c>
      <c r="AC621" s="21"/>
    </row>
    <row r="622" customFormat="false" ht="15" hidden="false" customHeight="true" outlineLevel="0" collapsed="false">
      <c r="A622" s="15"/>
      <c r="B622" s="15"/>
      <c r="C622" s="15" t="s">
        <v>6270</v>
      </c>
      <c r="D622" s="15" t="s">
        <v>6271</v>
      </c>
      <c r="E622" s="15" t="s">
        <v>6272</v>
      </c>
      <c r="F622" s="15"/>
      <c r="G622" s="15"/>
      <c r="H622" s="15" t="s">
        <v>6273</v>
      </c>
      <c r="I622" s="15"/>
      <c r="J622" s="15" t="s">
        <v>6274</v>
      </c>
      <c r="K622" s="15" t="s">
        <v>864</v>
      </c>
      <c r="L622" s="15" t="s">
        <v>6275</v>
      </c>
      <c r="M622" s="15" t="s">
        <v>4617</v>
      </c>
      <c r="N622" s="15" t="s">
        <v>346</v>
      </c>
      <c r="O622" s="16" t="n">
        <v>0</v>
      </c>
      <c r="P622" s="16" t="n">
        <v>0</v>
      </c>
      <c r="Q622" s="16" t="n">
        <v>0</v>
      </c>
      <c r="R622" s="16" t="n">
        <v>0</v>
      </c>
      <c r="S622" s="16" t="n">
        <v>0</v>
      </c>
      <c r="T622" s="17" t="n">
        <f aca="false">AVERAGE(O622:Q622)</f>
        <v>0</v>
      </c>
      <c r="U622" s="18" t="str">
        <f aca="false">IF(T622&gt;=$H$3,"Eligible","Not Eligible")</f>
        <v>Not Eligible</v>
      </c>
      <c r="V622" s="19" t="n">
        <f aca="false">IF(T622&lt;$H$3,0,IFERROR(T622/SUMIF($T$5:$T$999,"&gt;="&amp;$H$3),0))</f>
        <v>0</v>
      </c>
      <c r="W622" s="15" t="str">
        <f aca="false">IF(T622=0,"Win-Back","Active")</f>
        <v>Win-Back</v>
      </c>
      <c r="X622" s="20" t="n">
        <f aca="false">IF(T622=0,0,IF(T622&gt;=$H$3,ROUND(T622*$D$3/SUMIF($T$5:$T$999,"&gt;="&amp;$H$3),0),ROUNDUP(T622*$D$3/SUMIF($T$5:$T$999,"&gt;="&amp;$H$3),0)))</f>
        <v>0</v>
      </c>
      <c r="Y622" s="21"/>
      <c r="Z622" s="16" t="str">
        <f aca="false">IF(X622=0,"",X622-Y622)</f>
        <v/>
      </c>
      <c r="AA622" s="22" t="str">
        <f aca="false">IFERROR(Y622/X622,"")</f>
        <v/>
      </c>
      <c r="AB622" s="16" t="n">
        <v>0</v>
      </c>
      <c r="AC622" s="21"/>
    </row>
    <row r="623" customFormat="false" ht="15" hidden="false" customHeight="true" outlineLevel="0" collapsed="false">
      <c r="A623" s="15"/>
      <c r="B623" s="15"/>
      <c r="C623" s="15" t="s">
        <v>6276</v>
      </c>
      <c r="D623" s="15" t="s">
        <v>6271</v>
      </c>
      <c r="E623" s="15" t="s">
        <v>6272</v>
      </c>
      <c r="F623" s="15"/>
      <c r="G623" s="15"/>
      <c r="H623" s="15" t="s">
        <v>6277</v>
      </c>
      <c r="I623" s="15"/>
      <c r="J623" s="15" t="s">
        <v>6278</v>
      </c>
      <c r="K623" s="15" t="s">
        <v>6279</v>
      </c>
      <c r="L623" s="15" t="s">
        <v>6280</v>
      </c>
      <c r="M623" s="15" t="s">
        <v>4617</v>
      </c>
      <c r="N623" s="15" t="s">
        <v>346</v>
      </c>
      <c r="O623" s="16" t="n">
        <v>0</v>
      </c>
      <c r="P623" s="16" t="n">
        <v>0</v>
      </c>
      <c r="Q623" s="16" t="n">
        <v>0</v>
      </c>
      <c r="R623" s="16" t="n">
        <v>0</v>
      </c>
      <c r="S623" s="16" t="n">
        <v>0</v>
      </c>
      <c r="T623" s="17" t="n">
        <f aca="false">AVERAGE(O623:Q623)</f>
        <v>0</v>
      </c>
      <c r="U623" s="18" t="str">
        <f aca="false">IF(T623&gt;=$H$3,"Eligible","Not Eligible")</f>
        <v>Not Eligible</v>
      </c>
      <c r="V623" s="19" t="n">
        <f aca="false">IF(T623&lt;$H$3,0,IFERROR(T623/SUMIF($T$5:$T$999,"&gt;="&amp;$H$3),0))</f>
        <v>0</v>
      </c>
      <c r="W623" s="15" t="str">
        <f aca="false">IF(T623=0,"Win-Back","Active")</f>
        <v>Win-Back</v>
      </c>
      <c r="X623" s="20" t="n">
        <f aca="false">IF(T623=0,0,IF(T623&gt;=$H$3,ROUND(T623*$D$3/SUMIF($T$5:$T$999,"&gt;="&amp;$H$3),0),ROUNDUP(T623*$D$3/SUMIF($T$5:$T$999,"&gt;="&amp;$H$3),0)))</f>
        <v>0</v>
      </c>
      <c r="Y623" s="21"/>
      <c r="Z623" s="16" t="str">
        <f aca="false">IF(X623=0,"",X623-Y623)</f>
        <v/>
      </c>
      <c r="AA623" s="22" t="str">
        <f aca="false">IFERROR(Y623/X623,"")</f>
        <v/>
      </c>
      <c r="AB623" s="16" t="n">
        <v>0</v>
      </c>
      <c r="AC623" s="21"/>
    </row>
    <row r="624" customFormat="false" ht="15" hidden="false" customHeight="true" outlineLevel="0" collapsed="false">
      <c r="A624" s="15"/>
      <c r="B624" s="15"/>
      <c r="C624" s="15" t="s">
        <v>6281</v>
      </c>
      <c r="D624" s="15" t="s">
        <v>6271</v>
      </c>
      <c r="E624" s="15" t="s">
        <v>6272</v>
      </c>
      <c r="F624" s="15"/>
      <c r="G624" s="15"/>
      <c r="H624" s="15" t="s">
        <v>6282</v>
      </c>
      <c r="I624" s="15"/>
      <c r="J624" s="15" t="s">
        <v>6283</v>
      </c>
      <c r="K624" s="15" t="s">
        <v>2098</v>
      </c>
      <c r="L624" s="15" t="s">
        <v>6284</v>
      </c>
      <c r="M624" s="15" t="s">
        <v>4617</v>
      </c>
      <c r="N624" s="15" t="s">
        <v>346</v>
      </c>
      <c r="O624" s="16" t="n">
        <v>0</v>
      </c>
      <c r="P624" s="16" t="n">
        <v>0</v>
      </c>
      <c r="Q624" s="16" t="n">
        <v>0</v>
      </c>
      <c r="R624" s="16" t="n">
        <v>0</v>
      </c>
      <c r="S624" s="16" t="n">
        <v>0</v>
      </c>
      <c r="T624" s="17" t="n">
        <f aca="false">AVERAGE(O624:Q624)</f>
        <v>0</v>
      </c>
      <c r="U624" s="18" t="str">
        <f aca="false">IF(T624&gt;=$H$3,"Eligible","Not Eligible")</f>
        <v>Not Eligible</v>
      </c>
      <c r="V624" s="19" t="n">
        <f aca="false">IF(T624&lt;$H$3,0,IFERROR(T624/SUMIF($T$5:$T$999,"&gt;="&amp;$H$3),0))</f>
        <v>0</v>
      </c>
      <c r="W624" s="15" t="str">
        <f aca="false">IF(T624=0,"Win-Back","Active")</f>
        <v>Win-Back</v>
      </c>
      <c r="X624" s="20" t="n">
        <f aca="false">IF(T624=0,0,IF(T624&gt;=$H$3,ROUND(T624*$D$3/SUMIF($T$5:$T$999,"&gt;="&amp;$H$3),0),ROUNDUP(T624*$D$3/SUMIF($T$5:$T$999,"&gt;="&amp;$H$3),0)))</f>
        <v>0</v>
      </c>
      <c r="Y624" s="21"/>
      <c r="Z624" s="16" t="str">
        <f aca="false">IF(X624=0,"",X624-Y624)</f>
        <v/>
      </c>
      <c r="AA624" s="22" t="str">
        <f aca="false">IFERROR(Y624/X624,"")</f>
        <v/>
      </c>
      <c r="AB624" s="16" t="n">
        <v>0</v>
      </c>
      <c r="AC624" s="21"/>
    </row>
    <row r="625" customFormat="false" ht="15" hidden="false" customHeight="true" outlineLevel="0" collapsed="false">
      <c r="A625" s="15" t="s">
        <v>6285</v>
      </c>
      <c r="B625" s="15" t="s">
        <v>6286</v>
      </c>
      <c r="C625" s="15" t="s">
        <v>6287</v>
      </c>
      <c r="D625" s="15" t="s">
        <v>6288</v>
      </c>
      <c r="E625" s="15" t="s">
        <v>6289</v>
      </c>
      <c r="F625" s="15" t="s">
        <v>6290</v>
      </c>
      <c r="G625" s="15" t="s">
        <v>6291</v>
      </c>
      <c r="H625" s="15" t="s">
        <v>6292</v>
      </c>
      <c r="I625" s="15" t="s">
        <v>68</v>
      </c>
      <c r="J625" s="15" t="s">
        <v>6293</v>
      </c>
      <c r="K625" s="15" t="s">
        <v>368</v>
      </c>
      <c r="L625" s="15" t="s">
        <v>6294</v>
      </c>
      <c r="M625" s="15" t="s">
        <v>6295</v>
      </c>
      <c r="N625" s="15" t="s">
        <v>73</v>
      </c>
      <c r="O625" s="16" t="n">
        <v>0</v>
      </c>
      <c r="P625" s="16" t="n">
        <v>0</v>
      </c>
      <c r="Q625" s="16" t="n">
        <v>0</v>
      </c>
      <c r="R625" s="16" t="n">
        <v>0</v>
      </c>
      <c r="S625" s="16" t="n">
        <v>0</v>
      </c>
      <c r="T625" s="17" t="n">
        <f aca="false">AVERAGE(O625:Q625)</f>
        <v>0</v>
      </c>
      <c r="U625" s="18" t="str">
        <f aca="false">IF(T625&gt;=$H$3,"Eligible","Not Eligible")</f>
        <v>Not Eligible</v>
      </c>
      <c r="V625" s="19" t="n">
        <f aca="false">IF(T625&lt;$H$3,0,IFERROR(T625/SUMIF($T$5:$T$999,"&gt;="&amp;$H$3),0))</f>
        <v>0</v>
      </c>
      <c r="W625" s="15" t="str">
        <f aca="false">IF(T625=0,"Win-Back","Active")</f>
        <v>Win-Back</v>
      </c>
      <c r="X625" s="20" t="n">
        <f aca="false">IF(T625=0,0,IF(T625&gt;=$H$3,ROUND(T625*$D$3/SUMIF($T$5:$T$999,"&gt;="&amp;$H$3),0),ROUNDUP(T625*$D$3/SUMIF($T$5:$T$999,"&gt;="&amp;$H$3),0)))</f>
        <v>0</v>
      </c>
      <c r="Y625" s="21"/>
      <c r="Z625" s="16" t="str">
        <f aca="false">IF(X625=0,"",X625-Y625)</f>
        <v/>
      </c>
      <c r="AA625" s="22" t="str">
        <f aca="false">IFERROR(Y625/X625,"")</f>
        <v/>
      </c>
      <c r="AB625" s="16" t="n">
        <v>0</v>
      </c>
      <c r="AC625" s="21"/>
    </row>
    <row r="626" customFormat="false" ht="15" hidden="false" customHeight="true" outlineLevel="0" collapsed="false">
      <c r="A626" s="15" t="s">
        <v>6296</v>
      </c>
      <c r="B626" s="15" t="s">
        <v>6297</v>
      </c>
      <c r="C626" s="15" t="s">
        <v>6298</v>
      </c>
      <c r="D626" s="15" t="s">
        <v>6299</v>
      </c>
      <c r="E626" s="15" t="s">
        <v>6300</v>
      </c>
      <c r="F626" s="15" t="s">
        <v>6301</v>
      </c>
      <c r="G626" s="15" t="s">
        <v>6302</v>
      </c>
      <c r="H626" s="15" t="s">
        <v>6303</v>
      </c>
      <c r="I626" s="15"/>
      <c r="J626" s="15" t="s">
        <v>3657</v>
      </c>
      <c r="K626" s="15" t="s">
        <v>1200</v>
      </c>
      <c r="L626" s="15" t="s">
        <v>6304</v>
      </c>
      <c r="M626" s="15" t="s">
        <v>6305</v>
      </c>
      <c r="N626" s="15" t="s">
        <v>73</v>
      </c>
      <c r="O626" s="16" t="n">
        <v>0</v>
      </c>
      <c r="P626" s="16" t="n">
        <v>0</v>
      </c>
      <c r="Q626" s="16" t="n">
        <v>0</v>
      </c>
      <c r="R626" s="16" t="n">
        <v>0</v>
      </c>
      <c r="S626" s="16" t="n">
        <v>0</v>
      </c>
      <c r="T626" s="17" t="n">
        <f aca="false">AVERAGE(O626:Q626)</f>
        <v>0</v>
      </c>
      <c r="U626" s="18" t="str">
        <f aca="false">IF(T626&gt;=$H$3,"Eligible","Not Eligible")</f>
        <v>Not Eligible</v>
      </c>
      <c r="V626" s="19" t="n">
        <f aca="false">IF(T626&lt;$H$3,0,IFERROR(T626/SUMIF($T$5:$T$999,"&gt;="&amp;$H$3),0))</f>
        <v>0</v>
      </c>
      <c r="W626" s="15" t="str">
        <f aca="false">IF(T626=0,"Win-Back","Active")</f>
        <v>Win-Back</v>
      </c>
      <c r="X626" s="20" t="n">
        <f aca="false">IF(T626=0,0,IF(T626&gt;=$H$3,ROUND(T626*$D$3/SUMIF($T$5:$T$999,"&gt;="&amp;$H$3),0),ROUNDUP(T626*$D$3/SUMIF($T$5:$T$999,"&gt;="&amp;$H$3),0)))</f>
        <v>0</v>
      </c>
      <c r="Y626" s="21"/>
      <c r="Z626" s="16" t="str">
        <f aca="false">IF(X626=0,"",X626-Y626)</f>
        <v/>
      </c>
      <c r="AA626" s="22" t="str">
        <f aca="false">IFERROR(Y626/X626,"")</f>
        <v/>
      </c>
      <c r="AB626" s="16" t="n">
        <v>0</v>
      </c>
      <c r="AC626" s="21"/>
    </row>
    <row r="627" customFormat="false" ht="15" hidden="false" customHeight="true" outlineLevel="0" collapsed="false">
      <c r="A627" s="15" t="s">
        <v>6306</v>
      </c>
      <c r="B627" s="15" t="s">
        <v>6307</v>
      </c>
      <c r="C627" s="15" t="s">
        <v>6308</v>
      </c>
      <c r="D627" s="15" t="s">
        <v>6309</v>
      </c>
      <c r="E627" s="15" t="s">
        <v>6310</v>
      </c>
      <c r="F627" s="15" t="s">
        <v>6311</v>
      </c>
      <c r="G627" s="15" t="s">
        <v>6312</v>
      </c>
      <c r="H627" s="15" t="s">
        <v>6313</v>
      </c>
      <c r="I627" s="15"/>
      <c r="J627" s="15" t="s">
        <v>1848</v>
      </c>
      <c r="K627" s="15" t="s">
        <v>402</v>
      </c>
      <c r="L627" s="15" t="s">
        <v>6314</v>
      </c>
      <c r="M627" s="15" t="s">
        <v>6315</v>
      </c>
      <c r="N627" s="15" t="s">
        <v>73</v>
      </c>
      <c r="O627" s="16" t="n">
        <v>0</v>
      </c>
      <c r="P627" s="16" t="n">
        <v>0</v>
      </c>
      <c r="Q627" s="16" t="n">
        <v>0</v>
      </c>
      <c r="R627" s="16" t="n">
        <v>0</v>
      </c>
      <c r="S627" s="16" t="n">
        <v>0</v>
      </c>
      <c r="T627" s="17" t="n">
        <f aca="false">AVERAGE(O627:Q627)</f>
        <v>0</v>
      </c>
      <c r="U627" s="18" t="str">
        <f aca="false">IF(T627&gt;=$H$3,"Eligible","Not Eligible")</f>
        <v>Not Eligible</v>
      </c>
      <c r="V627" s="19" t="n">
        <f aca="false">IF(T627&lt;$H$3,0,IFERROR(T627/SUMIF($T$5:$T$999,"&gt;="&amp;$H$3),0))</f>
        <v>0</v>
      </c>
      <c r="W627" s="15" t="str">
        <f aca="false">IF(T627=0,"Win-Back","Active")</f>
        <v>Win-Back</v>
      </c>
      <c r="X627" s="20" t="n">
        <f aca="false">IF(T627=0,0,IF(T627&gt;=$H$3,ROUND(T627*$D$3/SUMIF($T$5:$T$999,"&gt;="&amp;$H$3),0),ROUNDUP(T627*$D$3/SUMIF($T$5:$T$999,"&gt;="&amp;$H$3),0)))</f>
        <v>0</v>
      </c>
      <c r="Y627" s="21"/>
      <c r="Z627" s="16" t="str">
        <f aca="false">IF(X627=0,"",X627-Y627)</f>
        <v/>
      </c>
      <c r="AA627" s="22" t="str">
        <f aca="false">IFERROR(Y627/X627,"")</f>
        <v/>
      </c>
      <c r="AB627" s="16" t="n">
        <v>0</v>
      </c>
      <c r="AC627" s="21"/>
    </row>
    <row r="628" customFormat="false" ht="15" hidden="false" customHeight="true" outlineLevel="0" collapsed="false">
      <c r="A628" s="15" t="s">
        <v>6316</v>
      </c>
      <c r="B628" s="15" t="s">
        <v>6317</v>
      </c>
      <c r="C628" s="15" t="s">
        <v>6318</v>
      </c>
      <c r="D628" s="15" t="s">
        <v>2694</v>
      </c>
      <c r="E628" s="15" t="s">
        <v>2695</v>
      </c>
      <c r="F628" s="15" t="s">
        <v>2696</v>
      </c>
      <c r="G628" s="15" t="s">
        <v>6319</v>
      </c>
      <c r="H628" s="15" t="s">
        <v>6320</v>
      </c>
      <c r="I628" s="15"/>
      <c r="J628" s="15" t="s">
        <v>6321</v>
      </c>
      <c r="K628" s="15" t="s">
        <v>493</v>
      </c>
      <c r="L628" s="15" t="s">
        <v>6322</v>
      </c>
      <c r="M628" s="15" t="s">
        <v>6323</v>
      </c>
      <c r="N628" s="15" t="s">
        <v>73</v>
      </c>
      <c r="O628" s="16" t="n">
        <v>0</v>
      </c>
      <c r="P628" s="16" t="n">
        <v>0</v>
      </c>
      <c r="Q628" s="16" t="n">
        <v>0</v>
      </c>
      <c r="R628" s="16" t="n">
        <v>0</v>
      </c>
      <c r="S628" s="16" t="n">
        <v>0</v>
      </c>
      <c r="T628" s="17" t="n">
        <f aca="false">AVERAGE(O628:Q628)</f>
        <v>0</v>
      </c>
      <c r="U628" s="18" t="str">
        <f aca="false">IF(T628&gt;=$H$3,"Eligible","Not Eligible")</f>
        <v>Not Eligible</v>
      </c>
      <c r="V628" s="19" t="n">
        <f aca="false">IF(T628&lt;$H$3,0,IFERROR(T628/SUMIF($T$5:$T$999,"&gt;="&amp;$H$3),0))</f>
        <v>0</v>
      </c>
      <c r="W628" s="15" t="str">
        <f aca="false">IF(T628=0,"Win-Back","Active")</f>
        <v>Win-Back</v>
      </c>
      <c r="X628" s="20" t="n">
        <f aca="false">IF(T628=0,0,IF(T628&gt;=$H$3,ROUND(T628*$D$3/SUMIF($T$5:$T$999,"&gt;="&amp;$H$3),0),ROUNDUP(T628*$D$3/SUMIF($T$5:$T$999,"&gt;="&amp;$H$3),0)))</f>
        <v>0</v>
      </c>
      <c r="Y628" s="21"/>
      <c r="Z628" s="16" t="str">
        <f aca="false">IF(X628=0,"",X628-Y628)</f>
        <v/>
      </c>
      <c r="AA628" s="22" t="str">
        <f aca="false">IFERROR(Y628/X628,"")</f>
        <v/>
      </c>
      <c r="AB628" s="16" t="n">
        <v>0</v>
      </c>
      <c r="AC628" s="21"/>
    </row>
    <row r="629" customFormat="false" ht="15" hidden="false" customHeight="true" outlineLevel="0" collapsed="false">
      <c r="A629" s="15" t="s">
        <v>6324</v>
      </c>
      <c r="B629" s="15" t="s">
        <v>6325</v>
      </c>
      <c r="C629" s="15" t="s">
        <v>6326</v>
      </c>
      <c r="D629" s="15" t="s">
        <v>6327</v>
      </c>
      <c r="E629" s="15" t="s">
        <v>6328</v>
      </c>
      <c r="F629" s="15" t="s">
        <v>6329</v>
      </c>
      <c r="G629" s="15" t="s">
        <v>6330</v>
      </c>
      <c r="H629" s="15" t="s">
        <v>6331</v>
      </c>
      <c r="I629" s="15" t="s">
        <v>968</v>
      </c>
      <c r="J629" s="15" t="s">
        <v>6332</v>
      </c>
      <c r="K629" s="15" t="s">
        <v>4892</v>
      </c>
      <c r="L629" s="15" t="s">
        <v>6333</v>
      </c>
      <c r="M629" s="15" t="s">
        <v>6334</v>
      </c>
      <c r="N629" s="15" t="s">
        <v>73</v>
      </c>
      <c r="O629" s="16" t="n">
        <v>0</v>
      </c>
      <c r="P629" s="16" t="n">
        <v>0</v>
      </c>
      <c r="Q629" s="16" t="n">
        <v>0</v>
      </c>
      <c r="R629" s="16" t="n">
        <v>0</v>
      </c>
      <c r="S629" s="16" t="n">
        <v>0</v>
      </c>
      <c r="T629" s="17" t="n">
        <f aca="false">AVERAGE(O629:Q629)</f>
        <v>0</v>
      </c>
      <c r="U629" s="18" t="str">
        <f aca="false">IF(T629&gt;=$H$3,"Eligible","Not Eligible")</f>
        <v>Not Eligible</v>
      </c>
      <c r="V629" s="19" t="n">
        <f aca="false">IF(T629&lt;$H$3,0,IFERROR(T629/SUMIF($T$5:$T$999,"&gt;="&amp;$H$3),0))</f>
        <v>0</v>
      </c>
      <c r="W629" s="15" t="str">
        <f aca="false">IF(T629=0,"Win-Back","Active")</f>
        <v>Win-Back</v>
      </c>
      <c r="X629" s="20" t="n">
        <f aca="false">IF(T629=0,0,IF(T629&gt;=$H$3,ROUND(T629*$D$3/SUMIF($T$5:$T$999,"&gt;="&amp;$H$3),0),ROUNDUP(T629*$D$3/SUMIF($T$5:$T$999,"&gt;="&amp;$H$3),0)))</f>
        <v>0</v>
      </c>
      <c r="Y629" s="21"/>
      <c r="Z629" s="16" t="str">
        <f aca="false">IF(X629=0,"",X629-Y629)</f>
        <v/>
      </c>
      <c r="AA629" s="22" t="str">
        <f aca="false">IFERROR(Y629/X629,"")</f>
        <v/>
      </c>
      <c r="AB629" s="16" t="n">
        <v>0</v>
      </c>
      <c r="AC629" s="21"/>
    </row>
    <row r="630" customFormat="false" ht="15" hidden="false" customHeight="true" outlineLevel="0" collapsed="false">
      <c r="A630" s="15" t="s">
        <v>6335</v>
      </c>
      <c r="B630" s="15" t="s">
        <v>6336</v>
      </c>
      <c r="C630" s="15" t="s">
        <v>6337</v>
      </c>
      <c r="D630" s="15" t="s">
        <v>6338</v>
      </c>
      <c r="E630" s="15" t="s">
        <v>6339</v>
      </c>
      <c r="F630" s="15" t="s">
        <v>6340</v>
      </c>
      <c r="G630" s="15" t="s">
        <v>6341</v>
      </c>
      <c r="H630" s="15" t="s">
        <v>6342</v>
      </c>
      <c r="I630" s="15"/>
      <c r="J630" s="15" t="s">
        <v>6343</v>
      </c>
      <c r="K630" s="15" t="s">
        <v>493</v>
      </c>
      <c r="L630" s="15" t="s">
        <v>6344</v>
      </c>
      <c r="M630" s="15" t="s">
        <v>6345</v>
      </c>
      <c r="N630" s="15" t="s">
        <v>73</v>
      </c>
      <c r="O630" s="16" t="n">
        <v>0</v>
      </c>
      <c r="P630" s="16" t="n">
        <v>0</v>
      </c>
      <c r="Q630" s="16" t="n">
        <v>0</v>
      </c>
      <c r="R630" s="16" t="n">
        <v>0</v>
      </c>
      <c r="S630" s="16" t="n">
        <v>0</v>
      </c>
      <c r="T630" s="17" t="n">
        <f aca="false">AVERAGE(O630:Q630)</f>
        <v>0</v>
      </c>
      <c r="U630" s="18" t="str">
        <f aca="false">IF(T630&gt;=$H$3,"Eligible","Not Eligible")</f>
        <v>Not Eligible</v>
      </c>
      <c r="V630" s="19" t="n">
        <f aca="false">IF(T630&lt;$H$3,0,IFERROR(T630/SUMIF($T$5:$T$999,"&gt;="&amp;$H$3),0))</f>
        <v>0</v>
      </c>
      <c r="W630" s="15" t="str">
        <f aca="false">IF(T630=0,"Win-Back","Active")</f>
        <v>Win-Back</v>
      </c>
      <c r="X630" s="20" t="n">
        <f aca="false">IF(T630=0,0,IF(T630&gt;=$H$3,ROUND(T630*$D$3/SUMIF($T$5:$T$999,"&gt;="&amp;$H$3),0),ROUNDUP(T630*$D$3/SUMIF($T$5:$T$999,"&gt;="&amp;$H$3),0)))</f>
        <v>0</v>
      </c>
      <c r="Y630" s="21"/>
      <c r="Z630" s="16" t="str">
        <f aca="false">IF(X630=0,"",X630-Y630)</f>
        <v/>
      </c>
      <c r="AA630" s="22" t="str">
        <f aca="false">IFERROR(Y630/X630,"")</f>
        <v/>
      </c>
      <c r="AB630" s="16" t="n">
        <v>0</v>
      </c>
      <c r="AC630" s="21"/>
    </row>
    <row r="631" customFormat="false" ht="15" hidden="false" customHeight="true" outlineLevel="0" collapsed="false">
      <c r="A631" s="15" t="s">
        <v>6346</v>
      </c>
      <c r="B631" s="15" t="s">
        <v>6347</v>
      </c>
      <c r="C631" s="15" t="s">
        <v>6348</v>
      </c>
      <c r="D631" s="15" t="s">
        <v>6349</v>
      </c>
      <c r="E631" s="15" t="s">
        <v>6350</v>
      </c>
      <c r="F631" s="15" t="s">
        <v>6351</v>
      </c>
      <c r="G631" s="15" t="s">
        <v>6352</v>
      </c>
      <c r="H631" s="15" t="s">
        <v>6353</v>
      </c>
      <c r="I631" s="15"/>
      <c r="J631" s="15" t="s">
        <v>6354</v>
      </c>
      <c r="K631" s="15" t="s">
        <v>70</v>
      </c>
      <c r="L631" s="15" t="s">
        <v>6355</v>
      </c>
      <c r="M631" s="15" t="s">
        <v>6356</v>
      </c>
      <c r="N631" s="15" t="s">
        <v>73</v>
      </c>
      <c r="O631" s="16" t="n">
        <v>0</v>
      </c>
      <c r="P631" s="16" t="n">
        <v>0</v>
      </c>
      <c r="Q631" s="16" t="n">
        <v>0</v>
      </c>
      <c r="R631" s="16" t="n">
        <v>0</v>
      </c>
      <c r="S631" s="16" t="n">
        <v>0</v>
      </c>
      <c r="T631" s="17" t="n">
        <f aca="false">AVERAGE(O631:Q631)</f>
        <v>0</v>
      </c>
      <c r="U631" s="18" t="str">
        <f aca="false">IF(T631&gt;=$H$3,"Eligible","Not Eligible")</f>
        <v>Not Eligible</v>
      </c>
      <c r="V631" s="19" t="n">
        <f aca="false">IF(T631&lt;$H$3,0,IFERROR(T631/SUMIF($T$5:$T$999,"&gt;="&amp;$H$3),0))</f>
        <v>0</v>
      </c>
      <c r="W631" s="15" t="str">
        <f aca="false">IF(T631=0,"Win-Back","Active")</f>
        <v>Win-Back</v>
      </c>
      <c r="X631" s="20" t="n">
        <f aca="false">IF(T631=0,0,IF(T631&gt;=$H$3,ROUND(T631*$D$3/SUMIF($T$5:$T$999,"&gt;="&amp;$H$3),0),ROUNDUP(T631*$D$3/SUMIF($T$5:$T$999,"&gt;="&amp;$H$3),0)))</f>
        <v>0</v>
      </c>
      <c r="Y631" s="21"/>
      <c r="Z631" s="16" t="str">
        <f aca="false">IF(X631=0,"",X631-Y631)</f>
        <v/>
      </c>
      <c r="AA631" s="22" t="str">
        <f aca="false">IFERROR(Y631/X631,"")</f>
        <v/>
      </c>
      <c r="AB631" s="16" t="n">
        <v>0</v>
      </c>
      <c r="AC631" s="21"/>
    </row>
    <row r="632" customFormat="false" ht="15" hidden="false" customHeight="true" outlineLevel="0" collapsed="false">
      <c r="A632" s="15" t="s">
        <v>6357</v>
      </c>
      <c r="B632" s="15" t="s">
        <v>6358</v>
      </c>
      <c r="C632" s="15" t="s">
        <v>6359</v>
      </c>
      <c r="D632" s="15" t="s">
        <v>6360</v>
      </c>
      <c r="E632" s="15" t="s">
        <v>6361</v>
      </c>
      <c r="F632" s="15" t="s">
        <v>6362</v>
      </c>
      <c r="G632" s="15" t="s">
        <v>6363</v>
      </c>
      <c r="H632" s="15" t="s">
        <v>6364</v>
      </c>
      <c r="I632" s="15"/>
      <c r="J632" s="15" t="s">
        <v>594</v>
      </c>
      <c r="K632" s="15" t="s">
        <v>368</v>
      </c>
      <c r="L632" s="15" t="s">
        <v>595</v>
      </c>
      <c r="M632" s="15" t="s">
        <v>6365</v>
      </c>
      <c r="N632" s="15" t="s">
        <v>73</v>
      </c>
      <c r="O632" s="16" t="n">
        <v>0</v>
      </c>
      <c r="P632" s="16" t="n">
        <v>0</v>
      </c>
      <c r="Q632" s="16" t="n">
        <v>0</v>
      </c>
      <c r="R632" s="16" t="n">
        <v>0</v>
      </c>
      <c r="S632" s="16" t="n">
        <v>0</v>
      </c>
      <c r="T632" s="17" t="n">
        <f aca="false">AVERAGE(O632:Q632)</f>
        <v>0</v>
      </c>
      <c r="U632" s="18" t="str">
        <f aca="false">IF(T632&gt;=$H$3,"Eligible","Not Eligible")</f>
        <v>Not Eligible</v>
      </c>
      <c r="V632" s="19" t="n">
        <f aca="false">IF(T632&lt;$H$3,0,IFERROR(T632/SUMIF($T$5:$T$999,"&gt;="&amp;$H$3),0))</f>
        <v>0</v>
      </c>
      <c r="W632" s="15" t="str">
        <f aca="false">IF(T632=0,"Win-Back","Active")</f>
        <v>Win-Back</v>
      </c>
      <c r="X632" s="20" t="n">
        <f aca="false">IF(T632=0,0,IF(T632&gt;=$H$3,ROUND(T632*$D$3/SUMIF($T$5:$T$999,"&gt;="&amp;$H$3),0),ROUNDUP(T632*$D$3/SUMIF($T$5:$T$999,"&gt;="&amp;$H$3),0)))</f>
        <v>0</v>
      </c>
      <c r="Y632" s="21"/>
      <c r="Z632" s="16" t="str">
        <f aca="false">IF(X632=0,"",X632-Y632)</f>
        <v/>
      </c>
      <c r="AA632" s="22" t="str">
        <f aca="false">IFERROR(Y632/X632,"")</f>
        <v/>
      </c>
      <c r="AB632" s="16" t="n">
        <v>0</v>
      </c>
      <c r="AC632" s="21"/>
    </row>
    <row r="633" customFormat="false" ht="15" hidden="false" customHeight="true" outlineLevel="0" collapsed="false">
      <c r="A633" s="15" t="s">
        <v>6366</v>
      </c>
      <c r="B633" s="15" t="s">
        <v>6367</v>
      </c>
      <c r="C633" s="15" t="s">
        <v>6368</v>
      </c>
      <c r="D633" s="15" t="s">
        <v>6369</v>
      </c>
      <c r="E633" s="15" t="s">
        <v>6370</v>
      </c>
      <c r="F633" s="15" t="s">
        <v>6371</v>
      </c>
      <c r="G633" s="15" t="s">
        <v>6372</v>
      </c>
      <c r="H633" s="15" t="s">
        <v>6373</v>
      </c>
      <c r="I633" s="15"/>
      <c r="J633" s="15" t="s">
        <v>1588</v>
      </c>
      <c r="K633" s="15" t="s">
        <v>47</v>
      </c>
      <c r="L633" s="15" t="s">
        <v>1589</v>
      </c>
      <c r="M633" s="15" t="s">
        <v>6374</v>
      </c>
      <c r="N633" s="15" t="s">
        <v>73</v>
      </c>
      <c r="O633" s="16" t="n">
        <v>0</v>
      </c>
      <c r="P633" s="16" t="n">
        <v>0</v>
      </c>
      <c r="Q633" s="16" t="n">
        <v>0</v>
      </c>
      <c r="R633" s="16" t="n">
        <v>0</v>
      </c>
      <c r="S633" s="16" t="n">
        <v>0</v>
      </c>
      <c r="T633" s="17" t="n">
        <f aca="false">AVERAGE(O633:Q633)</f>
        <v>0</v>
      </c>
      <c r="U633" s="18" t="str">
        <f aca="false">IF(T633&gt;=$H$3,"Eligible","Not Eligible")</f>
        <v>Not Eligible</v>
      </c>
      <c r="V633" s="19" t="n">
        <f aca="false">IF(T633&lt;$H$3,0,IFERROR(T633/SUMIF($T$5:$T$999,"&gt;="&amp;$H$3),0))</f>
        <v>0</v>
      </c>
      <c r="W633" s="15" t="str">
        <f aca="false">IF(T633=0,"Win-Back","Active")</f>
        <v>Win-Back</v>
      </c>
      <c r="X633" s="20" t="n">
        <f aca="false">IF(T633=0,0,IF(T633&gt;=$H$3,ROUND(T633*$D$3/SUMIF($T$5:$T$999,"&gt;="&amp;$H$3),0),ROUNDUP(T633*$D$3/SUMIF($T$5:$T$999,"&gt;="&amp;$H$3),0)))</f>
        <v>0</v>
      </c>
      <c r="Y633" s="21"/>
      <c r="Z633" s="16" t="str">
        <f aca="false">IF(X633=0,"",X633-Y633)</f>
        <v/>
      </c>
      <c r="AA633" s="22" t="str">
        <f aca="false">IFERROR(Y633/X633,"")</f>
        <v/>
      </c>
      <c r="AB633" s="16" t="n">
        <v>0</v>
      </c>
      <c r="AC633" s="21"/>
    </row>
    <row r="634" customFormat="false" ht="15" hidden="false" customHeight="true" outlineLevel="0" collapsed="false">
      <c r="A634" s="15" t="s">
        <v>6375</v>
      </c>
      <c r="B634" s="15" t="s">
        <v>6376</v>
      </c>
      <c r="C634" s="15" t="s">
        <v>6377</v>
      </c>
      <c r="D634" s="15" t="s">
        <v>6378</v>
      </c>
      <c r="E634" s="15" t="s">
        <v>6379</v>
      </c>
      <c r="F634" s="15" t="s">
        <v>6380</v>
      </c>
      <c r="G634" s="15" t="s">
        <v>6381</v>
      </c>
      <c r="H634" s="15" t="s">
        <v>6382</v>
      </c>
      <c r="I634" s="15"/>
      <c r="J634" s="15" t="s">
        <v>4223</v>
      </c>
      <c r="K634" s="15" t="s">
        <v>402</v>
      </c>
      <c r="L634" s="15" t="s">
        <v>6383</v>
      </c>
      <c r="M634" s="15" t="s">
        <v>6384</v>
      </c>
      <c r="N634" s="15" t="s">
        <v>73</v>
      </c>
      <c r="O634" s="16" t="n">
        <v>0</v>
      </c>
      <c r="P634" s="16" t="n">
        <v>0</v>
      </c>
      <c r="Q634" s="16" t="n">
        <v>0</v>
      </c>
      <c r="R634" s="16" t="n">
        <v>0</v>
      </c>
      <c r="S634" s="16" t="n">
        <v>0</v>
      </c>
      <c r="T634" s="17" t="n">
        <f aca="false">AVERAGE(O634:Q634)</f>
        <v>0</v>
      </c>
      <c r="U634" s="18" t="str">
        <f aca="false">IF(T634&gt;=$H$3,"Eligible","Not Eligible")</f>
        <v>Not Eligible</v>
      </c>
      <c r="V634" s="19" t="n">
        <f aca="false">IF(T634&lt;$H$3,0,IFERROR(T634/SUMIF($T$5:$T$999,"&gt;="&amp;$H$3),0))</f>
        <v>0</v>
      </c>
      <c r="W634" s="15" t="str">
        <f aca="false">IF(T634=0,"Win-Back","Active")</f>
        <v>Win-Back</v>
      </c>
      <c r="X634" s="20" t="n">
        <f aca="false">IF(T634=0,0,IF(T634&gt;=$H$3,ROUND(T634*$D$3/SUMIF($T$5:$T$999,"&gt;="&amp;$H$3),0),ROUNDUP(T634*$D$3/SUMIF($T$5:$T$999,"&gt;="&amp;$H$3),0)))</f>
        <v>0</v>
      </c>
      <c r="Y634" s="21"/>
      <c r="Z634" s="16" t="str">
        <f aca="false">IF(X634=0,"",X634-Y634)</f>
        <v/>
      </c>
      <c r="AA634" s="22" t="str">
        <f aca="false">IFERROR(Y634/X634,"")</f>
        <v/>
      </c>
      <c r="AB634" s="16" t="n">
        <v>0</v>
      </c>
      <c r="AC634" s="21"/>
    </row>
    <row r="635" customFormat="false" ht="15" hidden="false" customHeight="true" outlineLevel="0" collapsed="false">
      <c r="A635" s="15" t="s">
        <v>6385</v>
      </c>
      <c r="B635" s="15" t="s">
        <v>6386</v>
      </c>
      <c r="C635" s="15" t="s">
        <v>6387</v>
      </c>
      <c r="D635" s="15" t="s">
        <v>6388</v>
      </c>
      <c r="E635" s="15" t="s">
        <v>6389</v>
      </c>
      <c r="F635" s="15" t="s">
        <v>6390</v>
      </c>
      <c r="G635" s="15" t="s">
        <v>6391</v>
      </c>
      <c r="H635" s="15" t="s">
        <v>6392</v>
      </c>
      <c r="I635" s="15"/>
      <c r="J635" s="15" t="s">
        <v>6393</v>
      </c>
      <c r="K635" s="15" t="s">
        <v>2839</v>
      </c>
      <c r="L635" s="15" t="s">
        <v>6394</v>
      </c>
      <c r="M635" s="15" t="s">
        <v>6395</v>
      </c>
      <c r="N635" s="15" t="s">
        <v>73</v>
      </c>
      <c r="O635" s="16" t="n">
        <v>0</v>
      </c>
      <c r="P635" s="16" t="n">
        <v>0</v>
      </c>
      <c r="Q635" s="16" t="n">
        <v>0</v>
      </c>
      <c r="R635" s="16" t="n">
        <v>0</v>
      </c>
      <c r="S635" s="16" t="n">
        <v>0</v>
      </c>
      <c r="T635" s="17" t="n">
        <f aca="false">AVERAGE(O635:Q635)</f>
        <v>0</v>
      </c>
      <c r="U635" s="18" t="str">
        <f aca="false">IF(T635&gt;=$H$3,"Eligible","Not Eligible")</f>
        <v>Not Eligible</v>
      </c>
      <c r="V635" s="19" t="n">
        <f aca="false">IF(T635&lt;$H$3,0,IFERROR(T635/SUMIF($T$5:$T$999,"&gt;="&amp;$H$3),0))</f>
        <v>0</v>
      </c>
      <c r="W635" s="15" t="str">
        <f aca="false">IF(T635=0,"Win-Back","Active")</f>
        <v>Win-Back</v>
      </c>
      <c r="X635" s="20" t="n">
        <f aca="false">IF(T635=0,0,IF(T635&gt;=$H$3,ROUND(T635*$D$3/SUMIF($T$5:$T$999,"&gt;="&amp;$H$3),0),ROUNDUP(T635*$D$3/SUMIF($T$5:$T$999,"&gt;="&amp;$H$3),0)))</f>
        <v>0</v>
      </c>
      <c r="Y635" s="21"/>
      <c r="Z635" s="16" t="str">
        <f aca="false">IF(X635=0,"",X635-Y635)</f>
        <v/>
      </c>
      <c r="AA635" s="22" t="str">
        <f aca="false">IFERROR(Y635/X635,"")</f>
        <v/>
      </c>
      <c r="AB635" s="16" t="n">
        <v>0</v>
      </c>
      <c r="AC635" s="21"/>
    </row>
    <row r="636" customFormat="false" ht="15" hidden="false" customHeight="true" outlineLevel="0" collapsed="false">
      <c r="A636" s="15" t="s">
        <v>6396</v>
      </c>
      <c r="B636" s="15" t="s">
        <v>6397</v>
      </c>
      <c r="C636" s="15" t="s">
        <v>6398</v>
      </c>
      <c r="D636" s="15" t="s">
        <v>6399</v>
      </c>
      <c r="E636" s="15" t="s">
        <v>6400</v>
      </c>
      <c r="F636" s="15" t="s">
        <v>6401</v>
      </c>
      <c r="G636" s="15" t="s">
        <v>6402</v>
      </c>
      <c r="H636" s="15" t="s">
        <v>6403</v>
      </c>
      <c r="I636" s="15"/>
      <c r="J636" s="15" t="s">
        <v>1588</v>
      </c>
      <c r="K636" s="15" t="s">
        <v>47</v>
      </c>
      <c r="L636" s="15" t="s">
        <v>1589</v>
      </c>
      <c r="M636" s="15" t="s">
        <v>6404</v>
      </c>
      <c r="N636" s="15" t="s">
        <v>73</v>
      </c>
      <c r="O636" s="16" t="n">
        <v>0</v>
      </c>
      <c r="P636" s="16" t="n">
        <v>0</v>
      </c>
      <c r="Q636" s="16" t="n">
        <v>0</v>
      </c>
      <c r="R636" s="16" t="n">
        <v>0</v>
      </c>
      <c r="S636" s="16" t="n">
        <v>0</v>
      </c>
      <c r="T636" s="17" t="n">
        <f aca="false">AVERAGE(O636:Q636)</f>
        <v>0</v>
      </c>
      <c r="U636" s="18" t="str">
        <f aca="false">IF(T636&gt;=$H$3,"Eligible","Not Eligible")</f>
        <v>Not Eligible</v>
      </c>
      <c r="V636" s="19" t="n">
        <f aca="false">IF(T636&lt;$H$3,0,IFERROR(T636/SUMIF($T$5:$T$999,"&gt;="&amp;$H$3),0))</f>
        <v>0</v>
      </c>
      <c r="W636" s="15" t="str">
        <f aca="false">IF(T636=0,"Win-Back","Active")</f>
        <v>Win-Back</v>
      </c>
      <c r="X636" s="20" t="n">
        <f aca="false">IF(T636=0,0,IF(T636&gt;=$H$3,ROUND(T636*$D$3/SUMIF($T$5:$T$999,"&gt;="&amp;$H$3),0),ROUNDUP(T636*$D$3/SUMIF($T$5:$T$999,"&gt;="&amp;$H$3),0)))</f>
        <v>0</v>
      </c>
      <c r="Y636" s="21"/>
      <c r="Z636" s="16" t="str">
        <f aca="false">IF(X636=0,"",X636-Y636)</f>
        <v/>
      </c>
      <c r="AA636" s="22" t="str">
        <f aca="false">IFERROR(Y636/X636,"")</f>
        <v/>
      </c>
      <c r="AB636" s="16" t="n">
        <v>0</v>
      </c>
      <c r="AC636" s="21"/>
    </row>
    <row r="637" customFormat="false" ht="15" hidden="false" customHeight="true" outlineLevel="0" collapsed="false">
      <c r="A637" s="15" t="s">
        <v>6405</v>
      </c>
      <c r="B637" s="15" t="s">
        <v>6406</v>
      </c>
      <c r="C637" s="15" t="s">
        <v>6407</v>
      </c>
      <c r="D637" s="15" t="s">
        <v>6378</v>
      </c>
      <c r="E637" s="15" t="s">
        <v>6408</v>
      </c>
      <c r="F637" s="15" t="s">
        <v>6380</v>
      </c>
      <c r="G637" s="15" t="s">
        <v>6381</v>
      </c>
      <c r="H637" s="15" t="s">
        <v>6409</v>
      </c>
      <c r="I637" s="15"/>
      <c r="J637" s="15" t="s">
        <v>4223</v>
      </c>
      <c r="K637" s="15" t="s">
        <v>402</v>
      </c>
      <c r="L637" s="15" t="s">
        <v>6383</v>
      </c>
      <c r="M637" s="15" t="s">
        <v>6384</v>
      </c>
      <c r="N637" s="15" t="s">
        <v>73</v>
      </c>
      <c r="O637" s="16" t="n">
        <v>0</v>
      </c>
      <c r="P637" s="16" t="n">
        <v>0</v>
      </c>
      <c r="Q637" s="16" t="n">
        <v>0</v>
      </c>
      <c r="R637" s="16" t="n">
        <v>0</v>
      </c>
      <c r="S637" s="16" t="n">
        <v>0</v>
      </c>
      <c r="T637" s="17" t="n">
        <f aca="false">AVERAGE(O637:Q637)</f>
        <v>0</v>
      </c>
      <c r="U637" s="18" t="str">
        <f aca="false">IF(T637&gt;=$H$3,"Eligible","Not Eligible")</f>
        <v>Not Eligible</v>
      </c>
      <c r="V637" s="19" t="n">
        <f aca="false">IF(T637&lt;$H$3,0,IFERROR(T637/SUMIF($T$5:$T$999,"&gt;="&amp;$H$3),0))</f>
        <v>0</v>
      </c>
      <c r="W637" s="15" t="str">
        <f aca="false">IF(T637=0,"Win-Back","Active")</f>
        <v>Win-Back</v>
      </c>
      <c r="X637" s="20" t="n">
        <f aca="false">IF(T637=0,0,IF(T637&gt;=$H$3,ROUND(T637*$D$3/SUMIF($T$5:$T$999,"&gt;="&amp;$H$3),0),ROUNDUP(T637*$D$3/SUMIF($T$5:$T$999,"&gt;="&amp;$H$3),0)))</f>
        <v>0</v>
      </c>
      <c r="Y637" s="21"/>
      <c r="Z637" s="16" t="str">
        <f aca="false">IF(X637=0,"",X637-Y637)</f>
        <v/>
      </c>
      <c r="AA637" s="22" t="str">
        <f aca="false">IFERROR(Y637/X637,"")</f>
        <v/>
      </c>
      <c r="AB637" s="16" t="n">
        <v>0</v>
      </c>
      <c r="AC637" s="21"/>
    </row>
    <row r="638" customFormat="false" ht="15" hidden="false" customHeight="true" outlineLevel="0" collapsed="false">
      <c r="A638" s="15" t="s">
        <v>6410</v>
      </c>
      <c r="B638" s="15" t="s">
        <v>6411</v>
      </c>
      <c r="C638" s="15" t="s">
        <v>6412</v>
      </c>
      <c r="D638" s="15" t="s">
        <v>6413</v>
      </c>
      <c r="E638" s="15" t="s">
        <v>6414</v>
      </c>
      <c r="F638" s="15" t="s">
        <v>6415</v>
      </c>
      <c r="G638" s="15" t="s">
        <v>6416</v>
      </c>
      <c r="H638" s="15" t="s">
        <v>6417</v>
      </c>
      <c r="I638" s="15"/>
      <c r="J638" s="15" t="s">
        <v>3303</v>
      </c>
      <c r="K638" s="15" t="s">
        <v>368</v>
      </c>
      <c r="L638" s="15" t="s">
        <v>6418</v>
      </c>
      <c r="M638" s="15" t="s">
        <v>6419</v>
      </c>
      <c r="N638" s="15" t="s">
        <v>73</v>
      </c>
      <c r="O638" s="16" t="n">
        <v>0</v>
      </c>
      <c r="P638" s="16" t="n">
        <v>0</v>
      </c>
      <c r="Q638" s="16" t="n">
        <v>0</v>
      </c>
      <c r="R638" s="16" t="n">
        <v>0</v>
      </c>
      <c r="S638" s="16" t="n">
        <v>0</v>
      </c>
      <c r="T638" s="17" t="n">
        <f aca="false">AVERAGE(O638:Q638)</f>
        <v>0</v>
      </c>
      <c r="U638" s="18" t="str">
        <f aca="false">IF(T638&gt;=$H$3,"Eligible","Not Eligible")</f>
        <v>Not Eligible</v>
      </c>
      <c r="V638" s="19" t="n">
        <f aca="false">IF(T638&lt;$H$3,0,IFERROR(T638/SUMIF($T$5:$T$999,"&gt;="&amp;$H$3),0))</f>
        <v>0</v>
      </c>
      <c r="W638" s="15" t="str">
        <f aca="false">IF(T638=0,"Win-Back","Active")</f>
        <v>Win-Back</v>
      </c>
      <c r="X638" s="20" t="n">
        <f aca="false">IF(T638=0,0,IF(T638&gt;=$H$3,ROUND(T638*$D$3/SUMIF($T$5:$T$999,"&gt;="&amp;$H$3),0),ROUNDUP(T638*$D$3/SUMIF($T$5:$T$999,"&gt;="&amp;$H$3),0)))</f>
        <v>0</v>
      </c>
      <c r="Y638" s="21"/>
      <c r="Z638" s="16" t="str">
        <f aca="false">IF(X638=0,"",X638-Y638)</f>
        <v/>
      </c>
      <c r="AA638" s="22" t="str">
        <f aca="false">IFERROR(Y638/X638,"")</f>
        <v/>
      </c>
      <c r="AB638" s="16" t="n">
        <v>0</v>
      </c>
      <c r="AC638" s="21"/>
    </row>
    <row r="639" customFormat="false" ht="15" hidden="false" customHeight="true" outlineLevel="0" collapsed="false">
      <c r="A639" s="15"/>
      <c r="B639" s="15"/>
      <c r="C639" s="15" t="s">
        <v>6420</v>
      </c>
      <c r="D639" s="15" t="s">
        <v>6421</v>
      </c>
      <c r="E639" s="15" t="s">
        <v>6422</v>
      </c>
      <c r="F639" s="15"/>
      <c r="G639" s="15"/>
      <c r="H639" s="15" t="s">
        <v>6423</v>
      </c>
      <c r="I639" s="15"/>
      <c r="J639" s="15" t="s">
        <v>6424</v>
      </c>
      <c r="K639" s="15" t="s">
        <v>368</v>
      </c>
      <c r="L639" s="15" t="s">
        <v>6425</v>
      </c>
      <c r="M639" s="15" t="s">
        <v>4617</v>
      </c>
      <c r="N639" s="15" t="s">
        <v>73</v>
      </c>
      <c r="O639" s="16" t="n">
        <v>0</v>
      </c>
      <c r="P639" s="16" t="n">
        <v>0</v>
      </c>
      <c r="Q639" s="16" t="n">
        <v>0</v>
      </c>
      <c r="R639" s="16" t="n">
        <v>0</v>
      </c>
      <c r="S639" s="16" t="n">
        <v>0</v>
      </c>
      <c r="T639" s="17" t="n">
        <f aca="false">AVERAGE(O639:Q639)</f>
        <v>0</v>
      </c>
      <c r="U639" s="18" t="str">
        <f aca="false">IF(T639&gt;=$H$3,"Eligible","Not Eligible")</f>
        <v>Not Eligible</v>
      </c>
      <c r="V639" s="19" t="n">
        <f aca="false">IF(T639&lt;$H$3,0,IFERROR(T639/SUMIF($T$5:$T$999,"&gt;="&amp;$H$3),0))</f>
        <v>0</v>
      </c>
      <c r="W639" s="15" t="str">
        <f aca="false">IF(T639=0,"Win-Back","Active")</f>
        <v>Win-Back</v>
      </c>
      <c r="X639" s="20" t="n">
        <f aca="false">IF(T639=0,0,IF(T639&gt;=$H$3,ROUND(T639*$D$3/SUMIF($T$5:$T$999,"&gt;="&amp;$H$3),0),ROUNDUP(T639*$D$3/SUMIF($T$5:$T$999,"&gt;="&amp;$H$3),0)))</f>
        <v>0</v>
      </c>
      <c r="Y639" s="21"/>
      <c r="Z639" s="16" t="str">
        <f aca="false">IF(X639=0,"",X639-Y639)</f>
        <v/>
      </c>
      <c r="AA639" s="22" t="str">
        <f aca="false">IFERROR(Y639/X639,"")</f>
        <v/>
      </c>
      <c r="AB639" s="16" t="n">
        <v>0</v>
      </c>
      <c r="AC639" s="21"/>
    </row>
    <row r="640" customFormat="false" ht="15" hidden="false" customHeight="true" outlineLevel="0" collapsed="false">
      <c r="A640" s="15" t="s">
        <v>6426</v>
      </c>
      <c r="B640" s="15" t="s">
        <v>6427</v>
      </c>
      <c r="C640" s="15" t="s">
        <v>6428</v>
      </c>
      <c r="D640" s="15" t="s">
        <v>6429</v>
      </c>
      <c r="E640" s="15" t="s">
        <v>6430</v>
      </c>
      <c r="F640" s="15" t="s">
        <v>6431</v>
      </c>
      <c r="G640" s="15" t="s">
        <v>6432</v>
      </c>
      <c r="H640" s="15" t="s">
        <v>6433</v>
      </c>
      <c r="I640" s="15"/>
      <c r="J640" s="15" t="s">
        <v>863</v>
      </c>
      <c r="K640" s="15" t="s">
        <v>864</v>
      </c>
      <c r="L640" s="15" t="s">
        <v>3547</v>
      </c>
      <c r="M640" s="15" t="s">
        <v>6434</v>
      </c>
      <c r="N640" s="15" t="s">
        <v>73</v>
      </c>
      <c r="O640" s="16" t="n">
        <v>0</v>
      </c>
      <c r="P640" s="16" t="n">
        <v>0</v>
      </c>
      <c r="Q640" s="16" t="n">
        <v>0</v>
      </c>
      <c r="R640" s="16" t="n">
        <v>0</v>
      </c>
      <c r="S640" s="16" t="n">
        <v>0</v>
      </c>
      <c r="T640" s="17" t="n">
        <f aca="false">AVERAGE(O640:Q640)</f>
        <v>0</v>
      </c>
      <c r="U640" s="18" t="str">
        <f aca="false">IF(T640&gt;=$H$3,"Eligible","Not Eligible")</f>
        <v>Not Eligible</v>
      </c>
      <c r="V640" s="19" t="n">
        <f aca="false">IF(T640&lt;$H$3,0,IFERROR(T640/SUMIF($T$5:$T$999,"&gt;="&amp;$H$3),0))</f>
        <v>0</v>
      </c>
      <c r="W640" s="15" t="str">
        <f aca="false">IF(T640=0,"Win-Back","Active")</f>
        <v>Win-Back</v>
      </c>
      <c r="X640" s="20" t="n">
        <f aca="false">IF(T640=0,0,IF(T640&gt;=$H$3,ROUND(T640*$D$3/SUMIF($T$5:$T$999,"&gt;="&amp;$H$3),0),ROUNDUP(T640*$D$3/SUMIF($T$5:$T$999,"&gt;="&amp;$H$3),0)))</f>
        <v>0</v>
      </c>
      <c r="Y640" s="21"/>
      <c r="Z640" s="16" t="str">
        <f aca="false">IF(X640=0,"",X640-Y640)</f>
        <v/>
      </c>
      <c r="AA640" s="22" t="str">
        <f aca="false">IFERROR(Y640/X640,"")</f>
        <v/>
      </c>
      <c r="AB640" s="16" t="n">
        <v>0</v>
      </c>
      <c r="AC640" s="21"/>
    </row>
    <row r="641" customFormat="false" ht="15" hidden="false" customHeight="true" outlineLevel="0" collapsed="false">
      <c r="A641" s="15"/>
      <c r="B641" s="15"/>
      <c r="C641" s="15" t="s">
        <v>6435</v>
      </c>
      <c r="D641" s="15" t="s">
        <v>6436</v>
      </c>
      <c r="E641" s="15" t="s">
        <v>6436</v>
      </c>
      <c r="F641" s="15"/>
      <c r="G641" s="15"/>
      <c r="H641" s="15" t="s">
        <v>6437</v>
      </c>
      <c r="I641" s="15"/>
      <c r="J641" s="15" t="s">
        <v>6424</v>
      </c>
      <c r="K641" s="15" t="s">
        <v>368</v>
      </c>
      <c r="L641" s="15" t="s">
        <v>6438</v>
      </c>
      <c r="M641" s="15" t="s">
        <v>4617</v>
      </c>
      <c r="N641" s="15" t="s">
        <v>73</v>
      </c>
      <c r="O641" s="16" t="n">
        <v>0</v>
      </c>
      <c r="P641" s="16" t="n">
        <v>0</v>
      </c>
      <c r="Q641" s="16" t="n">
        <v>0</v>
      </c>
      <c r="R641" s="16" t="n">
        <v>0</v>
      </c>
      <c r="S641" s="16" t="n">
        <v>0</v>
      </c>
      <c r="T641" s="17" t="n">
        <f aca="false">AVERAGE(O641:Q641)</f>
        <v>0</v>
      </c>
      <c r="U641" s="18" t="str">
        <f aca="false">IF(T641&gt;=$H$3,"Eligible","Not Eligible")</f>
        <v>Not Eligible</v>
      </c>
      <c r="V641" s="19" t="n">
        <f aca="false">IF(T641&lt;$H$3,0,IFERROR(T641/SUMIF($T$5:$T$999,"&gt;="&amp;$H$3),0))</f>
        <v>0</v>
      </c>
      <c r="W641" s="15" t="str">
        <f aca="false">IF(T641=0,"Win-Back","Active")</f>
        <v>Win-Back</v>
      </c>
      <c r="X641" s="20" t="n">
        <f aca="false">IF(T641=0,0,IF(T641&gt;=$H$3,ROUND(T641*$D$3/SUMIF($T$5:$T$999,"&gt;="&amp;$H$3),0),ROUNDUP(T641*$D$3/SUMIF($T$5:$T$999,"&gt;="&amp;$H$3),0)))</f>
        <v>0</v>
      </c>
      <c r="Y641" s="21"/>
      <c r="Z641" s="16" t="str">
        <f aca="false">IF(X641=0,"",X641-Y641)</f>
        <v/>
      </c>
      <c r="AA641" s="22" t="str">
        <f aca="false">IFERROR(Y641/X641,"")</f>
        <v/>
      </c>
      <c r="AB641" s="16" t="n">
        <v>0</v>
      </c>
      <c r="AC641" s="21"/>
    </row>
    <row r="642" customFormat="false" ht="15" hidden="false" customHeight="true" outlineLevel="0" collapsed="false">
      <c r="A642" s="15"/>
      <c r="B642" s="15"/>
      <c r="C642" s="15" t="s">
        <v>6439</v>
      </c>
      <c r="D642" s="15" t="s">
        <v>6440</v>
      </c>
      <c r="E642" s="15" t="s">
        <v>6441</v>
      </c>
      <c r="F642" s="15"/>
      <c r="G642" s="15"/>
      <c r="H642" s="15" t="s">
        <v>6442</v>
      </c>
      <c r="I642" s="15" t="s">
        <v>5919</v>
      </c>
      <c r="J642" s="15" t="s">
        <v>6443</v>
      </c>
      <c r="K642" s="15" t="s">
        <v>368</v>
      </c>
      <c r="L642" s="15" t="s">
        <v>6444</v>
      </c>
      <c r="M642" s="15" t="s">
        <v>4617</v>
      </c>
      <c r="N642" s="15" t="s">
        <v>73</v>
      </c>
      <c r="O642" s="16" t="n">
        <v>0</v>
      </c>
      <c r="P642" s="16" t="n">
        <v>0</v>
      </c>
      <c r="Q642" s="16" t="n">
        <v>0</v>
      </c>
      <c r="R642" s="16" t="n">
        <v>0</v>
      </c>
      <c r="S642" s="16" t="n">
        <v>0</v>
      </c>
      <c r="T642" s="17" t="n">
        <f aca="false">AVERAGE(O642:Q642)</f>
        <v>0</v>
      </c>
      <c r="U642" s="18" t="str">
        <f aca="false">IF(T642&gt;=$H$3,"Eligible","Not Eligible")</f>
        <v>Not Eligible</v>
      </c>
      <c r="V642" s="19" t="n">
        <f aca="false">IF(T642&lt;$H$3,0,IFERROR(T642/SUMIF($T$5:$T$999,"&gt;="&amp;$H$3),0))</f>
        <v>0</v>
      </c>
      <c r="W642" s="15" t="str">
        <f aca="false">IF(T642=0,"Win-Back","Active")</f>
        <v>Win-Back</v>
      </c>
      <c r="X642" s="20" t="n">
        <f aca="false">IF(T642=0,0,IF(T642&gt;=$H$3,ROUND(T642*$D$3/SUMIF($T$5:$T$999,"&gt;="&amp;$H$3),0),ROUNDUP(T642*$D$3/SUMIF($T$5:$T$999,"&gt;="&amp;$H$3),0)))</f>
        <v>0</v>
      </c>
      <c r="Y642" s="21"/>
      <c r="Z642" s="16" t="str">
        <f aca="false">IF(X642=0,"",X642-Y642)</f>
        <v/>
      </c>
      <c r="AA642" s="22" t="str">
        <f aca="false">IFERROR(Y642/X642,"")</f>
        <v/>
      </c>
      <c r="AB642" s="16" t="n">
        <v>0</v>
      </c>
      <c r="AC642" s="21"/>
    </row>
    <row r="643" customFormat="false" ht="15" hidden="false" customHeight="true" outlineLevel="0" collapsed="false">
      <c r="A643" s="15"/>
      <c r="B643" s="15"/>
      <c r="C643" s="15" t="s">
        <v>6445</v>
      </c>
      <c r="D643" s="15" t="s">
        <v>6446</v>
      </c>
      <c r="E643" s="15" t="s">
        <v>6447</v>
      </c>
      <c r="F643" s="15"/>
      <c r="G643" s="15"/>
      <c r="H643" s="15" t="s">
        <v>6448</v>
      </c>
      <c r="I643" s="15"/>
      <c r="J643" s="15" t="s">
        <v>6449</v>
      </c>
      <c r="K643" s="15" t="s">
        <v>615</v>
      </c>
      <c r="L643" s="15" t="s">
        <v>6450</v>
      </c>
      <c r="M643" s="15" t="s">
        <v>4617</v>
      </c>
      <c r="N643" s="15" t="s">
        <v>73</v>
      </c>
      <c r="O643" s="16" t="n">
        <v>0</v>
      </c>
      <c r="P643" s="16" t="n">
        <v>0</v>
      </c>
      <c r="Q643" s="16" t="n">
        <v>0</v>
      </c>
      <c r="R643" s="16" t="n">
        <v>0</v>
      </c>
      <c r="S643" s="16" t="n">
        <v>0</v>
      </c>
      <c r="T643" s="17" t="n">
        <f aca="false">AVERAGE(O643:Q643)</f>
        <v>0</v>
      </c>
      <c r="U643" s="18" t="str">
        <f aca="false">IF(T643&gt;=$H$3,"Eligible","Not Eligible")</f>
        <v>Not Eligible</v>
      </c>
      <c r="V643" s="19" t="n">
        <f aca="false">IF(T643&lt;$H$3,0,IFERROR(T643/SUMIF($T$5:$T$999,"&gt;="&amp;$H$3),0))</f>
        <v>0</v>
      </c>
      <c r="W643" s="15" t="str">
        <f aca="false">IF(T643=0,"Win-Back","Active")</f>
        <v>Win-Back</v>
      </c>
      <c r="X643" s="20" t="n">
        <f aca="false">IF(T643=0,0,IF(T643&gt;=$H$3,ROUND(T643*$D$3/SUMIF($T$5:$T$999,"&gt;="&amp;$H$3),0),ROUNDUP(T643*$D$3/SUMIF($T$5:$T$999,"&gt;="&amp;$H$3),0)))</f>
        <v>0</v>
      </c>
      <c r="Y643" s="21"/>
      <c r="Z643" s="16" t="str">
        <f aca="false">IF(X643=0,"",X643-Y643)</f>
        <v/>
      </c>
      <c r="AA643" s="22" t="str">
        <f aca="false">IFERROR(Y643/X643,"")</f>
        <v/>
      </c>
      <c r="AB643" s="16" t="n">
        <v>0</v>
      </c>
      <c r="AC643" s="21"/>
    </row>
    <row r="644" customFormat="false" ht="15" hidden="false" customHeight="true" outlineLevel="0" collapsed="false">
      <c r="A644" s="15" t="s">
        <v>6451</v>
      </c>
      <c r="B644" s="15" t="s">
        <v>6452</v>
      </c>
      <c r="C644" s="15" t="s">
        <v>6453</v>
      </c>
      <c r="D644" s="15" t="s">
        <v>5360</v>
      </c>
      <c r="E644" s="15" t="s">
        <v>6454</v>
      </c>
      <c r="F644" s="15" t="s">
        <v>6455</v>
      </c>
      <c r="G644" s="15" t="s">
        <v>6456</v>
      </c>
      <c r="H644" s="15" t="s">
        <v>6457</v>
      </c>
      <c r="I644" s="15"/>
      <c r="J644" s="15" t="s">
        <v>6458</v>
      </c>
      <c r="K644" s="15" t="s">
        <v>1222</v>
      </c>
      <c r="L644" s="15" t="s">
        <v>6459</v>
      </c>
      <c r="M644" s="15" t="s">
        <v>6460</v>
      </c>
      <c r="N644" s="15" t="s">
        <v>73</v>
      </c>
      <c r="O644" s="16" t="n">
        <v>0</v>
      </c>
      <c r="P644" s="16" t="n">
        <v>0</v>
      </c>
      <c r="Q644" s="16" t="n">
        <v>0</v>
      </c>
      <c r="R644" s="16" t="n">
        <v>0</v>
      </c>
      <c r="S644" s="16" t="n">
        <v>0</v>
      </c>
      <c r="T644" s="17" t="n">
        <f aca="false">AVERAGE(O644:Q644)</f>
        <v>0</v>
      </c>
      <c r="U644" s="18" t="str">
        <f aca="false">IF(T644&gt;=$H$3,"Eligible","Not Eligible")</f>
        <v>Not Eligible</v>
      </c>
      <c r="V644" s="19" t="n">
        <f aca="false">IF(T644&lt;$H$3,0,IFERROR(T644/SUMIF($T$5:$T$999,"&gt;="&amp;$H$3),0))</f>
        <v>0</v>
      </c>
      <c r="W644" s="15" t="str">
        <f aca="false">IF(T644=0,"Win-Back","Active")</f>
        <v>Win-Back</v>
      </c>
      <c r="X644" s="20" t="n">
        <f aca="false">IF(T644=0,0,IF(T644&gt;=$H$3,ROUND(T644*$D$3/SUMIF($T$5:$T$999,"&gt;="&amp;$H$3),0),ROUNDUP(T644*$D$3/SUMIF($T$5:$T$999,"&gt;="&amp;$H$3),0)))</f>
        <v>0</v>
      </c>
      <c r="Y644" s="21"/>
      <c r="Z644" s="16" t="str">
        <f aca="false">IF(X644=0,"",X644-Y644)</f>
        <v/>
      </c>
      <c r="AA644" s="22" t="str">
        <f aca="false">IFERROR(Y644/X644,"")</f>
        <v/>
      </c>
      <c r="AB644" s="16" t="n">
        <v>0</v>
      </c>
      <c r="AC644" s="21"/>
    </row>
    <row r="645" customFormat="false" ht="15" hidden="false" customHeight="true" outlineLevel="0" collapsed="false">
      <c r="A645" s="15" t="s">
        <v>6461</v>
      </c>
      <c r="B645" s="15" t="s">
        <v>6462</v>
      </c>
      <c r="C645" s="15" t="s">
        <v>6463</v>
      </c>
      <c r="D645" s="15" t="s">
        <v>6464</v>
      </c>
      <c r="E645" s="15" t="s">
        <v>6465</v>
      </c>
      <c r="F645" s="15" t="s">
        <v>6466</v>
      </c>
      <c r="G645" s="15" t="s">
        <v>6467</v>
      </c>
      <c r="H645" s="15" t="s">
        <v>6468</v>
      </c>
      <c r="I645" s="15"/>
      <c r="J645" s="15" t="s">
        <v>1869</v>
      </c>
      <c r="K645" s="15" t="s">
        <v>1418</v>
      </c>
      <c r="L645" s="15" t="s">
        <v>4750</v>
      </c>
      <c r="M645" s="15" t="s">
        <v>6469</v>
      </c>
      <c r="N645" s="15" t="s">
        <v>73</v>
      </c>
      <c r="O645" s="16" t="n">
        <v>0</v>
      </c>
      <c r="P645" s="16" t="n">
        <v>0</v>
      </c>
      <c r="Q645" s="16" t="n">
        <v>0</v>
      </c>
      <c r="R645" s="16" t="n">
        <v>0</v>
      </c>
      <c r="S645" s="16" t="n">
        <v>0</v>
      </c>
      <c r="T645" s="17" t="n">
        <f aca="false">AVERAGE(O645:Q645)</f>
        <v>0</v>
      </c>
      <c r="U645" s="18" t="str">
        <f aca="false">IF(T645&gt;=$H$3,"Eligible","Not Eligible")</f>
        <v>Not Eligible</v>
      </c>
      <c r="V645" s="19" t="n">
        <f aca="false">IF(T645&lt;$H$3,0,IFERROR(T645/SUMIF($T$5:$T$999,"&gt;="&amp;$H$3),0))</f>
        <v>0</v>
      </c>
      <c r="W645" s="15" t="str">
        <f aca="false">IF(T645=0,"Win-Back","Active")</f>
        <v>Win-Back</v>
      </c>
      <c r="X645" s="20" t="n">
        <f aca="false">IF(T645=0,0,IF(T645&gt;=$H$3,ROUND(T645*$D$3/SUMIF($T$5:$T$999,"&gt;="&amp;$H$3),0),ROUNDUP(T645*$D$3/SUMIF($T$5:$T$999,"&gt;="&amp;$H$3),0)))</f>
        <v>0</v>
      </c>
      <c r="Y645" s="21"/>
      <c r="Z645" s="16" t="str">
        <f aca="false">IF(X645=0,"",X645-Y645)</f>
        <v/>
      </c>
      <c r="AA645" s="22" t="str">
        <f aca="false">IFERROR(Y645/X645,"")</f>
        <v/>
      </c>
      <c r="AB645" s="16" t="n">
        <v>0</v>
      </c>
      <c r="AC645" s="21"/>
    </row>
    <row r="646" customFormat="false" ht="15" hidden="false" customHeight="true" outlineLevel="0" collapsed="false">
      <c r="A646" s="15" t="s">
        <v>6470</v>
      </c>
      <c r="B646" s="15" t="s">
        <v>6471</v>
      </c>
      <c r="C646" s="15" t="s">
        <v>6472</v>
      </c>
      <c r="D646" s="15" t="s">
        <v>6473</v>
      </c>
      <c r="E646" s="15" t="s">
        <v>6474</v>
      </c>
      <c r="F646" s="15" t="s">
        <v>6475</v>
      </c>
      <c r="G646" s="15" t="s">
        <v>2781</v>
      </c>
      <c r="H646" s="15" t="s">
        <v>6476</v>
      </c>
      <c r="I646" s="15" t="s">
        <v>1610</v>
      </c>
      <c r="J646" s="15" t="s">
        <v>6477</v>
      </c>
      <c r="K646" s="15" t="s">
        <v>70</v>
      </c>
      <c r="L646" s="15" t="s">
        <v>6478</v>
      </c>
      <c r="M646" s="15" t="s">
        <v>2785</v>
      </c>
      <c r="N646" s="15" t="s">
        <v>73</v>
      </c>
      <c r="O646" s="16" t="n">
        <v>0</v>
      </c>
      <c r="P646" s="16" t="n">
        <v>0</v>
      </c>
      <c r="Q646" s="16" t="n">
        <v>0</v>
      </c>
      <c r="R646" s="16" t="n">
        <v>0</v>
      </c>
      <c r="S646" s="16" t="n">
        <v>0</v>
      </c>
      <c r="T646" s="17" t="n">
        <f aca="false">AVERAGE(O646:Q646)</f>
        <v>0</v>
      </c>
      <c r="U646" s="18" t="str">
        <f aca="false">IF(T646&gt;=$H$3,"Eligible","Not Eligible")</f>
        <v>Not Eligible</v>
      </c>
      <c r="V646" s="19" t="n">
        <f aca="false">IF(T646&lt;$H$3,0,IFERROR(T646/SUMIF($T$5:$T$999,"&gt;="&amp;$H$3),0))</f>
        <v>0</v>
      </c>
      <c r="W646" s="15" t="str">
        <f aca="false">IF(T646=0,"Win-Back","Active")</f>
        <v>Win-Back</v>
      </c>
      <c r="X646" s="20" t="n">
        <f aca="false">IF(T646=0,0,IF(T646&gt;=$H$3,ROUND(T646*$D$3/SUMIF($T$5:$T$999,"&gt;="&amp;$H$3),0),ROUNDUP(T646*$D$3/SUMIF($T$5:$T$999,"&gt;="&amp;$H$3),0)))</f>
        <v>0</v>
      </c>
      <c r="Y646" s="21"/>
      <c r="Z646" s="16" t="str">
        <f aca="false">IF(X646=0,"",X646-Y646)</f>
        <v/>
      </c>
      <c r="AA646" s="22" t="str">
        <f aca="false">IFERROR(Y646/X646,"")</f>
        <v/>
      </c>
      <c r="AB646" s="16" t="n">
        <v>0</v>
      </c>
      <c r="AC646" s="21"/>
    </row>
    <row r="647" customFormat="false" ht="15" hidden="false" customHeight="true" outlineLevel="0" collapsed="false">
      <c r="A647" s="15"/>
      <c r="B647" s="15"/>
      <c r="C647" s="15" t="s">
        <v>6479</v>
      </c>
      <c r="D647" s="15" t="s">
        <v>6480</v>
      </c>
      <c r="E647" s="15" t="s">
        <v>6481</v>
      </c>
      <c r="F647" s="15"/>
      <c r="G647" s="15"/>
      <c r="H647" s="15" t="s">
        <v>6482</v>
      </c>
      <c r="I647" s="15" t="s">
        <v>6483</v>
      </c>
      <c r="J647" s="15" t="s">
        <v>6484</v>
      </c>
      <c r="K647" s="15" t="s">
        <v>2839</v>
      </c>
      <c r="L647" s="15" t="s">
        <v>6485</v>
      </c>
      <c r="M647" s="15" t="s">
        <v>4617</v>
      </c>
      <c r="N647" s="15" t="s">
        <v>73</v>
      </c>
      <c r="O647" s="16" t="n">
        <v>0</v>
      </c>
      <c r="P647" s="16" t="n">
        <v>0</v>
      </c>
      <c r="Q647" s="16" t="n">
        <v>0</v>
      </c>
      <c r="R647" s="16" t="n">
        <v>0</v>
      </c>
      <c r="S647" s="16" t="n">
        <v>0</v>
      </c>
      <c r="T647" s="17" t="n">
        <f aca="false">AVERAGE(O647:Q647)</f>
        <v>0</v>
      </c>
      <c r="U647" s="18" t="str">
        <f aca="false">IF(T647&gt;=$H$3,"Eligible","Not Eligible")</f>
        <v>Not Eligible</v>
      </c>
      <c r="V647" s="19" t="n">
        <f aca="false">IF(T647&lt;$H$3,0,IFERROR(T647/SUMIF($T$5:$T$999,"&gt;="&amp;$H$3),0))</f>
        <v>0</v>
      </c>
      <c r="W647" s="15" t="str">
        <f aca="false">IF(T647=0,"Win-Back","Active")</f>
        <v>Win-Back</v>
      </c>
      <c r="X647" s="20" t="n">
        <f aca="false">IF(T647=0,0,IF(T647&gt;=$H$3,ROUND(T647*$D$3/SUMIF($T$5:$T$999,"&gt;="&amp;$H$3),0),ROUNDUP(T647*$D$3/SUMIF($T$5:$T$999,"&gt;="&amp;$H$3),0)))</f>
        <v>0</v>
      </c>
      <c r="Y647" s="21"/>
      <c r="Z647" s="16" t="str">
        <f aca="false">IF(X647=0,"",X647-Y647)</f>
        <v/>
      </c>
      <c r="AA647" s="22" t="str">
        <f aca="false">IFERROR(Y647/X647,"")</f>
        <v/>
      </c>
      <c r="AB647" s="16" t="n">
        <v>0</v>
      </c>
      <c r="AC647" s="21"/>
    </row>
    <row r="648" customFormat="false" ht="15" hidden="false" customHeight="true" outlineLevel="0" collapsed="false">
      <c r="A648" s="15"/>
      <c r="B648" s="15"/>
      <c r="C648" s="15" t="s">
        <v>6486</v>
      </c>
      <c r="D648" s="15" t="s">
        <v>6487</v>
      </c>
      <c r="E648" s="15" t="s">
        <v>6481</v>
      </c>
      <c r="F648" s="15" t="s">
        <v>6488</v>
      </c>
      <c r="G648" s="15" t="s">
        <v>6489</v>
      </c>
      <c r="H648" s="15" t="s">
        <v>6490</v>
      </c>
      <c r="I648" s="15"/>
      <c r="J648" s="15" t="s">
        <v>6491</v>
      </c>
      <c r="K648" s="15" t="s">
        <v>2839</v>
      </c>
      <c r="L648" s="15" t="s">
        <v>6492</v>
      </c>
      <c r="M648" s="15" t="s">
        <v>6493</v>
      </c>
      <c r="N648" s="15" t="s">
        <v>73</v>
      </c>
      <c r="O648" s="16" t="n">
        <v>0</v>
      </c>
      <c r="P648" s="16" t="n">
        <v>0</v>
      </c>
      <c r="Q648" s="16" t="n">
        <v>0</v>
      </c>
      <c r="R648" s="16" t="n">
        <v>0</v>
      </c>
      <c r="S648" s="16" t="n">
        <v>0</v>
      </c>
      <c r="T648" s="17" t="n">
        <f aca="false">AVERAGE(O648:Q648)</f>
        <v>0</v>
      </c>
      <c r="U648" s="18" t="str">
        <f aca="false">IF(T648&gt;=$H$3,"Eligible","Not Eligible")</f>
        <v>Not Eligible</v>
      </c>
      <c r="V648" s="19" t="n">
        <f aca="false">IF(T648&lt;$H$3,0,IFERROR(T648/SUMIF($T$5:$T$999,"&gt;="&amp;$H$3),0))</f>
        <v>0</v>
      </c>
      <c r="W648" s="15" t="str">
        <f aca="false">IF(T648=0,"Win-Back","Active")</f>
        <v>Win-Back</v>
      </c>
      <c r="X648" s="20" t="n">
        <f aca="false">IF(T648=0,0,IF(T648&gt;=$H$3,ROUND(T648*$D$3/SUMIF($T$5:$T$999,"&gt;="&amp;$H$3),0),ROUNDUP(T648*$D$3/SUMIF($T$5:$T$999,"&gt;="&amp;$H$3),0)))</f>
        <v>0</v>
      </c>
      <c r="Y648" s="21"/>
      <c r="Z648" s="16" t="str">
        <f aca="false">IF(X648=0,"",X648-Y648)</f>
        <v/>
      </c>
      <c r="AA648" s="22" t="str">
        <f aca="false">IFERROR(Y648/X648,"")</f>
        <v/>
      </c>
      <c r="AB648" s="16" t="n">
        <v>0</v>
      </c>
      <c r="AC648" s="21"/>
    </row>
    <row r="649" customFormat="false" ht="15" hidden="false" customHeight="true" outlineLevel="0" collapsed="false">
      <c r="A649" s="15"/>
      <c r="B649" s="15"/>
      <c r="C649" s="15" t="s">
        <v>6494</v>
      </c>
      <c r="D649" s="15" t="s">
        <v>6495</v>
      </c>
      <c r="E649" s="15" t="s">
        <v>6481</v>
      </c>
      <c r="F649" s="15" t="s">
        <v>6496</v>
      </c>
      <c r="G649" s="15" t="s">
        <v>6489</v>
      </c>
      <c r="H649" s="15" t="s">
        <v>6497</v>
      </c>
      <c r="I649" s="15"/>
      <c r="J649" s="15" t="s">
        <v>6498</v>
      </c>
      <c r="K649" s="15" t="s">
        <v>2839</v>
      </c>
      <c r="L649" s="15" t="s">
        <v>6499</v>
      </c>
      <c r="M649" s="15" t="s">
        <v>6500</v>
      </c>
      <c r="N649" s="15" t="s">
        <v>73</v>
      </c>
      <c r="O649" s="16" t="n">
        <v>0</v>
      </c>
      <c r="P649" s="16" t="n">
        <v>0</v>
      </c>
      <c r="Q649" s="16" t="n">
        <v>0</v>
      </c>
      <c r="R649" s="16" t="n">
        <v>0</v>
      </c>
      <c r="S649" s="16" t="n">
        <v>0</v>
      </c>
      <c r="T649" s="17" t="n">
        <f aca="false">AVERAGE(O649:Q649)</f>
        <v>0</v>
      </c>
      <c r="U649" s="18" t="str">
        <f aca="false">IF(T649&gt;=$H$3,"Eligible","Not Eligible")</f>
        <v>Not Eligible</v>
      </c>
      <c r="V649" s="19" t="n">
        <f aca="false">IF(T649&lt;$H$3,0,IFERROR(T649/SUMIF($T$5:$T$999,"&gt;="&amp;$H$3),0))</f>
        <v>0</v>
      </c>
      <c r="W649" s="15" t="str">
        <f aca="false">IF(T649=0,"Win-Back","Active")</f>
        <v>Win-Back</v>
      </c>
      <c r="X649" s="20" t="n">
        <f aca="false">IF(T649=0,0,IF(T649&gt;=$H$3,ROUND(T649*$D$3/SUMIF($T$5:$T$999,"&gt;="&amp;$H$3),0),ROUNDUP(T649*$D$3/SUMIF($T$5:$T$999,"&gt;="&amp;$H$3),0)))</f>
        <v>0</v>
      </c>
      <c r="Y649" s="21"/>
      <c r="Z649" s="16" t="str">
        <f aca="false">IF(X649=0,"",X649-Y649)</f>
        <v/>
      </c>
      <c r="AA649" s="22" t="str">
        <f aca="false">IFERROR(Y649/X649,"")</f>
        <v/>
      </c>
      <c r="AB649" s="16" t="n">
        <v>0</v>
      </c>
      <c r="AC649" s="21"/>
    </row>
    <row r="650" customFormat="false" ht="15" hidden="false" customHeight="true" outlineLevel="0" collapsed="false">
      <c r="A650" s="15"/>
      <c r="B650" s="15"/>
      <c r="C650" s="15" t="s">
        <v>6501</v>
      </c>
      <c r="D650" s="15" t="s">
        <v>6502</v>
      </c>
      <c r="E650" s="15" t="s">
        <v>6481</v>
      </c>
      <c r="F650" s="15" t="s">
        <v>6503</v>
      </c>
      <c r="G650" s="15" t="s">
        <v>6489</v>
      </c>
      <c r="H650" s="15" t="s">
        <v>6504</v>
      </c>
      <c r="I650" s="15"/>
      <c r="J650" s="15" t="s">
        <v>6505</v>
      </c>
      <c r="K650" s="15" t="s">
        <v>2839</v>
      </c>
      <c r="L650" s="15" t="s">
        <v>6506</v>
      </c>
      <c r="M650" s="15" t="s">
        <v>6507</v>
      </c>
      <c r="N650" s="15" t="s">
        <v>73</v>
      </c>
      <c r="O650" s="16" t="n">
        <v>0</v>
      </c>
      <c r="P650" s="16" t="n">
        <v>0</v>
      </c>
      <c r="Q650" s="16" t="n">
        <v>0</v>
      </c>
      <c r="R650" s="16" t="n">
        <v>0</v>
      </c>
      <c r="S650" s="16" t="n">
        <v>0</v>
      </c>
      <c r="T650" s="17" t="n">
        <f aca="false">AVERAGE(O650:Q650)</f>
        <v>0</v>
      </c>
      <c r="U650" s="18" t="str">
        <f aca="false">IF(T650&gt;=$H$3,"Eligible","Not Eligible")</f>
        <v>Not Eligible</v>
      </c>
      <c r="V650" s="19" t="n">
        <f aca="false">IF(T650&lt;$H$3,0,IFERROR(T650/SUMIF($T$5:$T$999,"&gt;="&amp;$H$3),0))</f>
        <v>0</v>
      </c>
      <c r="W650" s="15" t="str">
        <f aca="false">IF(T650=0,"Win-Back","Active")</f>
        <v>Win-Back</v>
      </c>
      <c r="X650" s="20" t="n">
        <f aca="false">IF(T650=0,0,IF(T650&gt;=$H$3,ROUND(T650*$D$3/SUMIF($T$5:$T$999,"&gt;="&amp;$H$3),0),ROUNDUP(T650*$D$3/SUMIF($T$5:$T$999,"&gt;="&amp;$H$3),0)))</f>
        <v>0</v>
      </c>
      <c r="Y650" s="21"/>
      <c r="Z650" s="16" t="str">
        <f aca="false">IF(X650=0,"",X650-Y650)</f>
        <v/>
      </c>
      <c r="AA650" s="22" t="str">
        <f aca="false">IFERROR(Y650/X650,"")</f>
        <v/>
      </c>
      <c r="AB650" s="16" t="n">
        <v>0</v>
      </c>
      <c r="AC650" s="21"/>
    </row>
    <row r="651" customFormat="false" ht="15" hidden="false" customHeight="true" outlineLevel="0" collapsed="false">
      <c r="A651" s="15"/>
      <c r="B651" s="15"/>
      <c r="C651" s="15" t="s">
        <v>6508</v>
      </c>
      <c r="D651" s="15" t="s">
        <v>6509</v>
      </c>
      <c r="E651" s="15" t="s">
        <v>6481</v>
      </c>
      <c r="F651" s="15" t="s">
        <v>6510</v>
      </c>
      <c r="G651" s="15" t="s">
        <v>6489</v>
      </c>
      <c r="H651" s="15" t="s">
        <v>6511</v>
      </c>
      <c r="I651" s="15"/>
      <c r="J651" s="15" t="s">
        <v>6512</v>
      </c>
      <c r="K651" s="15" t="s">
        <v>2839</v>
      </c>
      <c r="L651" s="15" t="s">
        <v>6513</v>
      </c>
      <c r="M651" s="15" t="s">
        <v>6514</v>
      </c>
      <c r="N651" s="15" t="s">
        <v>73</v>
      </c>
      <c r="O651" s="16" t="n">
        <v>0</v>
      </c>
      <c r="P651" s="16" t="n">
        <v>0</v>
      </c>
      <c r="Q651" s="16" t="n">
        <v>0</v>
      </c>
      <c r="R651" s="16" t="n">
        <v>0</v>
      </c>
      <c r="S651" s="16" t="n">
        <v>0</v>
      </c>
      <c r="T651" s="17" t="n">
        <f aca="false">AVERAGE(O651:Q651)</f>
        <v>0</v>
      </c>
      <c r="U651" s="18" t="str">
        <f aca="false">IF(T651&gt;=$H$3,"Eligible","Not Eligible")</f>
        <v>Not Eligible</v>
      </c>
      <c r="V651" s="19" t="n">
        <f aca="false">IF(T651&lt;$H$3,0,IFERROR(T651/SUMIF($T$5:$T$999,"&gt;="&amp;$H$3),0))</f>
        <v>0</v>
      </c>
      <c r="W651" s="15" t="str">
        <f aca="false">IF(T651=0,"Win-Back","Active")</f>
        <v>Win-Back</v>
      </c>
      <c r="X651" s="20" t="n">
        <f aca="false">IF(T651=0,0,IF(T651&gt;=$H$3,ROUND(T651*$D$3/SUMIF($T$5:$T$999,"&gt;="&amp;$H$3),0),ROUNDUP(T651*$D$3/SUMIF($T$5:$T$999,"&gt;="&amp;$H$3),0)))</f>
        <v>0</v>
      </c>
      <c r="Y651" s="21"/>
      <c r="Z651" s="16" t="str">
        <f aca="false">IF(X651=0,"",X651-Y651)</f>
        <v/>
      </c>
      <c r="AA651" s="22" t="str">
        <f aca="false">IFERROR(Y651/X651,"")</f>
        <v/>
      </c>
      <c r="AB651" s="16" t="n">
        <v>0</v>
      </c>
      <c r="AC651" s="21"/>
    </row>
    <row r="652" customFormat="false" ht="15" hidden="false" customHeight="true" outlineLevel="0" collapsed="false">
      <c r="A652" s="15"/>
      <c r="B652" s="15"/>
      <c r="C652" s="15" t="s">
        <v>6515</v>
      </c>
      <c r="D652" s="15" t="s">
        <v>6516</v>
      </c>
      <c r="E652" s="15" t="s">
        <v>6481</v>
      </c>
      <c r="F652" s="15" t="s">
        <v>6517</v>
      </c>
      <c r="G652" s="15" t="s">
        <v>6489</v>
      </c>
      <c r="H652" s="15" t="s">
        <v>6518</v>
      </c>
      <c r="I652" s="15"/>
      <c r="J652" s="15" t="s">
        <v>6519</v>
      </c>
      <c r="K652" s="15" t="s">
        <v>2839</v>
      </c>
      <c r="L652" s="15" t="s">
        <v>6520</v>
      </c>
      <c r="M652" s="15" t="s">
        <v>6521</v>
      </c>
      <c r="N652" s="15" t="s">
        <v>73</v>
      </c>
      <c r="O652" s="16" t="n">
        <v>0</v>
      </c>
      <c r="P652" s="16" t="n">
        <v>0</v>
      </c>
      <c r="Q652" s="16" t="n">
        <v>0</v>
      </c>
      <c r="R652" s="16" t="n">
        <v>0</v>
      </c>
      <c r="S652" s="16" t="n">
        <v>0</v>
      </c>
      <c r="T652" s="17" t="n">
        <f aca="false">AVERAGE(O652:Q652)</f>
        <v>0</v>
      </c>
      <c r="U652" s="18" t="str">
        <f aca="false">IF(T652&gt;=$H$3,"Eligible","Not Eligible")</f>
        <v>Not Eligible</v>
      </c>
      <c r="V652" s="19" t="n">
        <f aca="false">IF(T652&lt;$H$3,0,IFERROR(T652/SUMIF($T$5:$T$999,"&gt;="&amp;$H$3),0))</f>
        <v>0</v>
      </c>
      <c r="W652" s="15" t="str">
        <f aca="false">IF(T652=0,"Win-Back","Active")</f>
        <v>Win-Back</v>
      </c>
      <c r="X652" s="20" t="n">
        <f aca="false">IF(T652=0,0,IF(T652&gt;=$H$3,ROUND(T652*$D$3/SUMIF($T$5:$T$999,"&gt;="&amp;$H$3),0),ROUNDUP(T652*$D$3/SUMIF($T$5:$T$999,"&gt;="&amp;$H$3),0)))</f>
        <v>0</v>
      </c>
      <c r="Y652" s="21"/>
      <c r="Z652" s="16" t="str">
        <f aca="false">IF(X652=0,"",X652-Y652)</f>
        <v/>
      </c>
      <c r="AA652" s="22" t="str">
        <f aca="false">IFERROR(Y652/X652,"")</f>
        <v/>
      </c>
      <c r="AB652" s="16" t="n">
        <v>0</v>
      </c>
      <c r="AC652" s="21"/>
    </row>
    <row r="653" customFormat="false" ht="15" hidden="false" customHeight="true" outlineLevel="0" collapsed="false">
      <c r="A653" s="15"/>
      <c r="B653" s="15"/>
      <c r="C653" s="15" t="s">
        <v>6522</v>
      </c>
      <c r="D653" s="15" t="s">
        <v>6523</v>
      </c>
      <c r="E653" s="15" t="s">
        <v>6481</v>
      </c>
      <c r="F653" s="15" t="s">
        <v>6524</v>
      </c>
      <c r="G653" s="15" t="s">
        <v>6525</v>
      </c>
      <c r="H653" s="15" t="s">
        <v>6526</v>
      </c>
      <c r="I653" s="15"/>
      <c r="J653" s="15" t="s">
        <v>6527</v>
      </c>
      <c r="K653" s="15" t="s">
        <v>2839</v>
      </c>
      <c r="L653" s="15" t="s">
        <v>6528</v>
      </c>
      <c r="M653" s="15" t="s">
        <v>6529</v>
      </c>
      <c r="N653" s="15" t="s">
        <v>73</v>
      </c>
      <c r="O653" s="16" t="n">
        <v>0</v>
      </c>
      <c r="P653" s="16" t="n">
        <v>0</v>
      </c>
      <c r="Q653" s="16" t="n">
        <v>0</v>
      </c>
      <c r="R653" s="16" t="n">
        <v>0</v>
      </c>
      <c r="S653" s="16" t="n">
        <v>0</v>
      </c>
      <c r="T653" s="17" t="n">
        <f aca="false">AVERAGE(O653:Q653)</f>
        <v>0</v>
      </c>
      <c r="U653" s="18" t="str">
        <f aca="false">IF(T653&gt;=$H$3,"Eligible","Not Eligible")</f>
        <v>Not Eligible</v>
      </c>
      <c r="V653" s="19" t="n">
        <f aca="false">IF(T653&lt;$H$3,0,IFERROR(T653/SUMIF($T$5:$T$999,"&gt;="&amp;$H$3),0))</f>
        <v>0</v>
      </c>
      <c r="W653" s="15" t="str">
        <f aca="false">IF(T653=0,"Win-Back","Active")</f>
        <v>Win-Back</v>
      </c>
      <c r="X653" s="20" t="n">
        <f aca="false">IF(T653=0,0,IF(T653&gt;=$H$3,ROUND(T653*$D$3/SUMIF($T$5:$T$999,"&gt;="&amp;$H$3),0),ROUNDUP(T653*$D$3/SUMIF($T$5:$T$999,"&gt;="&amp;$H$3),0)))</f>
        <v>0</v>
      </c>
      <c r="Y653" s="21"/>
      <c r="Z653" s="16" t="str">
        <f aca="false">IF(X653=0,"",X653-Y653)</f>
        <v/>
      </c>
      <c r="AA653" s="22" t="str">
        <f aca="false">IFERROR(Y653/X653,"")</f>
        <v/>
      </c>
      <c r="AB653" s="16" t="n">
        <v>0</v>
      </c>
      <c r="AC653" s="21"/>
    </row>
    <row r="654" customFormat="false" ht="15" hidden="false" customHeight="true" outlineLevel="0" collapsed="false">
      <c r="A654" s="15" t="s">
        <v>6530</v>
      </c>
      <c r="B654" s="15" t="s">
        <v>6531</v>
      </c>
      <c r="C654" s="15" t="s">
        <v>6532</v>
      </c>
      <c r="D654" s="15" t="s">
        <v>6349</v>
      </c>
      <c r="E654" s="15" t="s">
        <v>6533</v>
      </c>
      <c r="F654" s="15" t="s">
        <v>6534</v>
      </c>
      <c r="G654" s="15" t="s">
        <v>6352</v>
      </c>
      <c r="H654" s="15" t="s">
        <v>6535</v>
      </c>
      <c r="I654" s="15" t="s">
        <v>6536</v>
      </c>
      <c r="J654" s="15" t="s">
        <v>6537</v>
      </c>
      <c r="K654" s="15" t="s">
        <v>70</v>
      </c>
      <c r="L654" s="15" t="s">
        <v>4359</v>
      </c>
      <c r="M654" s="15" t="s">
        <v>6356</v>
      </c>
      <c r="N654" s="15" t="s">
        <v>73</v>
      </c>
      <c r="O654" s="16" t="n">
        <v>0</v>
      </c>
      <c r="P654" s="16" t="n">
        <v>0</v>
      </c>
      <c r="Q654" s="16" t="n">
        <v>0</v>
      </c>
      <c r="R654" s="16" t="n">
        <v>0</v>
      </c>
      <c r="S654" s="16" t="n">
        <v>0</v>
      </c>
      <c r="T654" s="17" t="n">
        <f aca="false">AVERAGE(O654:Q654)</f>
        <v>0</v>
      </c>
      <c r="U654" s="18" t="str">
        <f aca="false">IF(T654&gt;=$H$3,"Eligible","Not Eligible")</f>
        <v>Not Eligible</v>
      </c>
      <c r="V654" s="19" t="n">
        <f aca="false">IF(T654&lt;$H$3,0,IFERROR(T654/SUMIF($T$5:$T$999,"&gt;="&amp;$H$3),0))</f>
        <v>0</v>
      </c>
      <c r="W654" s="15" t="str">
        <f aca="false">IF(T654=0,"Win-Back","Active")</f>
        <v>Win-Back</v>
      </c>
      <c r="X654" s="20" t="n">
        <f aca="false">IF(T654=0,0,IF(T654&gt;=$H$3,ROUND(T654*$D$3/SUMIF($T$5:$T$999,"&gt;="&amp;$H$3),0),ROUNDUP(T654*$D$3/SUMIF($T$5:$T$999,"&gt;="&amp;$H$3),0)))</f>
        <v>0</v>
      </c>
      <c r="Y654" s="21"/>
      <c r="Z654" s="16" t="str">
        <f aca="false">IF(X654=0,"",X654-Y654)</f>
        <v/>
      </c>
      <c r="AA654" s="22" t="str">
        <f aca="false">IFERROR(Y654/X654,"")</f>
        <v/>
      </c>
      <c r="AB654" s="16" t="n">
        <v>0</v>
      </c>
      <c r="AC654" s="21"/>
    </row>
    <row r="655" customFormat="false" ht="15" hidden="false" customHeight="true" outlineLevel="0" collapsed="false">
      <c r="A655" s="15" t="s">
        <v>6538</v>
      </c>
      <c r="B655" s="15" t="s">
        <v>6539</v>
      </c>
      <c r="C655" s="15" t="s">
        <v>6540</v>
      </c>
      <c r="D655" s="15" t="s">
        <v>6541</v>
      </c>
      <c r="E655" s="15" t="s">
        <v>6542</v>
      </c>
      <c r="F655" s="15" t="s">
        <v>6543</v>
      </c>
      <c r="G655" s="15" t="s">
        <v>6544</v>
      </c>
      <c r="H655" s="15" t="s">
        <v>6545</v>
      </c>
      <c r="I655" s="15" t="s">
        <v>6546</v>
      </c>
      <c r="J655" s="15" t="s">
        <v>6547</v>
      </c>
      <c r="K655" s="15" t="s">
        <v>298</v>
      </c>
      <c r="L655" s="15" t="s">
        <v>6548</v>
      </c>
      <c r="M655" s="15" t="s">
        <v>6549</v>
      </c>
      <c r="N655" s="15" t="s">
        <v>73</v>
      </c>
      <c r="O655" s="16" t="n">
        <v>0</v>
      </c>
      <c r="P655" s="16" t="n">
        <v>0</v>
      </c>
      <c r="Q655" s="16" t="n">
        <v>0</v>
      </c>
      <c r="R655" s="16" t="n">
        <v>0</v>
      </c>
      <c r="S655" s="16" t="n">
        <v>0</v>
      </c>
      <c r="T655" s="17" t="n">
        <f aca="false">AVERAGE(O655:Q655)</f>
        <v>0</v>
      </c>
      <c r="U655" s="18" t="str">
        <f aca="false">IF(T655&gt;=$H$3,"Eligible","Not Eligible")</f>
        <v>Not Eligible</v>
      </c>
      <c r="V655" s="19" t="n">
        <f aca="false">IF(T655&lt;$H$3,0,IFERROR(T655/SUMIF($T$5:$T$999,"&gt;="&amp;$H$3),0))</f>
        <v>0</v>
      </c>
      <c r="W655" s="15" t="str">
        <f aca="false">IF(T655=0,"Win-Back","Active")</f>
        <v>Win-Back</v>
      </c>
      <c r="X655" s="20" t="n">
        <f aca="false">IF(T655=0,0,IF(T655&gt;=$H$3,ROUND(T655*$D$3/SUMIF($T$5:$T$999,"&gt;="&amp;$H$3),0),ROUNDUP(T655*$D$3/SUMIF($T$5:$T$999,"&gt;="&amp;$H$3),0)))</f>
        <v>0</v>
      </c>
      <c r="Y655" s="21"/>
      <c r="Z655" s="16" t="str">
        <f aca="false">IF(X655=0,"",X655-Y655)</f>
        <v/>
      </c>
      <c r="AA655" s="22" t="str">
        <f aca="false">IFERROR(Y655/X655,"")</f>
        <v/>
      </c>
      <c r="AB655" s="16" t="n">
        <v>0</v>
      </c>
      <c r="AC655" s="21"/>
    </row>
    <row r="656" customFormat="false" ht="15" hidden="false" customHeight="true" outlineLevel="0" collapsed="false">
      <c r="A656" s="15" t="s">
        <v>6550</v>
      </c>
      <c r="B656" s="15" t="s">
        <v>6551</v>
      </c>
      <c r="C656" s="15" t="s">
        <v>6552</v>
      </c>
      <c r="D656" s="15" t="s">
        <v>6553</v>
      </c>
      <c r="E656" s="15" t="s">
        <v>6554</v>
      </c>
      <c r="F656" s="15" t="s">
        <v>6555</v>
      </c>
      <c r="G656" s="15" t="s">
        <v>6556</v>
      </c>
      <c r="H656" s="15" t="s">
        <v>6557</v>
      </c>
      <c r="I656" s="15" t="s">
        <v>1782</v>
      </c>
      <c r="J656" s="15" t="s">
        <v>6558</v>
      </c>
      <c r="K656" s="15" t="s">
        <v>70</v>
      </c>
      <c r="L656" s="15" t="s">
        <v>6559</v>
      </c>
      <c r="M656" s="15" t="s">
        <v>6560</v>
      </c>
      <c r="N656" s="15" t="s">
        <v>73</v>
      </c>
      <c r="O656" s="16" t="n">
        <v>0</v>
      </c>
      <c r="P656" s="16" t="n">
        <v>0</v>
      </c>
      <c r="Q656" s="16" t="n">
        <v>0</v>
      </c>
      <c r="R656" s="16" t="n">
        <v>0</v>
      </c>
      <c r="S656" s="16" t="n">
        <v>0</v>
      </c>
      <c r="T656" s="17" t="n">
        <f aca="false">AVERAGE(O656:Q656)</f>
        <v>0</v>
      </c>
      <c r="U656" s="18" t="str">
        <f aca="false">IF(T656&gt;=$H$3,"Eligible","Not Eligible")</f>
        <v>Not Eligible</v>
      </c>
      <c r="V656" s="19" t="n">
        <f aca="false">IF(T656&lt;$H$3,0,IFERROR(T656/SUMIF($T$5:$T$999,"&gt;="&amp;$H$3),0))</f>
        <v>0</v>
      </c>
      <c r="W656" s="15" t="str">
        <f aca="false">IF(T656=0,"Win-Back","Active")</f>
        <v>Win-Back</v>
      </c>
      <c r="X656" s="20" t="n">
        <f aca="false">IF(T656=0,0,IF(T656&gt;=$H$3,ROUND(T656*$D$3/SUMIF($T$5:$T$999,"&gt;="&amp;$H$3),0),ROUNDUP(T656*$D$3/SUMIF($T$5:$T$999,"&gt;="&amp;$H$3),0)))</f>
        <v>0</v>
      </c>
      <c r="Y656" s="21"/>
      <c r="Z656" s="16" t="str">
        <f aca="false">IF(X656=0,"",X656-Y656)</f>
        <v/>
      </c>
      <c r="AA656" s="22" t="str">
        <f aca="false">IFERROR(Y656/X656,"")</f>
        <v/>
      </c>
      <c r="AB656" s="16" t="n">
        <v>0</v>
      </c>
      <c r="AC656" s="21"/>
    </row>
    <row r="657" customFormat="false" ht="15" hidden="false" customHeight="true" outlineLevel="0" collapsed="false">
      <c r="A657" s="15" t="s">
        <v>6561</v>
      </c>
      <c r="B657" s="15" t="s">
        <v>6562</v>
      </c>
      <c r="C657" s="15" t="s">
        <v>6563</v>
      </c>
      <c r="D657" s="15" t="s">
        <v>6564</v>
      </c>
      <c r="E657" s="15" t="s">
        <v>6565</v>
      </c>
      <c r="F657" s="15" t="s">
        <v>6566</v>
      </c>
      <c r="G657" s="15" t="s">
        <v>6567</v>
      </c>
      <c r="H657" s="15" t="s">
        <v>6568</v>
      </c>
      <c r="I657" s="15"/>
      <c r="J657" s="15" t="s">
        <v>6569</v>
      </c>
      <c r="K657" s="15" t="s">
        <v>70</v>
      </c>
      <c r="L657" s="15" t="s">
        <v>6570</v>
      </c>
      <c r="M657" s="15" t="s">
        <v>6571</v>
      </c>
      <c r="N657" s="15" t="s">
        <v>73</v>
      </c>
      <c r="O657" s="16" t="n">
        <v>0</v>
      </c>
      <c r="P657" s="16" t="n">
        <v>0</v>
      </c>
      <c r="Q657" s="16" t="n">
        <v>0</v>
      </c>
      <c r="R657" s="16" t="n">
        <v>0</v>
      </c>
      <c r="S657" s="16" t="n">
        <v>0</v>
      </c>
      <c r="T657" s="17" t="n">
        <f aca="false">AVERAGE(O657:Q657)</f>
        <v>0</v>
      </c>
      <c r="U657" s="18" t="str">
        <f aca="false">IF(T657&gt;=$H$3,"Eligible","Not Eligible")</f>
        <v>Not Eligible</v>
      </c>
      <c r="V657" s="19" t="n">
        <f aca="false">IF(T657&lt;$H$3,0,IFERROR(T657/SUMIF($T$5:$T$999,"&gt;="&amp;$H$3),0))</f>
        <v>0</v>
      </c>
      <c r="W657" s="15" t="str">
        <f aca="false">IF(T657=0,"Win-Back","Active")</f>
        <v>Win-Back</v>
      </c>
      <c r="X657" s="20" t="n">
        <f aca="false">IF(T657=0,0,IF(T657&gt;=$H$3,ROUND(T657*$D$3/SUMIF($T$5:$T$999,"&gt;="&amp;$H$3),0),ROUNDUP(T657*$D$3/SUMIF($T$5:$T$999,"&gt;="&amp;$H$3),0)))</f>
        <v>0</v>
      </c>
      <c r="Y657" s="21"/>
      <c r="Z657" s="16" t="str">
        <f aca="false">IF(X657=0,"",X657-Y657)</f>
        <v/>
      </c>
      <c r="AA657" s="22" t="str">
        <f aca="false">IFERROR(Y657/X657,"")</f>
        <v/>
      </c>
      <c r="AB657" s="16" t="n">
        <v>0</v>
      </c>
      <c r="AC657" s="21"/>
    </row>
    <row r="658" customFormat="false" ht="15" hidden="false" customHeight="true" outlineLevel="0" collapsed="false">
      <c r="A658" s="15" t="s">
        <v>6572</v>
      </c>
      <c r="B658" s="15" t="s">
        <v>2506</v>
      </c>
      <c r="C658" s="15" t="s">
        <v>6573</v>
      </c>
      <c r="D658" s="15" t="s">
        <v>6574</v>
      </c>
      <c r="E658" s="15" t="s">
        <v>6575</v>
      </c>
      <c r="F658" s="15" t="s">
        <v>6576</v>
      </c>
      <c r="G658" s="15" t="s">
        <v>6577</v>
      </c>
      <c r="H658" s="15" t="s">
        <v>6578</v>
      </c>
      <c r="I658" s="15"/>
      <c r="J658" s="15" t="s">
        <v>6579</v>
      </c>
      <c r="K658" s="15" t="s">
        <v>2557</v>
      </c>
      <c r="L658" s="15" t="s">
        <v>6580</v>
      </c>
      <c r="M658" s="15" t="s">
        <v>6581</v>
      </c>
      <c r="N658" s="15" t="s">
        <v>73</v>
      </c>
      <c r="O658" s="16" t="n">
        <v>0</v>
      </c>
      <c r="P658" s="16" t="n">
        <v>0</v>
      </c>
      <c r="Q658" s="16" t="n">
        <v>0</v>
      </c>
      <c r="R658" s="16" t="n">
        <v>0</v>
      </c>
      <c r="S658" s="16" t="n">
        <v>0</v>
      </c>
      <c r="T658" s="17" t="n">
        <f aca="false">AVERAGE(O658:Q658)</f>
        <v>0</v>
      </c>
      <c r="U658" s="18" t="str">
        <f aca="false">IF(T658&gt;=$H$3,"Eligible","Not Eligible")</f>
        <v>Not Eligible</v>
      </c>
      <c r="V658" s="19" t="n">
        <f aca="false">IF(T658&lt;$H$3,0,IFERROR(T658/SUMIF($T$5:$T$999,"&gt;="&amp;$H$3),0))</f>
        <v>0</v>
      </c>
      <c r="W658" s="15" t="str">
        <f aca="false">IF(T658=0,"Win-Back","Active")</f>
        <v>Win-Back</v>
      </c>
      <c r="X658" s="20" t="n">
        <f aca="false">IF(T658=0,0,IF(T658&gt;=$H$3,ROUND(T658*$D$3/SUMIF($T$5:$T$999,"&gt;="&amp;$H$3),0),ROUNDUP(T658*$D$3/SUMIF($T$5:$T$999,"&gt;="&amp;$H$3),0)))</f>
        <v>0</v>
      </c>
      <c r="Y658" s="21"/>
      <c r="Z658" s="16" t="str">
        <f aca="false">IF(X658=0,"",X658-Y658)</f>
        <v/>
      </c>
      <c r="AA658" s="22" t="str">
        <f aca="false">IFERROR(Y658/X658,"")</f>
        <v/>
      </c>
      <c r="AB658" s="16" t="n">
        <v>0</v>
      </c>
      <c r="AC658" s="21"/>
    </row>
    <row r="659" customFormat="false" ht="15" hidden="false" customHeight="true" outlineLevel="0" collapsed="false">
      <c r="A659" s="15" t="s">
        <v>6582</v>
      </c>
      <c r="B659" s="15" t="s">
        <v>6583</v>
      </c>
      <c r="C659" s="15" t="s">
        <v>6584</v>
      </c>
      <c r="D659" s="15" t="s">
        <v>6585</v>
      </c>
      <c r="E659" s="15" t="s">
        <v>6565</v>
      </c>
      <c r="F659" s="15" t="s">
        <v>6566</v>
      </c>
      <c r="G659" s="15" t="s">
        <v>6567</v>
      </c>
      <c r="H659" s="15" t="s">
        <v>6586</v>
      </c>
      <c r="I659" s="15"/>
      <c r="J659" s="15" t="s">
        <v>3866</v>
      </c>
      <c r="K659" s="15" t="s">
        <v>70</v>
      </c>
      <c r="L659" s="15" t="s">
        <v>3867</v>
      </c>
      <c r="M659" s="15" t="s">
        <v>6571</v>
      </c>
      <c r="N659" s="15" t="s">
        <v>73</v>
      </c>
      <c r="O659" s="16" t="n">
        <v>0</v>
      </c>
      <c r="P659" s="16" t="n">
        <v>0</v>
      </c>
      <c r="Q659" s="16" t="n">
        <v>0</v>
      </c>
      <c r="R659" s="16" t="n">
        <v>0</v>
      </c>
      <c r="S659" s="16" t="n">
        <v>0</v>
      </c>
      <c r="T659" s="17" t="n">
        <f aca="false">AVERAGE(O659:Q659)</f>
        <v>0</v>
      </c>
      <c r="U659" s="18" t="str">
        <f aca="false">IF(T659&gt;=$H$3,"Eligible","Not Eligible")</f>
        <v>Not Eligible</v>
      </c>
      <c r="V659" s="19" t="n">
        <f aca="false">IF(T659&lt;$H$3,0,IFERROR(T659/SUMIF($T$5:$T$999,"&gt;="&amp;$H$3),0))</f>
        <v>0</v>
      </c>
      <c r="W659" s="15" t="str">
        <f aca="false">IF(T659=0,"Win-Back","Active")</f>
        <v>Win-Back</v>
      </c>
      <c r="X659" s="20" t="n">
        <f aca="false">IF(T659=0,0,IF(T659&gt;=$H$3,ROUND(T659*$D$3/SUMIF($T$5:$T$999,"&gt;="&amp;$H$3),0),ROUNDUP(T659*$D$3/SUMIF($T$5:$T$999,"&gt;="&amp;$H$3),0)))</f>
        <v>0</v>
      </c>
      <c r="Y659" s="21"/>
      <c r="Z659" s="16" t="str">
        <f aca="false">IF(X659=0,"",X659-Y659)</f>
        <v/>
      </c>
      <c r="AA659" s="22" t="str">
        <f aca="false">IFERROR(Y659/X659,"")</f>
        <v/>
      </c>
      <c r="AB659" s="16" t="n">
        <v>0</v>
      </c>
      <c r="AC659" s="21"/>
    </row>
    <row r="660" customFormat="false" ht="15" hidden="false" customHeight="true" outlineLevel="0" collapsed="false">
      <c r="A660" s="15" t="s">
        <v>6587</v>
      </c>
      <c r="B660" s="15" t="s">
        <v>6588</v>
      </c>
      <c r="C660" s="15" t="s">
        <v>6589</v>
      </c>
      <c r="D660" s="15" t="s">
        <v>6590</v>
      </c>
      <c r="E660" s="15" t="s">
        <v>6591</v>
      </c>
      <c r="F660" s="15" t="s">
        <v>6592</v>
      </c>
      <c r="G660" s="15" t="s">
        <v>6593</v>
      </c>
      <c r="H660" s="15" t="s">
        <v>6594</v>
      </c>
      <c r="I660" s="15" t="s">
        <v>3473</v>
      </c>
      <c r="J660" s="15" t="s">
        <v>6595</v>
      </c>
      <c r="K660" s="15" t="s">
        <v>70</v>
      </c>
      <c r="L660" s="15" t="s">
        <v>3867</v>
      </c>
      <c r="M660" s="15" t="s">
        <v>6596</v>
      </c>
      <c r="N660" s="15" t="s">
        <v>73</v>
      </c>
      <c r="O660" s="16" t="n">
        <v>0</v>
      </c>
      <c r="P660" s="16" t="n">
        <v>0</v>
      </c>
      <c r="Q660" s="16" t="n">
        <v>0</v>
      </c>
      <c r="R660" s="16" t="n">
        <v>0</v>
      </c>
      <c r="S660" s="16" t="n">
        <v>0</v>
      </c>
      <c r="T660" s="17" t="n">
        <f aca="false">AVERAGE(O660:Q660)</f>
        <v>0</v>
      </c>
      <c r="U660" s="18" t="str">
        <f aca="false">IF(T660&gt;=$H$3,"Eligible","Not Eligible")</f>
        <v>Not Eligible</v>
      </c>
      <c r="V660" s="19" t="n">
        <f aca="false">IF(T660&lt;$H$3,0,IFERROR(T660/SUMIF($T$5:$T$999,"&gt;="&amp;$H$3),0))</f>
        <v>0</v>
      </c>
      <c r="W660" s="15" t="str">
        <f aca="false">IF(T660=0,"Win-Back","Active")</f>
        <v>Win-Back</v>
      </c>
      <c r="X660" s="20" t="n">
        <f aca="false">IF(T660=0,0,IF(T660&gt;=$H$3,ROUND(T660*$D$3/SUMIF($T$5:$T$999,"&gt;="&amp;$H$3),0),ROUNDUP(T660*$D$3/SUMIF($T$5:$T$999,"&gt;="&amp;$H$3),0)))</f>
        <v>0</v>
      </c>
      <c r="Y660" s="21" t="n">
        <v>6</v>
      </c>
      <c r="Z660" s="16" t="str">
        <f aca="false">IF(X660=0,"",X660-Y660)</f>
        <v/>
      </c>
      <c r="AA660" s="22" t="str">
        <f aca="false">IFERROR(Y660/X660,"")</f>
        <v/>
      </c>
      <c r="AB660" s="16" t="n">
        <v>0</v>
      </c>
      <c r="AC660" s="21"/>
    </row>
    <row r="661" customFormat="false" ht="15" hidden="false" customHeight="true" outlineLevel="0" collapsed="false">
      <c r="A661" s="15" t="s">
        <v>6597</v>
      </c>
      <c r="B661" s="15" t="s">
        <v>6598</v>
      </c>
      <c r="C661" s="15" t="s">
        <v>6599</v>
      </c>
      <c r="D661" s="15" t="s">
        <v>6600</v>
      </c>
      <c r="E661" s="15" t="s">
        <v>6601</v>
      </c>
      <c r="F661" s="15" t="s">
        <v>6602</v>
      </c>
      <c r="G661" s="15" t="s">
        <v>6603</v>
      </c>
      <c r="H661" s="15" t="s">
        <v>6604</v>
      </c>
      <c r="I661" s="15"/>
      <c r="J661" s="15" t="s">
        <v>594</v>
      </c>
      <c r="K661" s="15" t="s">
        <v>368</v>
      </c>
      <c r="L661" s="15" t="s">
        <v>3600</v>
      </c>
      <c r="M661" s="15" t="s">
        <v>6605</v>
      </c>
      <c r="N661" s="15" t="s">
        <v>73</v>
      </c>
      <c r="O661" s="16" t="n">
        <v>0</v>
      </c>
      <c r="P661" s="16" t="n">
        <v>0</v>
      </c>
      <c r="Q661" s="16" t="n">
        <v>0</v>
      </c>
      <c r="R661" s="16" t="n">
        <v>0</v>
      </c>
      <c r="S661" s="16" t="n">
        <v>0</v>
      </c>
      <c r="T661" s="17" t="n">
        <f aca="false">AVERAGE(O661:Q661)</f>
        <v>0</v>
      </c>
      <c r="U661" s="18" t="str">
        <f aca="false">IF(T661&gt;=$H$3,"Eligible","Not Eligible")</f>
        <v>Not Eligible</v>
      </c>
      <c r="V661" s="19" t="n">
        <f aca="false">IF(T661&lt;$H$3,0,IFERROR(T661/SUMIF($T$5:$T$999,"&gt;="&amp;$H$3),0))</f>
        <v>0</v>
      </c>
      <c r="W661" s="15" t="str">
        <f aca="false">IF(T661=0,"Win-Back","Active")</f>
        <v>Win-Back</v>
      </c>
      <c r="X661" s="20" t="n">
        <f aca="false">IF(T661=0,0,IF(T661&gt;=$H$3,ROUND(T661*$D$3/SUMIF($T$5:$T$999,"&gt;="&amp;$H$3),0),ROUNDUP(T661*$D$3/SUMIF($T$5:$T$999,"&gt;="&amp;$H$3),0)))</f>
        <v>0</v>
      </c>
      <c r="Y661" s="21"/>
      <c r="Z661" s="16" t="str">
        <f aca="false">IF(X661=0,"",X661-Y661)</f>
        <v/>
      </c>
      <c r="AA661" s="22" t="str">
        <f aca="false">IFERROR(Y661/X661,"")</f>
        <v/>
      </c>
      <c r="AB661" s="16" t="n">
        <v>0</v>
      </c>
      <c r="AC661" s="21"/>
    </row>
    <row r="662" customFormat="false" ht="15" hidden="false" customHeight="true" outlineLevel="0" collapsed="false">
      <c r="A662" s="15" t="s">
        <v>6606</v>
      </c>
      <c r="B662" s="15" t="s">
        <v>6607</v>
      </c>
      <c r="C662" s="15" t="s">
        <v>6608</v>
      </c>
      <c r="D662" s="15" t="s">
        <v>6609</v>
      </c>
      <c r="E662" s="15" t="s">
        <v>6610</v>
      </c>
      <c r="F662" s="15" t="s">
        <v>6611</v>
      </c>
      <c r="G662" s="15" t="s">
        <v>6612</v>
      </c>
      <c r="H662" s="15" t="s">
        <v>6613</v>
      </c>
      <c r="I662" s="15" t="s">
        <v>1566</v>
      </c>
      <c r="J662" s="15" t="s">
        <v>6614</v>
      </c>
      <c r="K662" s="15" t="s">
        <v>70</v>
      </c>
      <c r="L662" s="15" t="s">
        <v>6615</v>
      </c>
      <c r="M662" s="15" t="s">
        <v>6616</v>
      </c>
      <c r="N662" s="15" t="s">
        <v>73</v>
      </c>
      <c r="O662" s="16" t="n">
        <v>0</v>
      </c>
      <c r="P662" s="16" t="n">
        <v>0</v>
      </c>
      <c r="Q662" s="16" t="n">
        <v>0</v>
      </c>
      <c r="R662" s="16" t="n">
        <v>0</v>
      </c>
      <c r="S662" s="16" t="n">
        <v>0</v>
      </c>
      <c r="T662" s="17" t="n">
        <f aca="false">AVERAGE(O662:Q662)</f>
        <v>0</v>
      </c>
      <c r="U662" s="18" t="str">
        <f aca="false">IF(T662&gt;=$H$3,"Eligible","Not Eligible")</f>
        <v>Not Eligible</v>
      </c>
      <c r="V662" s="19" t="n">
        <f aca="false">IF(T662&lt;$H$3,0,IFERROR(T662/SUMIF($T$5:$T$999,"&gt;="&amp;$H$3),0))</f>
        <v>0</v>
      </c>
      <c r="W662" s="15" t="str">
        <f aca="false">IF(T662=0,"Win-Back","Active")</f>
        <v>Win-Back</v>
      </c>
      <c r="X662" s="20" t="n">
        <f aca="false">IF(T662=0,0,IF(T662&gt;=$H$3,ROUND(T662*$D$3/SUMIF($T$5:$T$999,"&gt;="&amp;$H$3),0),ROUNDUP(T662*$D$3/SUMIF($T$5:$T$999,"&gt;="&amp;$H$3),0)))</f>
        <v>0</v>
      </c>
      <c r="Y662" s="21"/>
      <c r="Z662" s="16" t="str">
        <f aca="false">IF(X662=0,"",X662-Y662)</f>
        <v/>
      </c>
      <c r="AA662" s="22" t="str">
        <f aca="false">IFERROR(Y662/X662,"")</f>
        <v/>
      </c>
      <c r="AB662" s="16" t="n">
        <v>0</v>
      </c>
      <c r="AC662" s="21"/>
    </row>
    <row r="663" customFormat="false" ht="15" hidden="false" customHeight="true" outlineLevel="0" collapsed="false">
      <c r="A663" s="15" t="s">
        <v>6617</v>
      </c>
      <c r="B663" s="15" t="s">
        <v>6618</v>
      </c>
      <c r="C663" s="15" t="s">
        <v>6619</v>
      </c>
      <c r="D663" s="15" t="s">
        <v>6620</v>
      </c>
      <c r="E663" s="15" t="s">
        <v>6621</v>
      </c>
      <c r="F663" s="15" t="s">
        <v>6622</v>
      </c>
      <c r="G663" s="15" t="s">
        <v>6623</v>
      </c>
      <c r="H663" s="15" t="s">
        <v>6624</v>
      </c>
      <c r="I663" s="15"/>
      <c r="J663" s="15" t="s">
        <v>2878</v>
      </c>
      <c r="K663" s="15" t="s">
        <v>563</v>
      </c>
      <c r="L663" s="15" t="s">
        <v>6625</v>
      </c>
      <c r="M663" s="15" t="s">
        <v>6626</v>
      </c>
      <c r="N663" s="15" t="s">
        <v>73</v>
      </c>
      <c r="O663" s="16" t="n">
        <v>0</v>
      </c>
      <c r="P663" s="16" t="n">
        <v>0</v>
      </c>
      <c r="Q663" s="16" t="n">
        <v>0</v>
      </c>
      <c r="R663" s="16" t="n">
        <v>0</v>
      </c>
      <c r="S663" s="16" t="n">
        <v>0</v>
      </c>
      <c r="T663" s="17" t="n">
        <f aca="false">AVERAGE(O663:Q663)</f>
        <v>0</v>
      </c>
      <c r="U663" s="18" t="str">
        <f aca="false">IF(T663&gt;=$H$3,"Eligible","Not Eligible")</f>
        <v>Not Eligible</v>
      </c>
      <c r="V663" s="19" t="n">
        <f aca="false">IF(T663&lt;$H$3,0,IFERROR(T663/SUMIF($T$5:$T$999,"&gt;="&amp;$H$3),0))</f>
        <v>0</v>
      </c>
      <c r="W663" s="15" t="str">
        <f aca="false">IF(T663=0,"Win-Back","Active")</f>
        <v>Win-Back</v>
      </c>
      <c r="X663" s="20" t="n">
        <f aca="false">IF(T663=0,0,IF(T663&gt;=$H$3,ROUND(T663*$D$3/SUMIF($T$5:$T$999,"&gt;="&amp;$H$3),0),ROUNDUP(T663*$D$3/SUMIF($T$5:$T$999,"&gt;="&amp;$H$3),0)))</f>
        <v>0</v>
      </c>
      <c r="Y663" s="21" t="n">
        <v>1</v>
      </c>
      <c r="Z663" s="16" t="str">
        <f aca="false">IF(X663=0,"",X663-Y663)</f>
        <v/>
      </c>
      <c r="AA663" s="22" t="str">
        <f aca="false">IFERROR(Y663/X663,"")</f>
        <v/>
      </c>
      <c r="AB663" s="16" t="n">
        <v>0</v>
      </c>
      <c r="AC663" s="21"/>
    </row>
    <row r="664" customFormat="false" ht="15" hidden="false" customHeight="true" outlineLevel="0" collapsed="false">
      <c r="A664" s="15"/>
      <c r="B664" s="15"/>
      <c r="C664" s="15" t="s">
        <v>6627</v>
      </c>
      <c r="D664" s="15" t="s">
        <v>6628</v>
      </c>
      <c r="E664" s="15" t="s">
        <v>6629</v>
      </c>
      <c r="F664" s="15"/>
      <c r="G664" s="15"/>
      <c r="H664" s="15" t="s">
        <v>6630</v>
      </c>
      <c r="I664" s="15"/>
      <c r="J664" s="15" t="s">
        <v>2688</v>
      </c>
      <c r="K664" s="15" t="s">
        <v>368</v>
      </c>
      <c r="L664" s="15" t="s">
        <v>2689</v>
      </c>
      <c r="M664" s="15" t="s">
        <v>4617</v>
      </c>
      <c r="N664" s="15" t="s">
        <v>73</v>
      </c>
      <c r="O664" s="16" t="n">
        <v>0</v>
      </c>
      <c r="P664" s="16" t="n">
        <v>0</v>
      </c>
      <c r="Q664" s="16" t="n">
        <v>0</v>
      </c>
      <c r="R664" s="16" t="n">
        <v>0</v>
      </c>
      <c r="S664" s="16" t="n">
        <v>0</v>
      </c>
      <c r="T664" s="17" t="n">
        <f aca="false">AVERAGE(O664:Q664)</f>
        <v>0</v>
      </c>
      <c r="U664" s="18" t="str">
        <f aca="false">IF(T664&gt;=$H$3,"Eligible","Not Eligible")</f>
        <v>Not Eligible</v>
      </c>
      <c r="V664" s="19" t="n">
        <f aca="false">IF(T664&lt;$H$3,0,IFERROR(T664/SUMIF($T$5:$T$999,"&gt;="&amp;$H$3),0))</f>
        <v>0</v>
      </c>
      <c r="W664" s="15" t="str">
        <f aca="false">IF(T664=0,"Win-Back","Active")</f>
        <v>Win-Back</v>
      </c>
      <c r="X664" s="20" t="n">
        <f aca="false">IF(T664=0,0,IF(T664&gt;=$H$3,ROUND(T664*$D$3/SUMIF($T$5:$T$999,"&gt;="&amp;$H$3),0),ROUNDUP(T664*$D$3/SUMIF($T$5:$T$999,"&gt;="&amp;$H$3),0)))</f>
        <v>0</v>
      </c>
      <c r="Y664" s="21"/>
      <c r="Z664" s="16" t="str">
        <f aca="false">IF(X664=0,"",X664-Y664)</f>
        <v/>
      </c>
      <c r="AA664" s="22" t="str">
        <f aca="false">IFERROR(Y664/X664,"")</f>
        <v/>
      </c>
      <c r="AB664" s="16" t="n">
        <v>0</v>
      </c>
      <c r="AC664" s="21"/>
    </row>
    <row r="665" customFormat="false" ht="15" hidden="false" customHeight="true" outlineLevel="0" collapsed="false">
      <c r="A665" s="15" t="s">
        <v>6631</v>
      </c>
      <c r="B665" s="15" t="s">
        <v>6632</v>
      </c>
      <c r="C665" s="15" t="s">
        <v>6633</v>
      </c>
      <c r="D665" s="15" t="s">
        <v>6634</v>
      </c>
      <c r="E665" s="15" t="s">
        <v>6635</v>
      </c>
      <c r="F665" s="15" t="s">
        <v>6636</v>
      </c>
      <c r="G665" s="15" t="s">
        <v>6637</v>
      </c>
      <c r="H665" s="15" t="s">
        <v>6638</v>
      </c>
      <c r="I665" s="15"/>
      <c r="J665" s="15" t="s">
        <v>6639</v>
      </c>
      <c r="K665" s="15" t="s">
        <v>47</v>
      </c>
      <c r="L665" s="15" t="s">
        <v>6640</v>
      </c>
      <c r="M665" s="15" t="s">
        <v>6641</v>
      </c>
      <c r="N665" s="15" t="s">
        <v>73</v>
      </c>
      <c r="O665" s="16" t="n">
        <v>0</v>
      </c>
      <c r="P665" s="16" t="n">
        <v>0</v>
      </c>
      <c r="Q665" s="16" t="n">
        <v>0</v>
      </c>
      <c r="R665" s="16" t="n">
        <v>0</v>
      </c>
      <c r="S665" s="16" t="n">
        <v>0</v>
      </c>
      <c r="T665" s="17" t="n">
        <f aca="false">AVERAGE(O665:Q665)</f>
        <v>0</v>
      </c>
      <c r="U665" s="18" t="str">
        <f aca="false">IF(T665&gt;=$H$3,"Eligible","Not Eligible")</f>
        <v>Not Eligible</v>
      </c>
      <c r="V665" s="19" t="n">
        <f aca="false">IF(T665&lt;$H$3,0,IFERROR(T665/SUMIF($T$5:$T$999,"&gt;="&amp;$H$3),0))</f>
        <v>0</v>
      </c>
      <c r="W665" s="15" t="str">
        <f aca="false">IF(T665=0,"Win-Back","Active")</f>
        <v>Win-Back</v>
      </c>
      <c r="X665" s="20" t="n">
        <f aca="false">IF(T665=0,0,IF(T665&gt;=$H$3,ROUND(T665*$D$3/SUMIF($T$5:$T$999,"&gt;="&amp;$H$3),0),ROUNDUP(T665*$D$3/SUMIF($T$5:$T$999,"&gt;="&amp;$H$3),0)))</f>
        <v>0</v>
      </c>
      <c r="Y665" s="21"/>
      <c r="Z665" s="16" t="str">
        <f aca="false">IF(X665=0,"",X665-Y665)</f>
        <v/>
      </c>
      <c r="AA665" s="22" t="str">
        <f aca="false">IFERROR(Y665/X665,"")</f>
        <v/>
      </c>
      <c r="AB665" s="16" t="n">
        <v>0</v>
      </c>
      <c r="AC665" s="21"/>
    </row>
    <row r="666" customFormat="false" ht="15" hidden="false" customHeight="true" outlineLevel="0" collapsed="false">
      <c r="A666" s="15" t="s">
        <v>6642</v>
      </c>
      <c r="B666" s="15" t="s">
        <v>6643</v>
      </c>
      <c r="C666" s="15" t="s">
        <v>6644</v>
      </c>
      <c r="D666" s="15" t="s">
        <v>6645</v>
      </c>
      <c r="E666" s="15" t="s">
        <v>6646</v>
      </c>
      <c r="F666" s="15" t="s">
        <v>6647</v>
      </c>
      <c r="G666" s="15" t="s">
        <v>6648</v>
      </c>
      <c r="H666" s="15" t="s">
        <v>6649</v>
      </c>
      <c r="I666" s="15"/>
      <c r="J666" s="15" t="s">
        <v>5356</v>
      </c>
      <c r="K666" s="15" t="s">
        <v>3203</v>
      </c>
      <c r="L666" s="15" t="s">
        <v>6122</v>
      </c>
      <c r="M666" s="15" t="s">
        <v>6650</v>
      </c>
      <c r="N666" s="15" t="s">
        <v>73</v>
      </c>
      <c r="O666" s="16" t="n">
        <v>0</v>
      </c>
      <c r="P666" s="16" t="n">
        <v>0</v>
      </c>
      <c r="Q666" s="16" t="n">
        <v>0</v>
      </c>
      <c r="R666" s="16" t="n">
        <v>0</v>
      </c>
      <c r="S666" s="16" t="n">
        <v>0</v>
      </c>
      <c r="T666" s="17" t="n">
        <f aca="false">AVERAGE(O666:Q666)</f>
        <v>0</v>
      </c>
      <c r="U666" s="18" t="str">
        <f aca="false">IF(T666&gt;=$H$3,"Eligible","Not Eligible")</f>
        <v>Not Eligible</v>
      </c>
      <c r="V666" s="19" t="n">
        <f aca="false">IF(T666&lt;$H$3,0,IFERROR(T666/SUMIF($T$5:$T$999,"&gt;="&amp;$H$3),0))</f>
        <v>0</v>
      </c>
      <c r="W666" s="15" t="str">
        <f aca="false">IF(T666=0,"Win-Back","Active")</f>
        <v>Win-Back</v>
      </c>
      <c r="X666" s="20" t="n">
        <f aca="false">IF(T666=0,0,IF(T666&gt;=$H$3,ROUND(T666*$D$3/SUMIF($T$5:$T$999,"&gt;="&amp;$H$3),0),ROUNDUP(T666*$D$3/SUMIF($T$5:$T$999,"&gt;="&amp;$H$3),0)))</f>
        <v>0</v>
      </c>
      <c r="Y666" s="21"/>
      <c r="Z666" s="16" t="str">
        <f aca="false">IF(X666=0,"",X666-Y666)</f>
        <v/>
      </c>
      <c r="AA666" s="22" t="str">
        <f aca="false">IFERROR(Y666/X666,"")</f>
        <v/>
      </c>
      <c r="AB666" s="16" t="n">
        <v>0</v>
      </c>
      <c r="AC666" s="21"/>
    </row>
    <row r="667" customFormat="false" ht="15" hidden="false" customHeight="true" outlineLevel="0" collapsed="false">
      <c r="A667" s="15" t="s">
        <v>6651</v>
      </c>
      <c r="B667" s="15" t="s">
        <v>6652</v>
      </c>
      <c r="C667" s="15" t="s">
        <v>6653</v>
      </c>
      <c r="D667" s="15" t="s">
        <v>6654</v>
      </c>
      <c r="E667" s="15" t="s">
        <v>6655</v>
      </c>
      <c r="F667" s="15" t="s">
        <v>6656</v>
      </c>
      <c r="G667" s="15" t="s">
        <v>6657</v>
      </c>
      <c r="H667" s="15" t="s">
        <v>6658</v>
      </c>
      <c r="I667" s="15" t="s">
        <v>6659</v>
      </c>
      <c r="J667" s="15" t="s">
        <v>5356</v>
      </c>
      <c r="K667" s="15" t="s">
        <v>3203</v>
      </c>
      <c r="L667" s="15" t="s">
        <v>6122</v>
      </c>
      <c r="M667" s="15" t="s">
        <v>6660</v>
      </c>
      <c r="N667" s="15" t="s">
        <v>73</v>
      </c>
      <c r="O667" s="16" t="n">
        <v>0</v>
      </c>
      <c r="P667" s="16" t="n">
        <v>0</v>
      </c>
      <c r="Q667" s="16" t="n">
        <v>0</v>
      </c>
      <c r="R667" s="16" t="n">
        <v>0</v>
      </c>
      <c r="S667" s="16" t="n">
        <v>0</v>
      </c>
      <c r="T667" s="17" t="n">
        <f aca="false">AVERAGE(O667:Q667)</f>
        <v>0</v>
      </c>
      <c r="U667" s="18" t="str">
        <f aca="false">IF(T667&gt;=$H$3,"Eligible","Not Eligible")</f>
        <v>Not Eligible</v>
      </c>
      <c r="V667" s="19" t="n">
        <f aca="false">IF(T667&lt;$H$3,0,IFERROR(T667/SUMIF($T$5:$T$999,"&gt;="&amp;$H$3),0))</f>
        <v>0</v>
      </c>
      <c r="W667" s="15" t="str">
        <f aca="false">IF(T667=0,"Win-Back","Active")</f>
        <v>Win-Back</v>
      </c>
      <c r="X667" s="20" t="n">
        <f aca="false">IF(T667=0,0,IF(T667&gt;=$H$3,ROUND(T667*$D$3/SUMIF($T$5:$T$999,"&gt;="&amp;$H$3),0),ROUNDUP(T667*$D$3/SUMIF($T$5:$T$999,"&gt;="&amp;$H$3),0)))</f>
        <v>0</v>
      </c>
      <c r="Y667" s="21"/>
      <c r="Z667" s="16" t="str">
        <f aca="false">IF(X667=0,"",X667-Y667)</f>
        <v/>
      </c>
      <c r="AA667" s="22" t="str">
        <f aca="false">IFERROR(Y667/X667,"")</f>
        <v/>
      </c>
      <c r="AB667" s="16" t="n">
        <v>0</v>
      </c>
      <c r="AC667" s="21"/>
    </row>
    <row r="668" customFormat="false" ht="15" hidden="false" customHeight="true" outlineLevel="0" collapsed="false">
      <c r="A668" s="15" t="s">
        <v>6661</v>
      </c>
      <c r="B668" s="15" t="s">
        <v>6662</v>
      </c>
      <c r="C668" s="15" t="s">
        <v>6663</v>
      </c>
      <c r="D668" s="15" t="s">
        <v>6664</v>
      </c>
      <c r="E668" s="15" t="s">
        <v>6665</v>
      </c>
      <c r="F668" s="15" t="s">
        <v>6666</v>
      </c>
      <c r="G668" s="15" t="s">
        <v>6667</v>
      </c>
      <c r="H668" s="15" t="s">
        <v>6668</v>
      </c>
      <c r="I668" s="15"/>
      <c r="J668" s="15" t="s">
        <v>6669</v>
      </c>
      <c r="K668" s="15" t="s">
        <v>234</v>
      </c>
      <c r="L668" s="15" t="s">
        <v>6670</v>
      </c>
      <c r="M668" s="15" t="s">
        <v>6671</v>
      </c>
      <c r="N668" s="15" t="s">
        <v>73</v>
      </c>
      <c r="O668" s="16" t="n">
        <v>0</v>
      </c>
      <c r="P668" s="16" t="n">
        <v>0</v>
      </c>
      <c r="Q668" s="16" t="n">
        <v>0</v>
      </c>
      <c r="R668" s="16" t="n">
        <v>0</v>
      </c>
      <c r="S668" s="16" t="n">
        <v>0</v>
      </c>
      <c r="T668" s="17" t="n">
        <f aca="false">AVERAGE(O668:Q668)</f>
        <v>0</v>
      </c>
      <c r="U668" s="18" t="str">
        <f aca="false">IF(T668&gt;=$H$3,"Eligible","Not Eligible")</f>
        <v>Not Eligible</v>
      </c>
      <c r="V668" s="19" t="n">
        <f aca="false">IF(T668&lt;$H$3,0,IFERROR(T668/SUMIF($T$5:$T$999,"&gt;="&amp;$H$3),0))</f>
        <v>0</v>
      </c>
      <c r="W668" s="15" t="str">
        <f aca="false">IF(T668=0,"Win-Back","Active")</f>
        <v>Win-Back</v>
      </c>
      <c r="X668" s="20" t="n">
        <f aca="false">IF(T668=0,0,IF(T668&gt;=$H$3,ROUND(T668*$D$3/SUMIF($T$5:$T$999,"&gt;="&amp;$H$3),0),ROUNDUP(T668*$D$3/SUMIF($T$5:$T$999,"&gt;="&amp;$H$3),0)))</f>
        <v>0</v>
      </c>
      <c r="Y668" s="21"/>
      <c r="Z668" s="16" t="str">
        <f aca="false">IF(X668=0,"",X668-Y668)</f>
        <v/>
      </c>
      <c r="AA668" s="22" t="str">
        <f aca="false">IFERROR(Y668/X668,"")</f>
        <v/>
      </c>
      <c r="AB668" s="16" t="n">
        <v>0</v>
      </c>
      <c r="AC668" s="21"/>
    </row>
    <row r="669" customFormat="false" ht="15" hidden="false" customHeight="true" outlineLevel="0" collapsed="false">
      <c r="A669" s="15"/>
      <c r="B669" s="15"/>
      <c r="C669" s="15" t="s">
        <v>6672</v>
      </c>
      <c r="D669" s="15" t="s">
        <v>6673</v>
      </c>
      <c r="E669" s="15" t="s">
        <v>6674</v>
      </c>
      <c r="F669" s="15"/>
      <c r="G669" s="15"/>
      <c r="H669" s="15" t="s">
        <v>6675</v>
      </c>
      <c r="I669" s="15"/>
      <c r="J669" s="15" t="s">
        <v>6676</v>
      </c>
      <c r="K669" s="15" t="s">
        <v>5930</v>
      </c>
      <c r="L669" s="15" t="s">
        <v>6677</v>
      </c>
      <c r="M669" s="15" t="s">
        <v>4617</v>
      </c>
      <c r="N669" s="15" t="s">
        <v>73</v>
      </c>
      <c r="O669" s="16" t="n">
        <v>0</v>
      </c>
      <c r="P669" s="16" t="n">
        <v>0</v>
      </c>
      <c r="Q669" s="16" t="n">
        <v>0</v>
      </c>
      <c r="R669" s="16" t="n">
        <v>0</v>
      </c>
      <c r="S669" s="16" t="n">
        <v>0</v>
      </c>
      <c r="T669" s="17" t="n">
        <f aca="false">AVERAGE(O669:Q669)</f>
        <v>0</v>
      </c>
      <c r="U669" s="18" t="str">
        <f aca="false">IF(T669&gt;=$H$3,"Eligible","Not Eligible")</f>
        <v>Not Eligible</v>
      </c>
      <c r="V669" s="19" t="n">
        <f aca="false">IF(T669&lt;$H$3,0,IFERROR(T669/SUMIF($T$5:$T$999,"&gt;="&amp;$H$3),0))</f>
        <v>0</v>
      </c>
      <c r="W669" s="15" t="str">
        <f aca="false">IF(T669=0,"Win-Back","Active")</f>
        <v>Win-Back</v>
      </c>
      <c r="X669" s="20" t="n">
        <f aca="false">IF(T669=0,0,IF(T669&gt;=$H$3,ROUND(T669*$D$3/SUMIF($T$5:$T$999,"&gt;="&amp;$H$3),0),ROUNDUP(T669*$D$3/SUMIF($T$5:$T$999,"&gt;="&amp;$H$3),0)))</f>
        <v>0</v>
      </c>
      <c r="Y669" s="21"/>
      <c r="Z669" s="16" t="str">
        <f aca="false">IF(X669=0,"",X669-Y669)</f>
        <v/>
      </c>
      <c r="AA669" s="22" t="str">
        <f aca="false">IFERROR(Y669/X669,"")</f>
        <v/>
      </c>
      <c r="AB669" s="16" t="n">
        <v>0</v>
      </c>
      <c r="AC669" s="21"/>
    </row>
    <row r="670" customFormat="false" ht="15" hidden="false" customHeight="true" outlineLevel="0" collapsed="false">
      <c r="A670" s="15"/>
      <c r="B670" s="15"/>
      <c r="C670" s="15" t="s">
        <v>6678</v>
      </c>
      <c r="D670" s="15" t="s">
        <v>6679</v>
      </c>
      <c r="E670" s="15" t="s">
        <v>6680</v>
      </c>
      <c r="F670" s="15"/>
      <c r="G670" s="15"/>
      <c r="H670" s="15" t="s">
        <v>6681</v>
      </c>
      <c r="I670" s="15"/>
      <c r="J670" s="15" t="s">
        <v>6682</v>
      </c>
      <c r="K670" s="15" t="s">
        <v>6683</v>
      </c>
      <c r="L670" s="15" t="s">
        <v>6684</v>
      </c>
      <c r="M670" s="15" t="s">
        <v>4617</v>
      </c>
      <c r="N670" s="15" t="s">
        <v>73</v>
      </c>
      <c r="O670" s="16" t="n">
        <v>0</v>
      </c>
      <c r="P670" s="16" t="n">
        <v>0</v>
      </c>
      <c r="Q670" s="16" t="n">
        <v>0</v>
      </c>
      <c r="R670" s="16" t="n">
        <v>0</v>
      </c>
      <c r="S670" s="16" t="n">
        <v>0</v>
      </c>
      <c r="T670" s="17" t="n">
        <f aca="false">AVERAGE(O670:Q670)</f>
        <v>0</v>
      </c>
      <c r="U670" s="18" t="str">
        <f aca="false">IF(T670&gt;=$H$3,"Eligible","Not Eligible")</f>
        <v>Not Eligible</v>
      </c>
      <c r="V670" s="19" t="n">
        <f aca="false">IF(T670&lt;$H$3,0,IFERROR(T670/SUMIF($T$5:$T$999,"&gt;="&amp;$H$3),0))</f>
        <v>0</v>
      </c>
      <c r="W670" s="15" t="str">
        <f aca="false">IF(T670=0,"Win-Back","Active")</f>
        <v>Win-Back</v>
      </c>
      <c r="X670" s="20" t="n">
        <f aca="false">IF(T670=0,0,IF(T670&gt;=$H$3,ROUND(T670*$D$3/SUMIF($T$5:$T$999,"&gt;="&amp;$H$3),0),ROUNDUP(T670*$D$3/SUMIF($T$5:$T$999,"&gt;="&amp;$H$3),0)))</f>
        <v>0</v>
      </c>
      <c r="Y670" s="21"/>
      <c r="Z670" s="16" t="str">
        <f aca="false">IF(X670=0,"",X670-Y670)</f>
        <v/>
      </c>
      <c r="AA670" s="22" t="str">
        <f aca="false">IFERROR(Y670/X670,"")</f>
        <v/>
      </c>
      <c r="AB670" s="16" t="n">
        <v>0</v>
      </c>
      <c r="AC670" s="21"/>
    </row>
    <row r="671" customFormat="false" ht="15" hidden="false" customHeight="true" outlineLevel="0" collapsed="false">
      <c r="A671" s="15" t="s">
        <v>6685</v>
      </c>
      <c r="B671" s="15" t="s">
        <v>6686</v>
      </c>
      <c r="C671" s="15" t="s">
        <v>6687</v>
      </c>
      <c r="D671" s="15" t="s">
        <v>6204</v>
      </c>
      <c r="E671" s="15" t="s">
        <v>6688</v>
      </c>
      <c r="F671" s="15" t="s">
        <v>6206</v>
      </c>
      <c r="G671" s="15" t="s">
        <v>6207</v>
      </c>
      <c r="H671" s="15" t="s">
        <v>6689</v>
      </c>
      <c r="I671" s="15" t="s">
        <v>6690</v>
      </c>
      <c r="J671" s="15" t="s">
        <v>2688</v>
      </c>
      <c r="K671" s="15" t="s">
        <v>368</v>
      </c>
      <c r="L671" s="15" t="s">
        <v>4761</v>
      </c>
      <c r="M671" s="15" t="s">
        <v>6210</v>
      </c>
      <c r="N671" s="15" t="s">
        <v>73</v>
      </c>
      <c r="O671" s="16" t="n">
        <v>0</v>
      </c>
      <c r="P671" s="16" t="n">
        <v>0</v>
      </c>
      <c r="Q671" s="16" t="n">
        <v>0</v>
      </c>
      <c r="R671" s="16" t="n">
        <v>0</v>
      </c>
      <c r="S671" s="16" t="n">
        <v>0</v>
      </c>
      <c r="T671" s="17" t="n">
        <f aca="false">AVERAGE(O671:Q671)</f>
        <v>0</v>
      </c>
      <c r="U671" s="18" t="str">
        <f aca="false">IF(T671&gt;=$H$3,"Eligible","Not Eligible")</f>
        <v>Not Eligible</v>
      </c>
      <c r="V671" s="19" t="n">
        <f aca="false">IF(T671&lt;$H$3,0,IFERROR(T671/SUMIF($T$5:$T$999,"&gt;="&amp;$H$3),0))</f>
        <v>0</v>
      </c>
      <c r="W671" s="15" t="str">
        <f aca="false">IF(T671=0,"Win-Back","Active")</f>
        <v>Win-Back</v>
      </c>
      <c r="X671" s="20" t="n">
        <f aca="false">IF(T671=0,0,IF(T671&gt;=$H$3,ROUND(T671*$D$3/SUMIF($T$5:$T$999,"&gt;="&amp;$H$3),0),ROUNDUP(T671*$D$3/SUMIF($T$5:$T$999,"&gt;="&amp;$H$3),0)))</f>
        <v>0</v>
      </c>
      <c r="Y671" s="21"/>
      <c r="Z671" s="16" t="str">
        <f aca="false">IF(X671=0,"",X671-Y671)</f>
        <v/>
      </c>
      <c r="AA671" s="22" t="str">
        <f aca="false">IFERROR(Y671/X671,"")</f>
        <v/>
      </c>
      <c r="AB671" s="16" t="n">
        <v>0</v>
      </c>
      <c r="AC671" s="21"/>
    </row>
    <row r="672" customFormat="false" ht="15" hidden="false" customHeight="true" outlineLevel="0" collapsed="false">
      <c r="A672" s="15"/>
      <c r="B672" s="15"/>
      <c r="C672" s="15" t="s">
        <v>6691</v>
      </c>
      <c r="D672" s="15" t="s">
        <v>6692</v>
      </c>
      <c r="E672" s="15" t="s">
        <v>6693</v>
      </c>
      <c r="F672" s="15"/>
      <c r="G672" s="15"/>
      <c r="H672" s="15" t="s">
        <v>6694</v>
      </c>
      <c r="I672" s="15"/>
      <c r="J672" s="15" t="s">
        <v>367</v>
      </c>
      <c r="K672" s="15" t="s">
        <v>368</v>
      </c>
      <c r="L672" s="15" t="s">
        <v>6695</v>
      </c>
      <c r="M672" s="15" t="s">
        <v>4617</v>
      </c>
      <c r="N672" s="15" t="s">
        <v>73</v>
      </c>
      <c r="O672" s="16" t="n">
        <v>0</v>
      </c>
      <c r="P672" s="16" t="n">
        <v>0</v>
      </c>
      <c r="Q672" s="16" t="n">
        <v>0</v>
      </c>
      <c r="R672" s="16" t="n">
        <v>0</v>
      </c>
      <c r="S672" s="16" t="n">
        <v>0</v>
      </c>
      <c r="T672" s="17" t="n">
        <f aca="false">AVERAGE(O672:Q672)</f>
        <v>0</v>
      </c>
      <c r="U672" s="18" t="str">
        <f aca="false">IF(T672&gt;=$H$3,"Eligible","Not Eligible")</f>
        <v>Not Eligible</v>
      </c>
      <c r="V672" s="19" t="n">
        <f aca="false">IF(T672&lt;$H$3,0,IFERROR(T672/SUMIF($T$5:$T$999,"&gt;="&amp;$H$3),0))</f>
        <v>0</v>
      </c>
      <c r="W672" s="15" t="str">
        <f aca="false">IF(T672=0,"Win-Back","Active")</f>
        <v>Win-Back</v>
      </c>
      <c r="X672" s="20" t="n">
        <f aca="false">IF(T672=0,0,IF(T672&gt;=$H$3,ROUND(T672*$D$3/SUMIF($T$5:$T$999,"&gt;="&amp;$H$3),0),ROUNDUP(T672*$D$3/SUMIF($T$5:$T$999,"&gt;="&amp;$H$3),0)))</f>
        <v>0</v>
      </c>
      <c r="Y672" s="21"/>
      <c r="Z672" s="16" t="str">
        <f aca="false">IF(X672=0,"",X672-Y672)</f>
        <v/>
      </c>
      <c r="AA672" s="22" t="str">
        <f aca="false">IFERROR(Y672/X672,"")</f>
        <v/>
      </c>
      <c r="AB672" s="16" t="n">
        <v>0</v>
      </c>
      <c r="AC672" s="21"/>
    </row>
    <row r="673" customFormat="false" ht="15" hidden="false" customHeight="true" outlineLevel="0" collapsed="false">
      <c r="A673" s="15"/>
      <c r="B673" s="15"/>
      <c r="C673" s="15" t="s">
        <v>6696</v>
      </c>
      <c r="D673" s="15" t="s">
        <v>6697</v>
      </c>
      <c r="E673" s="15" t="s">
        <v>6693</v>
      </c>
      <c r="F673" s="15"/>
      <c r="G673" s="15"/>
      <c r="H673" s="15" t="s">
        <v>6698</v>
      </c>
      <c r="I673" s="15"/>
      <c r="J673" s="15" t="s">
        <v>6699</v>
      </c>
      <c r="K673" s="15" t="s">
        <v>368</v>
      </c>
      <c r="L673" s="15" t="s">
        <v>6700</v>
      </c>
      <c r="M673" s="15" t="s">
        <v>4617</v>
      </c>
      <c r="N673" s="15" t="s">
        <v>73</v>
      </c>
      <c r="O673" s="16" t="n">
        <v>0</v>
      </c>
      <c r="P673" s="16" t="n">
        <v>0</v>
      </c>
      <c r="Q673" s="16" t="n">
        <v>0</v>
      </c>
      <c r="R673" s="16" t="n">
        <v>0</v>
      </c>
      <c r="S673" s="16" t="n">
        <v>0</v>
      </c>
      <c r="T673" s="17" t="n">
        <f aca="false">AVERAGE(O673:Q673)</f>
        <v>0</v>
      </c>
      <c r="U673" s="18" t="str">
        <f aca="false">IF(T673&gt;=$H$3,"Eligible","Not Eligible")</f>
        <v>Not Eligible</v>
      </c>
      <c r="V673" s="19" t="n">
        <f aca="false">IF(T673&lt;$H$3,0,IFERROR(T673/SUMIF($T$5:$T$999,"&gt;="&amp;$H$3),0))</f>
        <v>0</v>
      </c>
      <c r="W673" s="15" t="str">
        <f aca="false">IF(T673=0,"Win-Back","Active")</f>
        <v>Win-Back</v>
      </c>
      <c r="X673" s="20" t="n">
        <f aca="false">IF(T673=0,0,IF(T673&gt;=$H$3,ROUND(T673*$D$3/SUMIF($T$5:$T$999,"&gt;="&amp;$H$3),0),ROUNDUP(T673*$D$3/SUMIF($T$5:$T$999,"&gt;="&amp;$H$3),0)))</f>
        <v>0</v>
      </c>
      <c r="Y673" s="21"/>
      <c r="Z673" s="16" t="str">
        <f aca="false">IF(X673=0,"",X673-Y673)</f>
        <v/>
      </c>
      <c r="AA673" s="22" t="str">
        <f aca="false">IFERROR(Y673/X673,"")</f>
        <v/>
      </c>
      <c r="AB673" s="16" t="n">
        <v>0</v>
      </c>
      <c r="AC673" s="21"/>
    </row>
    <row r="674" customFormat="false" ht="15" hidden="false" customHeight="true" outlineLevel="0" collapsed="false">
      <c r="A674" s="15"/>
      <c r="B674" s="15"/>
      <c r="C674" s="15" t="s">
        <v>6701</v>
      </c>
      <c r="D674" s="15" t="s">
        <v>6702</v>
      </c>
      <c r="E674" s="15" t="s">
        <v>6693</v>
      </c>
      <c r="F674" s="15"/>
      <c r="G674" s="15"/>
      <c r="H674" s="15" t="s">
        <v>6703</v>
      </c>
      <c r="I674" s="15"/>
      <c r="J674" s="15" t="s">
        <v>6704</v>
      </c>
      <c r="K674" s="15" t="s">
        <v>368</v>
      </c>
      <c r="L674" s="15" t="s">
        <v>6705</v>
      </c>
      <c r="M674" s="15" t="s">
        <v>4617</v>
      </c>
      <c r="N674" s="15" t="s">
        <v>73</v>
      </c>
      <c r="O674" s="16" t="n">
        <v>0</v>
      </c>
      <c r="P674" s="16" t="n">
        <v>0</v>
      </c>
      <c r="Q674" s="16" t="n">
        <v>0</v>
      </c>
      <c r="R674" s="16" t="n">
        <v>0</v>
      </c>
      <c r="S674" s="16" t="n">
        <v>0</v>
      </c>
      <c r="T674" s="17" t="n">
        <f aca="false">AVERAGE(O674:Q674)</f>
        <v>0</v>
      </c>
      <c r="U674" s="18" t="str">
        <f aca="false">IF(T674&gt;=$H$3,"Eligible","Not Eligible")</f>
        <v>Not Eligible</v>
      </c>
      <c r="V674" s="19" t="n">
        <f aca="false">IF(T674&lt;$H$3,0,IFERROR(T674/SUMIF($T$5:$T$999,"&gt;="&amp;$H$3),0))</f>
        <v>0</v>
      </c>
      <c r="W674" s="15" t="str">
        <f aca="false">IF(T674=0,"Win-Back","Active")</f>
        <v>Win-Back</v>
      </c>
      <c r="X674" s="20" t="n">
        <f aca="false">IF(T674=0,0,IF(T674&gt;=$H$3,ROUND(T674*$D$3/SUMIF($T$5:$T$999,"&gt;="&amp;$H$3),0),ROUNDUP(T674*$D$3/SUMIF($T$5:$T$999,"&gt;="&amp;$H$3),0)))</f>
        <v>0</v>
      </c>
      <c r="Y674" s="21"/>
      <c r="Z674" s="16" t="str">
        <f aca="false">IF(X674=0,"",X674-Y674)</f>
        <v/>
      </c>
      <c r="AA674" s="22" t="str">
        <f aca="false">IFERROR(Y674/X674,"")</f>
        <v/>
      </c>
      <c r="AB674" s="16" t="n">
        <v>0</v>
      </c>
      <c r="AC674" s="21"/>
    </row>
    <row r="675" customFormat="false" ht="15" hidden="false" customHeight="true" outlineLevel="0" collapsed="false">
      <c r="A675" s="15"/>
      <c r="B675" s="15"/>
      <c r="C675" s="15" t="s">
        <v>6706</v>
      </c>
      <c r="D675" s="15" t="s">
        <v>6707</v>
      </c>
      <c r="E675" s="15" t="s">
        <v>6693</v>
      </c>
      <c r="F675" s="15"/>
      <c r="G675" s="15"/>
      <c r="H675" s="15" t="s">
        <v>6708</v>
      </c>
      <c r="I675" s="15"/>
      <c r="J675" s="15" t="s">
        <v>594</v>
      </c>
      <c r="K675" s="15" t="s">
        <v>368</v>
      </c>
      <c r="L675" s="15" t="s">
        <v>6709</v>
      </c>
      <c r="M675" s="15" t="s">
        <v>4617</v>
      </c>
      <c r="N675" s="15" t="s">
        <v>73</v>
      </c>
      <c r="O675" s="16" t="n">
        <v>0</v>
      </c>
      <c r="P675" s="16" t="n">
        <v>0</v>
      </c>
      <c r="Q675" s="16" t="n">
        <v>0</v>
      </c>
      <c r="R675" s="16" t="n">
        <v>0</v>
      </c>
      <c r="S675" s="16" t="n">
        <v>0</v>
      </c>
      <c r="T675" s="17" t="n">
        <f aca="false">AVERAGE(O675:Q675)</f>
        <v>0</v>
      </c>
      <c r="U675" s="18" t="str">
        <f aca="false">IF(T675&gt;=$H$3,"Eligible","Not Eligible")</f>
        <v>Not Eligible</v>
      </c>
      <c r="V675" s="19" t="n">
        <f aca="false">IF(T675&lt;$H$3,0,IFERROR(T675/SUMIF($T$5:$T$999,"&gt;="&amp;$H$3),0))</f>
        <v>0</v>
      </c>
      <c r="W675" s="15" t="str">
        <f aca="false">IF(T675=0,"Win-Back","Active")</f>
        <v>Win-Back</v>
      </c>
      <c r="X675" s="20" t="n">
        <f aca="false">IF(T675=0,0,IF(T675&gt;=$H$3,ROUND(T675*$D$3/SUMIF($T$5:$T$999,"&gt;="&amp;$H$3),0),ROUNDUP(T675*$D$3/SUMIF($T$5:$T$999,"&gt;="&amp;$H$3),0)))</f>
        <v>0</v>
      </c>
      <c r="Y675" s="21"/>
      <c r="Z675" s="16" t="str">
        <f aca="false">IF(X675=0,"",X675-Y675)</f>
        <v/>
      </c>
      <c r="AA675" s="22" t="str">
        <f aca="false">IFERROR(Y675/X675,"")</f>
        <v/>
      </c>
      <c r="AB675" s="16" t="n">
        <v>0</v>
      </c>
      <c r="AC675" s="21"/>
    </row>
    <row r="676" customFormat="false" ht="15" hidden="false" customHeight="true" outlineLevel="0" collapsed="false">
      <c r="A676" s="15"/>
      <c r="B676" s="15"/>
      <c r="C676" s="15" t="s">
        <v>6710</v>
      </c>
      <c r="D676" s="15" t="s">
        <v>6711</v>
      </c>
      <c r="E676" s="15" t="s">
        <v>6693</v>
      </c>
      <c r="F676" s="15"/>
      <c r="G676" s="15"/>
      <c r="H676" s="15" t="s">
        <v>6712</v>
      </c>
      <c r="I676" s="15"/>
      <c r="J676" s="15" t="s">
        <v>6713</v>
      </c>
      <c r="K676" s="15" t="s">
        <v>368</v>
      </c>
      <c r="L676" s="15" t="s">
        <v>6714</v>
      </c>
      <c r="M676" s="15" t="s">
        <v>4617</v>
      </c>
      <c r="N676" s="15" t="s">
        <v>73</v>
      </c>
      <c r="O676" s="16" t="n">
        <v>0</v>
      </c>
      <c r="P676" s="16" t="n">
        <v>0</v>
      </c>
      <c r="Q676" s="16" t="n">
        <v>0</v>
      </c>
      <c r="R676" s="16" t="n">
        <v>0</v>
      </c>
      <c r="S676" s="16" t="n">
        <v>0</v>
      </c>
      <c r="T676" s="17" t="n">
        <f aca="false">AVERAGE(O676:Q676)</f>
        <v>0</v>
      </c>
      <c r="U676" s="18" t="str">
        <f aca="false">IF(T676&gt;=$H$3,"Eligible","Not Eligible")</f>
        <v>Not Eligible</v>
      </c>
      <c r="V676" s="19" t="n">
        <f aca="false">IF(T676&lt;$H$3,0,IFERROR(T676/SUMIF($T$5:$T$999,"&gt;="&amp;$H$3),0))</f>
        <v>0</v>
      </c>
      <c r="W676" s="15" t="str">
        <f aca="false">IF(T676=0,"Win-Back","Active")</f>
        <v>Win-Back</v>
      </c>
      <c r="X676" s="20" t="n">
        <f aca="false">IF(T676=0,0,IF(T676&gt;=$H$3,ROUND(T676*$D$3/SUMIF($T$5:$T$999,"&gt;="&amp;$H$3),0),ROUNDUP(T676*$D$3/SUMIF($T$5:$T$999,"&gt;="&amp;$H$3),0)))</f>
        <v>0</v>
      </c>
      <c r="Y676" s="21"/>
      <c r="Z676" s="16" t="str">
        <f aca="false">IF(X676=0,"",X676-Y676)</f>
        <v/>
      </c>
      <c r="AA676" s="22" t="str">
        <f aca="false">IFERROR(Y676/X676,"")</f>
        <v/>
      </c>
      <c r="AB676" s="16" t="n">
        <v>0</v>
      </c>
      <c r="AC676" s="21"/>
    </row>
    <row r="677" customFormat="false" ht="15" hidden="false" customHeight="true" outlineLevel="0" collapsed="false">
      <c r="A677" s="15"/>
      <c r="B677" s="15"/>
      <c r="C677" s="15" t="s">
        <v>6715</v>
      </c>
      <c r="D677" s="15" t="s">
        <v>6711</v>
      </c>
      <c r="E677" s="15" t="s">
        <v>6693</v>
      </c>
      <c r="F677" s="15"/>
      <c r="G677" s="15"/>
      <c r="H677" s="15" t="s">
        <v>6716</v>
      </c>
      <c r="I677" s="15"/>
      <c r="J677" s="15" t="s">
        <v>4348</v>
      </c>
      <c r="K677" s="15" t="s">
        <v>368</v>
      </c>
      <c r="L677" s="15" t="s">
        <v>4349</v>
      </c>
      <c r="M677" s="15" t="s">
        <v>4617</v>
      </c>
      <c r="N677" s="15" t="s">
        <v>73</v>
      </c>
      <c r="O677" s="16" t="n">
        <v>0</v>
      </c>
      <c r="P677" s="16" t="n">
        <v>0</v>
      </c>
      <c r="Q677" s="16" t="n">
        <v>0</v>
      </c>
      <c r="R677" s="16" t="n">
        <v>0</v>
      </c>
      <c r="S677" s="16" t="n">
        <v>0</v>
      </c>
      <c r="T677" s="17" t="n">
        <f aca="false">AVERAGE(O677:Q677)</f>
        <v>0</v>
      </c>
      <c r="U677" s="18" t="str">
        <f aca="false">IF(T677&gt;=$H$3,"Eligible","Not Eligible")</f>
        <v>Not Eligible</v>
      </c>
      <c r="V677" s="19" t="n">
        <f aca="false">IF(T677&lt;$H$3,0,IFERROR(T677/SUMIF($T$5:$T$999,"&gt;="&amp;$H$3),0))</f>
        <v>0</v>
      </c>
      <c r="W677" s="15" t="str">
        <f aca="false">IF(T677=0,"Win-Back","Active")</f>
        <v>Win-Back</v>
      </c>
      <c r="X677" s="20" t="n">
        <f aca="false">IF(T677=0,0,IF(T677&gt;=$H$3,ROUND(T677*$D$3/SUMIF($T$5:$T$999,"&gt;="&amp;$H$3),0),ROUNDUP(T677*$D$3/SUMIF($T$5:$T$999,"&gt;="&amp;$H$3),0)))</f>
        <v>0</v>
      </c>
      <c r="Y677" s="21"/>
      <c r="Z677" s="16" t="str">
        <f aca="false">IF(X677=0,"",X677-Y677)</f>
        <v/>
      </c>
      <c r="AA677" s="22" t="str">
        <f aca="false">IFERROR(Y677/X677,"")</f>
        <v/>
      </c>
      <c r="AB677" s="16" t="n">
        <v>0</v>
      </c>
      <c r="AC677" s="21"/>
    </row>
    <row r="678" customFormat="false" ht="15" hidden="false" customHeight="true" outlineLevel="0" collapsed="false">
      <c r="A678" s="15"/>
      <c r="B678" s="15"/>
      <c r="C678" s="15" t="s">
        <v>6717</v>
      </c>
      <c r="D678" s="15" t="s">
        <v>6718</v>
      </c>
      <c r="E678" s="15" t="s">
        <v>6693</v>
      </c>
      <c r="F678" s="15"/>
      <c r="G678" s="15"/>
      <c r="H678" s="15" t="s">
        <v>6719</v>
      </c>
      <c r="I678" s="15"/>
      <c r="J678" s="15" t="s">
        <v>6720</v>
      </c>
      <c r="K678" s="15" t="s">
        <v>368</v>
      </c>
      <c r="L678" s="15" t="s">
        <v>6721</v>
      </c>
      <c r="M678" s="15" t="s">
        <v>4617</v>
      </c>
      <c r="N678" s="15" t="s">
        <v>73</v>
      </c>
      <c r="O678" s="16" t="n">
        <v>0</v>
      </c>
      <c r="P678" s="16" t="n">
        <v>0</v>
      </c>
      <c r="Q678" s="16" t="n">
        <v>0</v>
      </c>
      <c r="R678" s="16" t="n">
        <v>0</v>
      </c>
      <c r="S678" s="16" t="n">
        <v>0</v>
      </c>
      <c r="T678" s="17" t="n">
        <f aca="false">AVERAGE(O678:Q678)</f>
        <v>0</v>
      </c>
      <c r="U678" s="18" t="str">
        <f aca="false">IF(T678&gt;=$H$3,"Eligible","Not Eligible")</f>
        <v>Not Eligible</v>
      </c>
      <c r="V678" s="19" t="n">
        <f aca="false">IF(T678&lt;$H$3,0,IFERROR(T678/SUMIF($T$5:$T$999,"&gt;="&amp;$H$3),0))</f>
        <v>0</v>
      </c>
      <c r="W678" s="15" t="str">
        <f aca="false">IF(T678=0,"Win-Back","Active")</f>
        <v>Win-Back</v>
      </c>
      <c r="X678" s="20" t="n">
        <f aca="false">IF(T678=0,0,IF(T678&gt;=$H$3,ROUND(T678*$D$3/SUMIF($T$5:$T$999,"&gt;="&amp;$H$3),0),ROUNDUP(T678*$D$3/SUMIF($T$5:$T$999,"&gt;="&amp;$H$3),0)))</f>
        <v>0</v>
      </c>
      <c r="Y678" s="21"/>
      <c r="Z678" s="16" t="str">
        <f aca="false">IF(X678=0,"",X678-Y678)</f>
        <v/>
      </c>
      <c r="AA678" s="22" t="str">
        <f aca="false">IFERROR(Y678/X678,"")</f>
        <v/>
      </c>
      <c r="AB678" s="16" t="n">
        <v>0</v>
      </c>
      <c r="AC678" s="21"/>
    </row>
    <row r="679" customFormat="false" ht="15" hidden="false" customHeight="true" outlineLevel="0" collapsed="false">
      <c r="A679" s="15" t="s">
        <v>6722</v>
      </c>
      <c r="B679" s="15" t="s">
        <v>6723</v>
      </c>
      <c r="C679" s="15" t="s">
        <v>6724</v>
      </c>
      <c r="D679" s="15" t="s">
        <v>6725</v>
      </c>
      <c r="E679" s="15" t="s">
        <v>6726</v>
      </c>
      <c r="F679" s="15" t="s">
        <v>6727</v>
      </c>
      <c r="G679" s="15" t="s">
        <v>6728</v>
      </c>
      <c r="H679" s="15" t="s">
        <v>6729</v>
      </c>
      <c r="I679" s="15" t="s">
        <v>186</v>
      </c>
      <c r="J679" s="15" t="s">
        <v>6730</v>
      </c>
      <c r="K679" s="15" t="s">
        <v>6731</v>
      </c>
      <c r="L679" s="15" t="s">
        <v>6732</v>
      </c>
      <c r="M679" s="15" t="s">
        <v>6733</v>
      </c>
      <c r="N679" s="15" t="s">
        <v>73</v>
      </c>
      <c r="O679" s="16" t="n">
        <v>0</v>
      </c>
      <c r="P679" s="16" t="n">
        <v>0</v>
      </c>
      <c r="Q679" s="16" t="n">
        <v>0</v>
      </c>
      <c r="R679" s="16" t="n">
        <v>0</v>
      </c>
      <c r="S679" s="16" t="n">
        <v>0</v>
      </c>
      <c r="T679" s="17" t="n">
        <f aca="false">AVERAGE(O679:Q679)</f>
        <v>0</v>
      </c>
      <c r="U679" s="18" t="str">
        <f aca="false">IF(T679&gt;=$H$3,"Eligible","Not Eligible")</f>
        <v>Not Eligible</v>
      </c>
      <c r="V679" s="19" t="n">
        <f aca="false">IF(T679&lt;$H$3,0,IFERROR(T679/SUMIF($T$5:$T$999,"&gt;="&amp;$H$3),0))</f>
        <v>0</v>
      </c>
      <c r="W679" s="15" t="str">
        <f aca="false">IF(T679=0,"Win-Back","Active")</f>
        <v>Win-Back</v>
      </c>
      <c r="X679" s="20" t="n">
        <f aca="false">IF(T679=0,0,IF(T679&gt;=$H$3,ROUND(T679*$D$3/SUMIF($T$5:$T$999,"&gt;="&amp;$H$3),0),ROUNDUP(T679*$D$3/SUMIF($T$5:$T$999,"&gt;="&amp;$H$3),0)))</f>
        <v>0</v>
      </c>
      <c r="Y679" s="21"/>
      <c r="Z679" s="16" t="str">
        <f aca="false">IF(X679=0,"",X679-Y679)</f>
        <v/>
      </c>
      <c r="AA679" s="22" t="str">
        <f aca="false">IFERROR(Y679/X679,"")</f>
        <v/>
      </c>
      <c r="AB679" s="16" t="n">
        <v>0</v>
      </c>
      <c r="AC679" s="21"/>
    </row>
    <row r="680" customFormat="false" ht="15" hidden="false" customHeight="true" outlineLevel="0" collapsed="false">
      <c r="A680" s="15"/>
      <c r="B680" s="15"/>
      <c r="C680" s="15" t="s">
        <v>6734</v>
      </c>
      <c r="D680" s="15" t="s">
        <v>6697</v>
      </c>
      <c r="E680" s="15" t="s">
        <v>6693</v>
      </c>
      <c r="F680" s="15"/>
      <c r="G680" s="15"/>
      <c r="H680" s="15" t="s">
        <v>6735</v>
      </c>
      <c r="I680" s="15" t="s">
        <v>6736</v>
      </c>
      <c r="J680" s="15" t="s">
        <v>594</v>
      </c>
      <c r="K680" s="15" t="s">
        <v>368</v>
      </c>
      <c r="L680" s="15" t="s">
        <v>6737</v>
      </c>
      <c r="M680" s="15" t="s">
        <v>4617</v>
      </c>
      <c r="N680" s="15" t="s">
        <v>73</v>
      </c>
      <c r="O680" s="16" t="n">
        <v>0</v>
      </c>
      <c r="P680" s="16" t="n">
        <v>0</v>
      </c>
      <c r="Q680" s="16" t="n">
        <v>0</v>
      </c>
      <c r="R680" s="16" t="n">
        <v>0</v>
      </c>
      <c r="S680" s="16" t="n">
        <v>0</v>
      </c>
      <c r="T680" s="17" t="n">
        <f aca="false">AVERAGE(O680:Q680)</f>
        <v>0</v>
      </c>
      <c r="U680" s="18" t="str">
        <f aca="false">IF(T680&gt;=$H$3,"Eligible","Not Eligible")</f>
        <v>Not Eligible</v>
      </c>
      <c r="V680" s="19" t="n">
        <f aca="false">IF(T680&lt;$H$3,0,IFERROR(T680/SUMIF($T$5:$T$999,"&gt;="&amp;$H$3),0))</f>
        <v>0</v>
      </c>
      <c r="W680" s="15" t="str">
        <f aca="false">IF(T680=0,"Win-Back","Active")</f>
        <v>Win-Back</v>
      </c>
      <c r="X680" s="20" t="n">
        <f aca="false">IF(T680=0,0,IF(T680&gt;=$H$3,ROUND(T680*$D$3/SUMIF($T$5:$T$999,"&gt;="&amp;$H$3),0),ROUNDUP(T680*$D$3/SUMIF($T$5:$T$999,"&gt;="&amp;$H$3),0)))</f>
        <v>0</v>
      </c>
      <c r="Y680" s="21"/>
      <c r="Z680" s="16" t="str">
        <f aca="false">IF(X680=0,"",X680-Y680)</f>
        <v/>
      </c>
      <c r="AA680" s="22" t="str">
        <f aca="false">IFERROR(Y680/X680,"")</f>
        <v/>
      </c>
      <c r="AB680" s="16" t="n">
        <v>0</v>
      </c>
      <c r="AC680" s="21"/>
    </row>
    <row r="681" customFormat="false" ht="15" hidden="false" customHeight="true" outlineLevel="0" collapsed="false">
      <c r="A681" s="15"/>
      <c r="B681" s="15"/>
      <c r="C681" s="15" t="s">
        <v>6738</v>
      </c>
      <c r="D681" s="15" t="s">
        <v>6739</v>
      </c>
      <c r="E681" s="15" t="s">
        <v>6740</v>
      </c>
      <c r="F681" s="15"/>
      <c r="G681" s="15"/>
      <c r="H681" s="15" t="s">
        <v>6741</v>
      </c>
      <c r="I681" s="15"/>
      <c r="J681" s="15" t="s">
        <v>3966</v>
      </c>
      <c r="K681" s="15" t="s">
        <v>70</v>
      </c>
      <c r="L681" s="15" t="s">
        <v>3967</v>
      </c>
      <c r="M681" s="15" t="s">
        <v>4617</v>
      </c>
      <c r="N681" s="15" t="s">
        <v>73</v>
      </c>
      <c r="O681" s="16" t="n">
        <v>0</v>
      </c>
      <c r="P681" s="16" t="n">
        <v>0</v>
      </c>
      <c r="Q681" s="16" t="n">
        <v>0</v>
      </c>
      <c r="R681" s="16" t="n">
        <v>0</v>
      </c>
      <c r="S681" s="16" t="n">
        <v>0</v>
      </c>
      <c r="T681" s="17" t="n">
        <f aca="false">AVERAGE(O681:Q681)</f>
        <v>0</v>
      </c>
      <c r="U681" s="18" t="str">
        <f aca="false">IF(T681&gt;=$H$3,"Eligible","Not Eligible")</f>
        <v>Not Eligible</v>
      </c>
      <c r="V681" s="19" t="n">
        <f aca="false">IF(T681&lt;$H$3,0,IFERROR(T681/SUMIF($T$5:$T$999,"&gt;="&amp;$H$3),0))</f>
        <v>0</v>
      </c>
      <c r="W681" s="15" t="str">
        <f aca="false">IF(T681=0,"Win-Back","Active")</f>
        <v>Win-Back</v>
      </c>
      <c r="X681" s="20" t="n">
        <f aca="false">IF(T681=0,0,IF(T681&gt;=$H$3,ROUND(T681*$D$3/SUMIF($T$5:$T$999,"&gt;="&amp;$H$3),0),ROUNDUP(T681*$D$3/SUMIF($T$5:$T$999,"&gt;="&amp;$H$3),0)))</f>
        <v>0</v>
      </c>
      <c r="Y681" s="21"/>
      <c r="Z681" s="16" t="str">
        <f aca="false">IF(X681=0,"",X681-Y681)</f>
        <v/>
      </c>
      <c r="AA681" s="22" t="str">
        <f aca="false">IFERROR(Y681/X681,"")</f>
        <v/>
      </c>
      <c r="AB681" s="16" t="n">
        <v>0</v>
      </c>
      <c r="AC681" s="21"/>
    </row>
    <row r="682" customFormat="false" ht="15" hidden="false" customHeight="true" outlineLevel="0" collapsed="false">
      <c r="A682" s="15" t="s">
        <v>6742</v>
      </c>
      <c r="B682" s="15" t="s">
        <v>6743</v>
      </c>
      <c r="C682" s="15" t="s">
        <v>6744</v>
      </c>
      <c r="D682" s="15" t="s">
        <v>6745</v>
      </c>
      <c r="E682" s="15" t="s">
        <v>6746</v>
      </c>
      <c r="F682" s="15" t="s">
        <v>6747</v>
      </c>
      <c r="G682" s="15" t="s">
        <v>6748</v>
      </c>
      <c r="H682" s="15" t="s">
        <v>6749</v>
      </c>
      <c r="I682" s="15"/>
      <c r="J682" s="15" t="s">
        <v>6750</v>
      </c>
      <c r="K682" s="15" t="s">
        <v>1418</v>
      </c>
      <c r="L682" s="15" t="s">
        <v>6751</v>
      </c>
      <c r="M682" s="15" t="s">
        <v>6752</v>
      </c>
      <c r="N682" s="15" t="s">
        <v>73</v>
      </c>
      <c r="O682" s="16" t="n">
        <v>0</v>
      </c>
      <c r="P682" s="16" t="n">
        <v>0</v>
      </c>
      <c r="Q682" s="16" t="n">
        <v>0</v>
      </c>
      <c r="R682" s="16" t="n">
        <v>0</v>
      </c>
      <c r="S682" s="16" t="n">
        <v>0</v>
      </c>
      <c r="T682" s="17" t="n">
        <f aca="false">AVERAGE(O682:Q682)</f>
        <v>0</v>
      </c>
      <c r="U682" s="18" t="str">
        <f aca="false">IF(T682&gt;=$H$3,"Eligible","Not Eligible")</f>
        <v>Not Eligible</v>
      </c>
      <c r="V682" s="19" t="n">
        <f aca="false">IF(T682&lt;$H$3,0,IFERROR(T682/SUMIF($T$5:$T$999,"&gt;="&amp;$H$3),0))</f>
        <v>0</v>
      </c>
      <c r="W682" s="15" t="str">
        <f aca="false">IF(T682=0,"Win-Back","Active")</f>
        <v>Win-Back</v>
      </c>
      <c r="X682" s="20" t="n">
        <f aca="false">IF(T682=0,0,IF(T682&gt;=$H$3,ROUND(T682*$D$3/SUMIF($T$5:$T$999,"&gt;="&amp;$H$3),0),ROUNDUP(T682*$D$3/SUMIF($T$5:$T$999,"&gt;="&amp;$H$3),0)))</f>
        <v>0</v>
      </c>
      <c r="Y682" s="21"/>
      <c r="Z682" s="16" t="str">
        <f aca="false">IF(X682=0,"",X682-Y682)</f>
        <v/>
      </c>
      <c r="AA682" s="22" t="str">
        <f aca="false">IFERROR(Y682/X682,"")</f>
        <v/>
      </c>
      <c r="AB682" s="16" t="n">
        <v>0</v>
      </c>
      <c r="AC682" s="21"/>
    </row>
    <row r="683" customFormat="false" ht="15" hidden="false" customHeight="true" outlineLevel="0" collapsed="false">
      <c r="A683" s="15" t="s">
        <v>6753</v>
      </c>
      <c r="B683" s="15" t="s">
        <v>6754</v>
      </c>
      <c r="C683" s="15" t="s">
        <v>6755</v>
      </c>
      <c r="D683" s="15" t="s">
        <v>6756</v>
      </c>
      <c r="E683" s="15" t="s">
        <v>6757</v>
      </c>
      <c r="F683" s="15" t="s">
        <v>6758</v>
      </c>
      <c r="G683" s="15" t="s">
        <v>6759</v>
      </c>
      <c r="H683" s="15" t="s">
        <v>6760</v>
      </c>
      <c r="I683" s="15"/>
      <c r="J683" s="15" t="s">
        <v>2085</v>
      </c>
      <c r="K683" s="15" t="s">
        <v>47</v>
      </c>
      <c r="L683" s="15" t="s">
        <v>2086</v>
      </c>
      <c r="M683" s="15" t="s">
        <v>6761</v>
      </c>
      <c r="N683" s="15" t="s">
        <v>73</v>
      </c>
      <c r="O683" s="16" t="n">
        <v>0</v>
      </c>
      <c r="P683" s="16" t="n">
        <v>0</v>
      </c>
      <c r="Q683" s="16" t="n">
        <v>0</v>
      </c>
      <c r="R683" s="16" t="n">
        <v>0</v>
      </c>
      <c r="S683" s="16" t="n">
        <v>0</v>
      </c>
      <c r="T683" s="17" t="n">
        <f aca="false">AVERAGE(O683:Q683)</f>
        <v>0</v>
      </c>
      <c r="U683" s="18" t="str">
        <f aca="false">IF(T683&gt;=$H$3,"Eligible","Not Eligible")</f>
        <v>Not Eligible</v>
      </c>
      <c r="V683" s="19" t="n">
        <f aca="false">IF(T683&lt;$H$3,0,IFERROR(T683/SUMIF($T$5:$T$999,"&gt;="&amp;$H$3),0))</f>
        <v>0</v>
      </c>
      <c r="W683" s="15" t="str">
        <f aca="false">IF(T683=0,"Win-Back","Active")</f>
        <v>Win-Back</v>
      </c>
      <c r="X683" s="20" t="n">
        <f aca="false">IF(T683=0,0,IF(T683&gt;=$H$3,ROUND(T683*$D$3/SUMIF($T$5:$T$999,"&gt;="&amp;$H$3),0),ROUNDUP(T683*$D$3/SUMIF($T$5:$T$999,"&gt;="&amp;$H$3),0)))</f>
        <v>0</v>
      </c>
      <c r="Y683" s="21"/>
      <c r="Z683" s="16" t="str">
        <f aca="false">IF(X683=0,"",X683-Y683)</f>
        <v/>
      </c>
      <c r="AA683" s="22" t="str">
        <f aca="false">IFERROR(Y683/X683,"")</f>
        <v/>
      </c>
      <c r="AB683" s="16" t="n">
        <v>0</v>
      </c>
      <c r="AC683" s="21"/>
    </row>
    <row r="684" customFormat="false" ht="15" hidden="false" customHeight="true" outlineLevel="0" collapsed="false">
      <c r="A684" s="15" t="s">
        <v>6762</v>
      </c>
      <c r="B684" s="15" t="s">
        <v>6763</v>
      </c>
      <c r="C684" s="15" t="s">
        <v>6764</v>
      </c>
      <c r="D684" s="15" t="s">
        <v>6765</v>
      </c>
      <c r="E684" s="15" t="s">
        <v>6766</v>
      </c>
      <c r="F684" s="15" t="s">
        <v>6767</v>
      </c>
      <c r="G684" s="15" t="s">
        <v>592</v>
      </c>
      <c r="H684" s="15" t="s">
        <v>6768</v>
      </c>
      <c r="I684" s="15"/>
      <c r="J684" s="15" t="s">
        <v>6769</v>
      </c>
      <c r="K684" s="15" t="s">
        <v>368</v>
      </c>
      <c r="L684" s="15" t="s">
        <v>6770</v>
      </c>
      <c r="M684" s="15" t="s">
        <v>596</v>
      </c>
      <c r="N684" s="15" t="s">
        <v>73</v>
      </c>
      <c r="O684" s="16" t="n">
        <v>0</v>
      </c>
      <c r="P684" s="16" t="n">
        <v>0</v>
      </c>
      <c r="Q684" s="16" t="n">
        <v>0</v>
      </c>
      <c r="R684" s="16" t="n">
        <v>0</v>
      </c>
      <c r="S684" s="16" t="n">
        <v>0</v>
      </c>
      <c r="T684" s="17" t="n">
        <f aca="false">AVERAGE(O684:Q684)</f>
        <v>0</v>
      </c>
      <c r="U684" s="18" t="str">
        <f aca="false">IF(T684&gt;=$H$3,"Eligible","Not Eligible")</f>
        <v>Not Eligible</v>
      </c>
      <c r="V684" s="19" t="n">
        <f aca="false">IF(T684&lt;$H$3,0,IFERROR(T684/SUMIF($T$5:$T$999,"&gt;="&amp;$H$3),0))</f>
        <v>0</v>
      </c>
      <c r="W684" s="15" t="str">
        <f aca="false">IF(T684=0,"Win-Back","Active")</f>
        <v>Win-Back</v>
      </c>
      <c r="X684" s="20" t="n">
        <f aca="false">IF(T684=0,0,IF(T684&gt;=$H$3,ROUND(T684*$D$3/SUMIF($T$5:$T$999,"&gt;="&amp;$H$3),0),ROUNDUP(T684*$D$3/SUMIF($T$5:$T$999,"&gt;="&amp;$H$3),0)))</f>
        <v>0</v>
      </c>
      <c r="Y684" s="21"/>
      <c r="Z684" s="16" t="str">
        <f aca="false">IF(X684=0,"",X684-Y684)</f>
        <v/>
      </c>
      <c r="AA684" s="22" t="str">
        <f aca="false">IFERROR(Y684/X684,"")</f>
        <v/>
      </c>
      <c r="AB684" s="16" t="n">
        <v>0</v>
      </c>
      <c r="AC684" s="21"/>
    </row>
    <row r="685" customFormat="false" ht="15" hidden="false" customHeight="true" outlineLevel="0" collapsed="false">
      <c r="A685" s="15"/>
      <c r="B685" s="15"/>
      <c r="C685" s="15" t="s">
        <v>6771</v>
      </c>
      <c r="D685" s="15" t="s">
        <v>6765</v>
      </c>
      <c r="E685" s="15" t="s">
        <v>6766</v>
      </c>
      <c r="F685" s="15"/>
      <c r="G685" s="15"/>
      <c r="H685" s="15" t="s">
        <v>6772</v>
      </c>
      <c r="I685" s="15"/>
      <c r="J685" s="15" t="s">
        <v>6773</v>
      </c>
      <c r="K685" s="15" t="s">
        <v>368</v>
      </c>
      <c r="L685" s="15" t="s">
        <v>6774</v>
      </c>
      <c r="M685" s="15" t="s">
        <v>4617</v>
      </c>
      <c r="N685" s="15" t="s">
        <v>73</v>
      </c>
      <c r="O685" s="16" t="n">
        <v>0</v>
      </c>
      <c r="P685" s="16" t="n">
        <v>0</v>
      </c>
      <c r="Q685" s="16" t="n">
        <v>0</v>
      </c>
      <c r="R685" s="16" t="n">
        <v>0</v>
      </c>
      <c r="S685" s="16" t="n">
        <v>0</v>
      </c>
      <c r="T685" s="17" t="n">
        <f aca="false">AVERAGE(O685:Q685)</f>
        <v>0</v>
      </c>
      <c r="U685" s="18" t="str">
        <f aca="false">IF(T685&gt;=$H$3,"Eligible","Not Eligible")</f>
        <v>Not Eligible</v>
      </c>
      <c r="V685" s="19" t="n">
        <f aca="false">IF(T685&lt;$H$3,0,IFERROR(T685/SUMIF($T$5:$T$999,"&gt;="&amp;$H$3),0))</f>
        <v>0</v>
      </c>
      <c r="W685" s="15" t="str">
        <f aca="false">IF(T685=0,"Win-Back","Active")</f>
        <v>Win-Back</v>
      </c>
      <c r="X685" s="20" t="n">
        <f aca="false">IF(T685=0,0,IF(T685&gt;=$H$3,ROUND(T685*$D$3/SUMIF($T$5:$T$999,"&gt;="&amp;$H$3),0),ROUNDUP(T685*$D$3/SUMIF($T$5:$T$999,"&gt;="&amp;$H$3),0)))</f>
        <v>0</v>
      </c>
      <c r="Y685" s="21"/>
      <c r="Z685" s="16" t="str">
        <f aca="false">IF(X685=0,"",X685-Y685)</f>
        <v/>
      </c>
      <c r="AA685" s="22" t="str">
        <f aca="false">IFERROR(Y685/X685,"")</f>
        <v/>
      </c>
      <c r="AB685" s="16" t="n">
        <v>0</v>
      </c>
      <c r="AC685" s="21"/>
    </row>
    <row r="686" customFormat="false" ht="15" hidden="false" customHeight="true" outlineLevel="0" collapsed="false">
      <c r="A686" s="15" t="s">
        <v>6775</v>
      </c>
      <c r="B686" s="15" t="s">
        <v>6776</v>
      </c>
      <c r="C686" s="15" t="s">
        <v>6777</v>
      </c>
      <c r="D686" s="15" t="s">
        <v>6778</v>
      </c>
      <c r="E686" s="15" t="s">
        <v>6779</v>
      </c>
      <c r="F686" s="15" t="s">
        <v>6780</v>
      </c>
      <c r="G686" s="15" t="s">
        <v>6781</v>
      </c>
      <c r="H686" s="15" t="s">
        <v>6782</v>
      </c>
      <c r="I686" s="15" t="s">
        <v>2130</v>
      </c>
      <c r="J686" s="15" t="s">
        <v>1998</v>
      </c>
      <c r="K686" s="15" t="s">
        <v>70</v>
      </c>
      <c r="L686" s="15" t="s">
        <v>5460</v>
      </c>
      <c r="M686" s="15" t="s">
        <v>6783</v>
      </c>
      <c r="N686" s="15" t="s">
        <v>73</v>
      </c>
      <c r="O686" s="16" t="n">
        <v>0</v>
      </c>
      <c r="P686" s="16" t="n">
        <v>0</v>
      </c>
      <c r="Q686" s="16" t="n">
        <v>0</v>
      </c>
      <c r="R686" s="16" t="n">
        <v>0</v>
      </c>
      <c r="S686" s="16" t="n">
        <v>0</v>
      </c>
      <c r="T686" s="17" t="n">
        <f aca="false">AVERAGE(O686:Q686)</f>
        <v>0</v>
      </c>
      <c r="U686" s="18" t="str">
        <f aca="false">IF(T686&gt;=$H$3,"Eligible","Not Eligible")</f>
        <v>Not Eligible</v>
      </c>
      <c r="V686" s="19" t="n">
        <f aca="false">IF(T686&lt;$H$3,0,IFERROR(T686/SUMIF($T$5:$T$999,"&gt;="&amp;$H$3),0))</f>
        <v>0</v>
      </c>
      <c r="W686" s="15" t="str">
        <f aca="false">IF(T686=0,"Win-Back","Active")</f>
        <v>Win-Back</v>
      </c>
      <c r="X686" s="20" t="n">
        <f aca="false">IF(T686=0,0,IF(T686&gt;=$H$3,ROUND(T686*$D$3/SUMIF($T$5:$T$999,"&gt;="&amp;$H$3),0),ROUNDUP(T686*$D$3/SUMIF($T$5:$T$999,"&gt;="&amp;$H$3),0)))</f>
        <v>0</v>
      </c>
      <c r="Y686" s="21" t="n">
        <v>1</v>
      </c>
      <c r="Z686" s="16" t="str">
        <f aca="false">IF(X686=0,"",X686-Y686)</f>
        <v/>
      </c>
      <c r="AA686" s="22" t="str">
        <f aca="false">IFERROR(Y686/X686,"")</f>
        <v/>
      </c>
      <c r="AB686" s="16" t="n">
        <v>0</v>
      </c>
      <c r="AC686" s="21"/>
    </row>
    <row r="687" customFormat="false" ht="15" hidden="false" customHeight="true" outlineLevel="0" collapsed="false">
      <c r="A687" s="15" t="s">
        <v>6784</v>
      </c>
      <c r="B687" s="15" t="s">
        <v>6785</v>
      </c>
      <c r="C687" s="15" t="s">
        <v>6786</v>
      </c>
      <c r="D687" s="15" t="s">
        <v>6765</v>
      </c>
      <c r="E687" s="15" t="s">
        <v>6766</v>
      </c>
      <c r="F687" s="15" t="s">
        <v>6767</v>
      </c>
      <c r="G687" s="15" t="s">
        <v>592</v>
      </c>
      <c r="H687" s="15" t="s">
        <v>6787</v>
      </c>
      <c r="I687" s="15"/>
      <c r="J687" s="15" t="s">
        <v>6769</v>
      </c>
      <c r="K687" s="15" t="s">
        <v>368</v>
      </c>
      <c r="L687" s="15" t="s">
        <v>6788</v>
      </c>
      <c r="M687" s="15" t="s">
        <v>596</v>
      </c>
      <c r="N687" s="15" t="s">
        <v>73</v>
      </c>
      <c r="O687" s="16" t="n">
        <v>0</v>
      </c>
      <c r="P687" s="16" t="n">
        <v>0</v>
      </c>
      <c r="Q687" s="16" t="n">
        <v>0</v>
      </c>
      <c r="R687" s="16" t="n">
        <v>0</v>
      </c>
      <c r="S687" s="16" t="n">
        <v>0</v>
      </c>
      <c r="T687" s="17" t="n">
        <f aca="false">AVERAGE(O687:Q687)</f>
        <v>0</v>
      </c>
      <c r="U687" s="18" t="str">
        <f aca="false">IF(T687&gt;=$H$3,"Eligible","Not Eligible")</f>
        <v>Not Eligible</v>
      </c>
      <c r="V687" s="19" t="n">
        <f aca="false">IF(T687&lt;$H$3,0,IFERROR(T687/SUMIF($T$5:$T$999,"&gt;="&amp;$H$3),0))</f>
        <v>0</v>
      </c>
      <c r="W687" s="15" t="str">
        <f aca="false">IF(T687=0,"Win-Back","Active")</f>
        <v>Win-Back</v>
      </c>
      <c r="X687" s="20" t="n">
        <f aca="false">IF(T687=0,0,IF(T687&gt;=$H$3,ROUND(T687*$D$3/SUMIF($T$5:$T$999,"&gt;="&amp;$H$3),0),ROUNDUP(T687*$D$3/SUMIF($T$5:$T$999,"&gt;="&amp;$H$3),0)))</f>
        <v>0</v>
      </c>
      <c r="Y687" s="21"/>
      <c r="Z687" s="16" t="str">
        <f aca="false">IF(X687=0,"",X687-Y687)</f>
        <v/>
      </c>
      <c r="AA687" s="22" t="str">
        <f aca="false">IFERROR(Y687/X687,"")</f>
        <v/>
      </c>
      <c r="AB687" s="16" t="n">
        <v>0</v>
      </c>
      <c r="AC687" s="21"/>
    </row>
    <row r="688" customFormat="false" ht="15" hidden="false" customHeight="true" outlineLevel="0" collapsed="false">
      <c r="A688" s="15" t="s">
        <v>6789</v>
      </c>
      <c r="B688" s="15" t="s">
        <v>6790</v>
      </c>
      <c r="C688" s="15" t="s">
        <v>6791</v>
      </c>
      <c r="D688" s="15" t="s">
        <v>6792</v>
      </c>
      <c r="E688" s="15" t="s">
        <v>6793</v>
      </c>
      <c r="F688" s="15" t="s">
        <v>6794</v>
      </c>
      <c r="G688" s="15" t="s">
        <v>6795</v>
      </c>
      <c r="H688" s="15" t="s">
        <v>6796</v>
      </c>
      <c r="I688" s="15"/>
      <c r="J688" s="15" t="s">
        <v>594</v>
      </c>
      <c r="K688" s="15" t="s">
        <v>368</v>
      </c>
      <c r="L688" s="15" t="s">
        <v>6797</v>
      </c>
      <c r="M688" s="15" t="s">
        <v>6798</v>
      </c>
      <c r="N688" s="15" t="s">
        <v>73</v>
      </c>
      <c r="O688" s="16" t="n">
        <v>0</v>
      </c>
      <c r="P688" s="16" t="n">
        <v>0</v>
      </c>
      <c r="Q688" s="16" t="n">
        <v>0</v>
      </c>
      <c r="R688" s="16" t="n">
        <v>0</v>
      </c>
      <c r="S688" s="16" t="n">
        <v>0</v>
      </c>
      <c r="T688" s="17" t="n">
        <f aca="false">AVERAGE(O688:Q688)</f>
        <v>0</v>
      </c>
      <c r="U688" s="18" t="str">
        <f aca="false">IF(T688&gt;=$H$3,"Eligible","Not Eligible")</f>
        <v>Not Eligible</v>
      </c>
      <c r="V688" s="19" t="n">
        <f aca="false">IF(T688&lt;$H$3,0,IFERROR(T688/SUMIF($T$5:$T$999,"&gt;="&amp;$H$3),0))</f>
        <v>0</v>
      </c>
      <c r="W688" s="15" t="str">
        <f aca="false">IF(T688=0,"Win-Back","Active")</f>
        <v>Win-Back</v>
      </c>
      <c r="X688" s="20" t="n">
        <f aca="false">IF(T688=0,0,IF(T688&gt;=$H$3,ROUND(T688*$D$3/SUMIF($T$5:$T$999,"&gt;="&amp;$H$3),0),ROUNDUP(T688*$D$3/SUMIF($T$5:$T$999,"&gt;="&amp;$H$3),0)))</f>
        <v>0</v>
      </c>
      <c r="Y688" s="21"/>
      <c r="Z688" s="16" t="str">
        <f aca="false">IF(X688=0,"",X688-Y688)</f>
        <v/>
      </c>
      <c r="AA688" s="22" t="str">
        <f aca="false">IFERROR(Y688/X688,"")</f>
        <v/>
      </c>
      <c r="AB688" s="16" t="n">
        <v>0</v>
      </c>
      <c r="AC688" s="21"/>
    </row>
    <row r="689" customFormat="false" ht="15" hidden="false" customHeight="true" outlineLevel="0" collapsed="false">
      <c r="A689" s="15" t="s">
        <v>6799</v>
      </c>
      <c r="B689" s="15" t="s">
        <v>6800</v>
      </c>
      <c r="C689" s="15" t="s">
        <v>6801</v>
      </c>
      <c r="D689" s="15" t="s">
        <v>6802</v>
      </c>
      <c r="E689" s="15" t="s">
        <v>6803</v>
      </c>
      <c r="F689" s="15" t="s">
        <v>6804</v>
      </c>
      <c r="G689" s="15" t="s">
        <v>6805</v>
      </c>
      <c r="H689" s="15" t="s">
        <v>6806</v>
      </c>
      <c r="I689" s="15"/>
      <c r="J689" s="15" t="s">
        <v>1300</v>
      </c>
      <c r="K689" s="15" t="s">
        <v>368</v>
      </c>
      <c r="L689" s="15" t="s">
        <v>6807</v>
      </c>
      <c r="M689" s="15" t="s">
        <v>6808</v>
      </c>
      <c r="N689" s="15" t="s">
        <v>73</v>
      </c>
      <c r="O689" s="16" t="n">
        <v>0</v>
      </c>
      <c r="P689" s="16" t="n">
        <v>0</v>
      </c>
      <c r="Q689" s="16" t="n">
        <v>0</v>
      </c>
      <c r="R689" s="16" t="n">
        <v>0</v>
      </c>
      <c r="S689" s="16" t="n">
        <v>0</v>
      </c>
      <c r="T689" s="17" t="n">
        <f aca="false">AVERAGE(O689:Q689)</f>
        <v>0</v>
      </c>
      <c r="U689" s="18" t="str">
        <f aca="false">IF(T689&gt;=$H$3,"Eligible","Not Eligible")</f>
        <v>Not Eligible</v>
      </c>
      <c r="V689" s="19" t="n">
        <f aca="false">IF(T689&lt;$H$3,0,IFERROR(T689/SUMIF($T$5:$T$999,"&gt;="&amp;$H$3),0))</f>
        <v>0</v>
      </c>
      <c r="W689" s="15" t="str">
        <f aca="false">IF(T689=0,"Win-Back","Active")</f>
        <v>Win-Back</v>
      </c>
      <c r="X689" s="20" t="n">
        <f aca="false">IF(T689=0,0,IF(T689&gt;=$H$3,ROUND(T689*$D$3/SUMIF($T$5:$T$999,"&gt;="&amp;$H$3),0),ROUNDUP(T689*$D$3/SUMIF($T$5:$T$999,"&gt;="&amp;$H$3),0)))</f>
        <v>0</v>
      </c>
      <c r="Y689" s="21"/>
      <c r="Z689" s="16" t="str">
        <f aca="false">IF(X689=0,"",X689-Y689)</f>
        <v/>
      </c>
      <c r="AA689" s="22" t="str">
        <f aca="false">IFERROR(Y689/X689,"")</f>
        <v/>
      </c>
      <c r="AB689" s="16" t="n">
        <v>0</v>
      </c>
      <c r="AC689" s="21"/>
    </row>
    <row r="690" customFormat="false" ht="15" hidden="false" customHeight="true" outlineLevel="0" collapsed="false">
      <c r="A690" s="15" t="s">
        <v>6809</v>
      </c>
      <c r="B690" s="15" t="s">
        <v>6810</v>
      </c>
      <c r="C690" s="15" t="s">
        <v>6811</v>
      </c>
      <c r="D690" s="15" t="s">
        <v>6812</v>
      </c>
      <c r="E690" s="15" t="s">
        <v>6813</v>
      </c>
      <c r="F690" s="15" t="s">
        <v>6814</v>
      </c>
      <c r="G690" s="15" t="s">
        <v>6815</v>
      </c>
      <c r="H690" s="15" t="s">
        <v>6816</v>
      </c>
      <c r="I690" s="15" t="s">
        <v>6817</v>
      </c>
      <c r="J690" s="15" t="s">
        <v>297</v>
      </c>
      <c r="K690" s="15" t="s">
        <v>298</v>
      </c>
      <c r="L690" s="15" t="s">
        <v>6818</v>
      </c>
      <c r="M690" s="15" t="s">
        <v>6819</v>
      </c>
      <c r="N690" s="15" t="s">
        <v>73</v>
      </c>
      <c r="O690" s="16" t="n">
        <v>0</v>
      </c>
      <c r="P690" s="16" t="n">
        <v>0</v>
      </c>
      <c r="Q690" s="16" t="n">
        <v>0</v>
      </c>
      <c r="R690" s="16" t="n">
        <v>0</v>
      </c>
      <c r="S690" s="16" t="n">
        <v>0</v>
      </c>
      <c r="T690" s="17" t="n">
        <f aca="false">AVERAGE(O690:Q690)</f>
        <v>0</v>
      </c>
      <c r="U690" s="18" t="str">
        <f aca="false">IF(T690&gt;=$H$3,"Eligible","Not Eligible")</f>
        <v>Not Eligible</v>
      </c>
      <c r="V690" s="19" t="n">
        <f aca="false">IF(T690&lt;$H$3,0,IFERROR(T690/SUMIF($T$5:$T$999,"&gt;="&amp;$H$3),0))</f>
        <v>0</v>
      </c>
      <c r="W690" s="15" t="str">
        <f aca="false">IF(T690=0,"Win-Back","Active")</f>
        <v>Win-Back</v>
      </c>
      <c r="X690" s="20" t="n">
        <f aca="false">IF(T690=0,0,IF(T690&gt;=$H$3,ROUND(T690*$D$3/SUMIF($T$5:$T$999,"&gt;="&amp;$H$3),0),ROUNDUP(T690*$D$3/SUMIF($T$5:$T$999,"&gt;="&amp;$H$3),0)))</f>
        <v>0</v>
      </c>
      <c r="Y690" s="21"/>
      <c r="Z690" s="16" t="str">
        <f aca="false">IF(X690=0,"",X690-Y690)</f>
        <v/>
      </c>
      <c r="AA690" s="22" t="str">
        <f aca="false">IFERROR(Y690/X690,"")</f>
        <v/>
      </c>
      <c r="AB690" s="16" t="n">
        <v>0</v>
      </c>
      <c r="AC690" s="21"/>
    </row>
    <row r="691" customFormat="false" ht="15" hidden="false" customHeight="true" outlineLevel="0" collapsed="false">
      <c r="A691" s="15" t="s">
        <v>6820</v>
      </c>
      <c r="B691" s="15" t="s">
        <v>6821</v>
      </c>
      <c r="C691" s="15" t="s">
        <v>6822</v>
      </c>
      <c r="D691" s="15" t="s">
        <v>6823</v>
      </c>
      <c r="E691" s="15" t="s">
        <v>2257</v>
      </c>
      <c r="F691" s="15" t="s">
        <v>6824</v>
      </c>
      <c r="G691" s="15" t="s">
        <v>2259</v>
      </c>
      <c r="H691" s="15" t="s">
        <v>6825</v>
      </c>
      <c r="I691" s="15"/>
      <c r="J691" s="15" t="s">
        <v>2261</v>
      </c>
      <c r="K691" s="15" t="s">
        <v>1418</v>
      </c>
      <c r="L691" s="15" t="s">
        <v>2493</v>
      </c>
      <c r="M691" s="15" t="s">
        <v>2263</v>
      </c>
      <c r="N691" s="15" t="s">
        <v>73</v>
      </c>
      <c r="O691" s="16" t="n">
        <v>0</v>
      </c>
      <c r="P691" s="16" t="n">
        <v>0</v>
      </c>
      <c r="Q691" s="16" t="n">
        <v>0</v>
      </c>
      <c r="R691" s="16" t="n">
        <v>0</v>
      </c>
      <c r="S691" s="16" t="n">
        <v>0</v>
      </c>
      <c r="T691" s="17" t="n">
        <f aca="false">AVERAGE(O691:Q691)</f>
        <v>0</v>
      </c>
      <c r="U691" s="18" t="str">
        <f aca="false">IF(T691&gt;=$H$3,"Eligible","Not Eligible")</f>
        <v>Not Eligible</v>
      </c>
      <c r="V691" s="19" t="n">
        <f aca="false">IF(T691&lt;$H$3,0,IFERROR(T691/SUMIF($T$5:$T$999,"&gt;="&amp;$H$3),0))</f>
        <v>0</v>
      </c>
      <c r="W691" s="15" t="str">
        <f aca="false">IF(T691=0,"Win-Back","Active")</f>
        <v>Win-Back</v>
      </c>
      <c r="X691" s="20" t="n">
        <f aca="false">IF(T691=0,0,IF(T691&gt;=$H$3,ROUND(T691*$D$3/SUMIF($T$5:$T$999,"&gt;="&amp;$H$3),0),ROUNDUP(T691*$D$3/SUMIF($T$5:$T$999,"&gt;="&amp;$H$3),0)))</f>
        <v>0</v>
      </c>
      <c r="Y691" s="21"/>
      <c r="Z691" s="16" t="str">
        <f aca="false">IF(X691=0,"",X691-Y691)</f>
        <v/>
      </c>
      <c r="AA691" s="22" t="str">
        <f aca="false">IFERROR(Y691/X691,"")</f>
        <v/>
      </c>
      <c r="AB691" s="16" t="n">
        <v>0</v>
      </c>
      <c r="AC691" s="21"/>
    </row>
    <row r="692" customFormat="false" ht="15" hidden="false" customHeight="true" outlineLevel="0" collapsed="false">
      <c r="A692" s="15" t="s">
        <v>6826</v>
      </c>
      <c r="B692" s="15" t="s">
        <v>6827</v>
      </c>
      <c r="C692" s="15" t="s">
        <v>6828</v>
      </c>
      <c r="D692" s="15" t="s">
        <v>6829</v>
      </c>
      <c r="E692" s="15" t="s">
        <v>6830</v>
      </c>
      <c r="F692" s="15" t="s">
        <v>6831</v>
      </c>
      <c r="G692" s="15" t="s">
        <v>6832</v>
      </c>
      <c r="H692" s="15" t="s">
        <v>6833</v>
      </c>
      <c r="I692" s="15"/>
      <c r="J692" s="15" t="s">
        <v>6834</v>
      </c>
      <c r="K692" s="15" t="s">
        <v>1200</v>
      </c>
      <c r="L692" s="15" t="s">
        <v>6835</v>
      </c>
      <c r="M692" s="15" t="s">
        <v>6836</v>
      </c>
      <c r="N692" s="15" t="s">
        <v>73</v>
      </c>
      <c r="O692" s="16" t="n">
        <v>0</v>
      </c>
      <c r="P692" s="16" t="n">
        <v>0</v>
      </c>
      <c r="Q692" s="16" t="n">
        <v>0</v>
      </c>
      <c r="R692" s="16" t="n">
        <v>0</v>
      </c>
      <c r="S692" s="16" t="n">
        <v>0</v>
      </c>
      <c r="T692" s="17" t="n">
        <f aca="false">AVERAGE(O692:Q692)</f>
        <v>0</v>
      </c>
      <c r="U692" s="18" t="str">
        <f aca="false">IF(T692&gt;=$H$3,"Eligible","Not Eligible")</f>
        <v>Not Eligible</v>
      </c>
      <c r="V692" s="19" t="n">
        <f aca="false">IF(T692&lt;$H$3,0,IFERROR(T692/SUMIF($T$5:$T$999,"&gt;="&amp;$H$3),0))</f>
        <v>0</v>
      </c>
      <c r="W692" s="15" t="str">
        <f aca="false">IF(T692=0,"Win-Back","Active")</f>
        <v>Win-Back</v>
      </c>
      <c r="X692" s="20" t="n">
        <f aca="false">IF(T692=0,0,IF(T692&gt;=$H$3,ROUND(T692*$D$3/SUMIF($T$5:$T$999,"&gt;="&amp;$H$3),0),ROUNDUP(T692*$D$3/SUMIF($T$5:$T$999,"&gt;="&amp;$H$3),0)))</f>
        <v>0</v>
      </c>
      <c r="Y692" s="21"/>
      <c r="Z692" s="16" t="str">
        <f aca="false">IF(X692=0,"",X692-Y692)</f>
        <v/>
      </c>
      <c r="AA692" s="22" t="str">
        <f aca="false">IFERROR(Y692/X692,"")</f>
        <v/>
      </c>
      <c r="AB692" s="16" t="n">
        <v>0</v>
      </c>
      <c r="AC692" s="21"/>
    </row>
    <row r="693" customFormat="false" ht="15" hidden="false" customHeight="true" outlineLevel="0" collapsed="false">
      <c r="A693" s="15" t="s">
        <v>6837</v>
      </c>
      <c r="B693" s="15" t="s">
        <v>6838</v>
      </c>
      <c r="C693" s="15" t="s">
        <v>6839</v>
      </c>
      <c r="D693" s="15" t="s">
        <v>6840</v>
      </c>
      <c r="E693" s="15" t="s">
        <v>6841</v>
      </c>
      <c r="F693" s="15" t="s">
        <v>6842</v>
      </c>
      <c r="G693" s="15" t="s">
        <v>6843</v>
      </c>
      <c r="H693" s="15" t="s">
        <v>6844</v>
      </c>
      <c r="I693" s="15"/>
      <c r="J693" s="15" t="s">
        <v>6845</v>
      </c>
      <c r="K693" s="15" t="s">
        <v>368</v>
      </c>
      <c r="L693" s="15" t="s">
        <v>6846</v>
      </c>
      <c r="M693" s="15" t="s">
        <v>6847</v>
      </c>
      <c r="N693" s="15" t="s">
        <v>73</v>
      </c>
      <c r="O693" s="16" t="n">
        <v>0</v>
      </c>
      <c r="P693" s="16" t="n">
        <v>0</v>
      </c>
      <c r="Q693" s="16" t="n">
        <v>0</v>
      </c>
      <c r="R693" s="16" t="n">
        <v>0</v>
      </c>
      <c r="S693" s="16" t="n">
        <v>0</v>
      </c>
      <c r="T693" s="17" t="n">
        <f aca="false">AVERAGE(O693:Q693)</f>
        <v>0</v>
      </c>
      <c r="U693" s="18" t="str">
        <f aca="false">IF(T693&gt;=$H$3,"Eligible","Not Eligible")</f>
        <v>Not Eligible</v>
      </c>
      <c r="V693" s="19" t="n">
        <f aca="false">IF(T693&lt;$H$3,0,IFERROR(T693/SUMIF($T$5:$T$999,"&gt;="&amp;$H$3),0))</f>
        <v>0</v>
      </c>
      <c r="W693" s="15" t="str">
        <f aca="false">IF(T693=0,"Win-Back","Active")</f>
        <v>Win-Back</v>
      </c>
      <c r="X693" s="20" t="n">
        <f aca="false">IF(T693=0,0,IF(T693&gt;=$H$3,ROUND(T693*$D$3/SUMIF($T$5:$T$999,"&gt;="&amp;$H$3),0),ROUNDUP(T693*$D$3/SUMIF($T$5:$T$999,"&gt;="&amp;$H$3),0)))</f>
        <v>0</v>
      </c>
      <c r="Y693" s="21"/>
      <c r="Z693" s="16" t="str">
        <f aca="false">IF(X693=0,"",X693-Y693)</f>
        <v/>
      </c>
      <c r="AA693" s="22" t="str">
        <f aca="false">IFERROR(Y693/X693,"")</f>
        <v/>
      </c>
      <c r="AB693" s="16" t="n">
        <v>0</v>
      </c>
      <c r="AC693" s="21"/>
    </row>
    <row r="694" customFormat="false" ht="15" hidden="false" customHeight="true" outlineLevel="0" collapsed="false">
      <c r="A694" s="15" t="s">
        <v>6848</v>
      </c>
      <c r="B694" s="15" t="s">
        <v>6849</v>
      </c>
      <c r="C694" s="15" t="s">
        <v>6850</v>
      </c>
      <c r="D694" s="15" t="s">
        <v>6851</v>
      </c>
      <c r="E694" s="15" t="s">
        <v>6852</v>
      </c>
      <c r="F694" s="15" t="s">
        <v>6853</v>
      </c>
      <c r="G694" s="15" t="s">
        <v>6854</v>
      </c>
      <c r="H694" s="15" t="s">
        <v>6855</v>
      </c>
      <c r="I694" s="15"/>
      <c r="J694" s="15" t="s">
        <v>6856</v>
      </c>
      <c r="K694" s="15" t="s">
        <v>234</v>
      </c>
      <c r="L694" s="15" t="s">
        <v>6857</v>
      </c>
      <c r="M694" s="15" t="s">
        <v>6858</v>
      </c>
      <c r="N694" s="15" t="s">
        <v>73</v>
      </c>
      <c r="O694" s="16" t="n">
        <v>0</v>
      </c>
      <c r="P694" s="16" t="n">
        <v>0</v>
      </c>
      <c r="Q694" s="16" t="n">
        <v>0</v>
      </c>
      <c r="R694" s="16" t="n">
        <v>0</v>
      </c>
      <c r="S694" s="16" t="n">
        <v>0</v>
      </c>
      <c r="T694" s="17" t="n">
        <f aca="false">AVERAGE(O694:Q694)</f>
        <v>0</v>
      </c>
      <c r="U694" s="18" t="str">
        <f aca="false">IF(T694&gt;=$H$3,"Eligible","Not Eligible")</f>
        <v>Not Eligible</v>
      </c>
      <c r="V694" s="19" t="n">
        <f aca="false">IF(T694&lt;$H$3,0,IFERROR(T694/SUMIF($T$5:$T$999,"&gt;="&amp;$H$3),0))</f>
        <v>0</v>
      </c>
      <c r="W694" s="15" t="str">
        <f aca="false">IF(T694=0,"Win-Back","Active")</f>
        <v>Win-Back</v>
      </c>
      <c r="X694" s="20" t="n">
        <f aca="false">IF(T694=0,0,IF(T694&gt;=$H$3,ROUND(T694*$D$3/SUMIF($T$5:$T$999,"&gt;="&amp;$H$3),0),ROUNDUP(T694*$D$3/SUMIF($T$5:$T$999,"&gt;="&amp;$H$3),0)))</f>
        <v>0</v>
      </c>
      <c r="Y694" s="21"/>
      <c r="Z694" s="16" t="str">
        <f aca="false">IF(X694=0,"",X694-Y694)</f>
        <v/>
      </c>
      <c r="AA694" s="22" t="str">
        <f aca="false">IFERROR(Y694/X694,"")</f>
        <v/>
      </c>
      <c r="AB694" s="16" t="n">
        <v>0</v>
      </c>
      <c r="AC694" s="21"/>
    </row>
    <row r="695" customFormat="false" ht="15" hidden="false" customHeight="true" outlineLevel="0" collapsed="false">
      <c r="A695" s="15" t="s">
        <v>6859</v>
      </c>
      <c r="B695" s="15" t="s">
        <v>6860</v>
      </c>
      <c r="C695" s="15" t="s">
        <v>6861</v>
      </c>
      <c r="D695" s="15" t="s">
        <v>6862</v>
      </c>
      <c r="E695" s="15" t="s">
        <v>6863</v>
      </c>
      <c r="F695" s="15" t="s">
        <v>6864</v>
      </c>
      <c r="G695" s="15" t="s">
        <v>6865</v>
      </c>
      <c r="H695" s="15" t="s">
        <v>6866</v>
      </c>
      <c r="I695" s="15"/>
      <c r="J695" s="15" t="s">
        <v>6867</v>
      </c>
      <c r="K695" s="15" t="s">
        <v>864</v>
      </c>
      <c r="L695" s="15" t="s">
        <v>6868</v>
      </c>
      <c r="M695" s="15" t="s">
        <v>6869</v>
      </c>
      <c r="N695" s="15" t="s">
        <v>73</v>
      </c>
      <c r="O695" s="16" t="n">
        <v>0</v>
      </c>
      <c r="P695" s="16" t="n">
        <v>0</v>
      </c>
      <c r="Q695" s="16" t="n">
        <v>0</v>
      </c>
      <c r="R695" s="16" t="n">
        <v>0</v>
      </c>
      <c r="S695" s="16" t="n">
        <v>0</v>
      </c>
      <c r="T695" s="17" t="n">
        <f aca="false">AVERAGE(O695:Q695)</f>
        <v>0</v>
      </c>
      <c r="U695" s="18" t="str">
        <f aca="false">IF(T695&gt;=$H$3,"Eligible","Not Eligible")</f>
        <v>Not Eligible</v>
      </c>
      <c r="V695" s="19" t="n">
        <f aca="false">IF(T695&lt;$H$3,0,IFERROR(T695/SUMIF($T$5:$T$999,"&gt;="&amp;$H$3),0))</f>
        <v>0</v>
      </c>
      <c r="W695" s="15" t="str">
        <f aca="false">IF(T695=0,"Win-Back","Active")</f>
        <v>Win-Back</v>
      </c>
      <c r="X695" s="20" t="n">
        <f aca="false">IF(T695=0,0,IF(T695&gt;=$H$3,ROUND(T695*$D$3/SUMIF($T$5:$T$999,"&gt;="&amp;$H$3),0),ROUNDUP(T695*$D$3/SUMIF($T$5:$T$999,"&gt;="&amp;$H$3),0)))</f>
        <v>0</v>
      </c>
      <c r="Y695" s="21"/>
      <c r="Z695" s="16" t="str">
        <f aca="false">IF(X695=0,"",X695-Y695)</f>
        <v/>
      </c>
      <c r="AA695" s="22" t="str">
        <f aca="false">IFERROR(Y695/X695,"")</f>
        <v/>
      </c>
      <c r="AB695" s="16" t="n">
        <v>0</v>
      </c>
      <c r="AC695" s="21"/>
    </row>
    <row r="696" customFormat="false" ht="15" hidden="false" customHeight="true" outlineLevel="0" collapsed="false">
      <c r="A696" s="15" t="s">
        <v>6870</v>
      </c>
      <c r="B696" s="15" t="s">
        <v>6871</v>
      </c>
      <c r="C696" s="15" t="s">
        <v>6872</v>
      </c>
      <c r="D696" s="15" t="s">
        <v>6873</v>
      </c>
      <c r="E696" s="15" t="s">
        <v>6874</v>
      </c>
      <c r="F696" s="15" t="s">
        <v>6875</v>
      </c>
      <c r="G696" s="15" t="s">
        <v>6876</v>
      </c>
      <c r="H696" s="15" t="s">
        <v>6877</v>
      </c>
      <c r="I696" s="15"/>
      <c r="J696" s="15" t="s">
        <v>6878</v>
      </c>
      <c r="K696" s="15" t="s">
        <v>70</v>
      </c>
      <c r="L696" s="15" t="s">
        <v>6879</v>
      </c>
      <c r="M696" s="15" t="s">
        <v>6880</v>
      </c>
      <c r="N696" s="15" t="s">
        <v>73</v>
      </c>
      <c r="O696" s="16" t="n">
        <v>0</v>
      </c>
      <c r="P696" s="16" t="n">
        <v>0</v>
      </c>
      <c r="Q696" s="16" t="n">
        <v>0</v>
      </c>
      <c r="R696" s="16" t="n">
        <v>0</v>
      </c>
      <c r="S696" s="16" t="n">
        <v>0</v>
      </c>
      <c r="T696" s="17" t="n">
        <f aca="false">AVERAGE(O696:Q696)</f>
        <v>0</v>
      </c>
      <c r="U696" s="18" t="str">
        <f aca="false">IF(T696&gt;=$H$3,"Eligible","Not Eligible")</f>
        <v>Not Eligible</v>
      </c>
      <c r="V696" s="19" t="n">
        <f aca="false">IF(T696&lt;$H$3,0,IFERROR(T696/SUMIF($T$5:$T$999,"&gt;="&amp;$H$3),0))</f>
        <v>0</v>
      </c>
      <c r="W696" s="15" t="str">
        <f aca="false">IF(T696=0,"Win-Back","Active")</f>
        <v>Win-Back</v>
      </c>
      <c r="X696" s="20" t="n">
        <f aca="false">IF(T696=0,0,IF(T696&gt;=$H$3,ROUND(T696*$D$3/SUMIF($T$5:$T$999,"&gt;="&amp;$H$3),0),ROUNDUP(T696*$D$3/SUMIF($T$5:$T$999,"&gt;="&amp;$H$3),0)))</f>
        <v>0</v>
      </c>
      <c r="Y696" s="21"/>
      <c r="Z696" s="16" t="str">
        <f aca="false">IF(X696=0,"",X696-Y696)</f>
        <v/>
      </c>
      <c r="AA696" s="22" t="str">
        <f aca="false">IFERROR(Y696/X696,"")</f>
        <v/>
      </c>
      <c r="AB696" s="16" t="n">
        <v>0</v>
      </c>
      <c r="AC696" s="21"/>
    </row>
    <row r="697" customFormat="false" ht="15" hidden="false" customHeight="true" outlineLevel="0" collapsed="false">
      <c r="A697" s="15" t="s">
        <v>6881</v>
      </c>
      <c r="B697" s="15" t="s">
        <v>6882</v>
      </c>
      <c r="C697" s="15" t="s">
        <v>6883</v>
      </c>
      <c r="D697" s="15" t="s">
        <v>6884</v>
      </c>
      <c r="E697" s="15" t="s">
        <v>6885</v>
      </c>
      <c r="F697" s="15" t="s">
        <v>6886</v>
      </c>
      <c r="G697" s="15" t="s">
        <v>6887</v>
      </c>
      <c r="H697" s="15" t="s">
        <v>6888</v>
      </c>
      <c r="I697" s="15" t="s">
        <v>6889</v>
      </c>
      <c r="J697" s="15" t="s">
        <v>6890</v>
      </c>
      <c r="K697" s="15" t="s">
        <v>2557</v>
      </c>
      <c r="L697" s="15" t="s">
        <v>6891</v>
      </c>
      <c r="M697" s="15" t="s">
        <v>6892</v>
      </c>
      <c r="N697" s="15" t="s">
        <v>73</v>
      </c>
      <c r="O697" s="16" t="n">
        <v>0</v>
      </c>
      <c r="P697" s="16" t="n">
        <v>0</v>
      </c>
      <c r="Q697" s="16" t="n">
        <v>0</v>
      </c>
      <c r="R697" s="16" t="n">
        <v>0</v>
      </c>
      <c r="S697" s="16" t="n">
        <v>0</v>
      </c>
      <c r="T697" s="17" t="n">
        <f aca="false">AVERAGE(O697:Q697)</f>
        <v>0</v>
      </c>
      <c r="U697" s="18" t="str">
        <f aca="false">IF(T697&gt;=$H$3,"Eligible","Not Eligible")</f>
        <v>Not Eligible</v>
      </c>
      <c r="V697" s="19" t="n">
        <f aca="false">IF(T697&lt;$H$3,0,IFERROR(T697/SUMIF($T$5:$T$999,"&gt;="&amp;$H$3),0))</f>
        <v>0</v>
      </c>
      <c r="W697" s="15" t="str">
        <f aca="false">IF(T697=0,"Win-Back","Active")</f>
        <v>Win-Back</v>
      </c>
      <c r="X697" s="20" t="n">
        <f aca="false">IF(T697=0,0,IF(T697&gt;=$H$3,ROUND(T697*$D$3/SUMIF($T$5:$T$999,"&gt;="&amp;$H$3),0),ROUNDUP(T697*$D$3/SUMIF($T$5:$T$999,"&gt;="&amp;$H$3),0)))</f>
        <v>0</v>
      </c>
      <c r="Y697" s="21"/>
      <c r="Z697" s="16" t="str">
        <f aca="false">IF(X697=0,"",X697-Y697)</f>
        <v/>
      </c>
      <c r="AA697" s="22" t="str">
        <f aca="false">IFERROR(Y697/X697,"")</f>
        <v/>
      </c>
      <c r="AB697" s="16" t="n">
        <v>0</v>
      </c>
      <c r="AC697" s="21"/>
    </row>
    <row r="698" customFormat="false" ht="15" hidden="false" customHeight="true" outlineLevel="0" collapsed="false">
      <c r="A698" s="15" t="s">
        <v>6893</v>
      </c>
      <c r="B698" s="15" t="s">
        <v>6894</v>
      </c>
      <c r="C698" s="15" t="s">
        <v>6895</v>
      </c>
      <c r="D698" s="15" t="s">
        <v>6896</v>
      </c>
      <c r="E698" s="15" t="s">
        <v>6897</v>
      </c>
      <c r="F698" s="15" t="s">
        <v>6898</v>
      </c>
      <c r="G698" s="15" t="s">
        <v>6899</v>
      </c>
      <c r="H698" s="15" t="s">
        <v>6900</v>
      </c>
      <c r="I698" s="15"/>
      <c r="J698" s="15" t="s">
        <v>2556</v>
      </c>
      <c r="K698" s="15" t="s">
        <v>2557</v>
      </c>
      <c r="L698" s="15" t="s">
        <v>2558</v>
      </c>
      <c r="M698" s="15" t="s">
        <v>6901</v>
      </c>
      <c r="N698" s="15" t="s">
        <v>73</v>
      </c>
      <c r="O698" s="16" t="n">
        <v>0</v>
      </c>
      <c r="P698" s="16" t="n">
        <v>0</v>
      </c>
      <c r="Q698" s="16" t="n">
        <v>0</v>
      </c>
      <c r="R698" s="16" t="n">
        <v>0</v>
      </c>
      <c r="S698" s="16" t="n">
        <v>0</v>
      </c>
      <c r="T698" s="17" t="n">
        <f aca="false">AVERAGE(O698:Q698)</f>
        <v>0</v>
      </c>
      <c r="U698" s="18" t="str">
        <f aca="false">IF(T698&gt;=$H$3,"Eligible","Not Eligible")</f>
        <v>Not Eligible</v>
      </c>
      <c r="V698" s="19" t="n">
        <f aca="false">IF(T698&lt;$H$3,0,IFERROR(T698/SUMIF($T$5:$T$999,"&gt;="&amp;$H$3),0))</f>
        <v>0</v>
      </c>
      <c r="W698" s="15" t="str">
        <f aca="false">IF(T698=0,"Win-Back","Active")</f>
        <v>Win-Back</v>
      </c>
      <c r="X698" s="20" t="n">
        <f aca="false">IF(T698=0,0,IF(T698&gt;=$H$3,ROUND(T698*$D$3/SUMIF($T$5:$T$999,"&gt;="&amp;$H$3),0),ROUNDUP(T698*$D$3/SUMIF($T$5:$T$999,"&gt;="&amp;$H$3),0)))</f>
        <v>0</v>
      </c>
      <c r="Y698" s="21"/>
      <c r="Z698" s="16" t="str">
        <f aca="false">IF(X698=0,"",X698-Y698)</f>
        <v/>
      </c>
      <c r="AA698" s="22" t="str">
        <f aca="false">IFERROR(Y698/X698,"")</f>
        <v/>
      </c>
      <c r="AB698" s="16" t="n">
        <v>0</v>
      </c>
      <c r="AC698" s="21"/>
    </row>
    <row r="699" customFormat="false" ht="15" hidden="false" customHeight="true" outlineLevel="0" collapsed="false">
      <c r="A699" s="15" t="s">
        <v>6902</v>
      </c>
      <c r="B699" s="15" t="s">
        <v>6903</v>
      </c>
      <c r="C699" s="15" t="s">
        <v>6904</v>
      </c>
      <c r="D699" s="15" t="s">
        <v>6905</v>
      </c>
      <c r="E699" s="15" t="s">
        <v>6906</v>
      </c>
      <c r="F699" s="15" t="s">
        <v>6907</v>
      </c>
      <c r="G699" s="15" t="s">
        <v>6908</v>
      </c>
      <c r="H699" s="15" t="s">
        <v>6909</v>
      </c>
      <c r="I699" s="15"/>
      <c r="J699" s="15" t="s">
        <v>6910</v>
      </c>
      <c r="K699" s="15" t="s">
        <v>368</v>
      </c>
      <c r="L699" s="15" t="s">
        <v>6911</v>
      </c>
      <c r="M699" s="15" t="s">
        <v>6912</v>
      </c>
      <c r="N699" s="15" t="s">
        <v>73</v>
      </c>
      <c r="O699" s="16" t="n">
        <v>0</v>
      </c>
      <c r="P699" s="16" t="n">
        <v>0</v>
      </c>
      <c r="Q699" s="16" t="n">
        <v>0</v>
      </c>
      <c r="R699" s="16" t="n">
        <v>0</v>
      </c>
      <c r="S699" s="16" t="n">
        <v>0</v>
      </c>
      <c r="T699" s="17" t="n">
        <f aca="false">AVERAGE(O699:Q699)</f>
        <v>0</v>
      </c>
      <c r="U699" s="18" t="str">
        <f aca="false">IF(T699&gt;=$H$3,"Eligible","Not Eligible")</f>
        <v>Not Eligible</v>
      </c>
      <c r="V699" s="19" t="n">
        <f aca="false">IF(T699&lt;$H$3,0,IFERROR(T699/SUMIF($T$5:$T$999,"&gt;="&amp;$H$3),0))</f>
        <v>0</v>
      </c>
      <c r="W699" s="15" t="str">
        <f aca="false">IF(T699=0,"Win-Back","Active")</f>
        <v>Win-Back</v>
      </c>
      <c r="X699" s="20" t="n">
        <f aca="false">IF(T699=0,0,IF(T699&gt;=$H$3,ROUND(T699*$D$3/SUMIF($T$5:$T$999,"&gt;="&amp;$H$3),0),ROUNDUP(T699*$D$3/SUMIF($T$5:$T$999,"&gt;="&amp;$H$3),0)))</f>
        <v>0</v>
      </c>
      <c r="Y699" s="21"/>
      <c r="Z699" s="16" t="str">
        <f aca="false">IF(X699=0,"",X699-Y699)</f>
        <v/>
      </c>
      <c r="AA699" s="22" t="str">
        <f aca="false">IFERROR(Y699/X699,"")</f>
        <v/>
      </c>
      <c r="AB699" s="16" t="n">
        <v>0</v>
      </c>
      <c r="AC699" s="21"/>
    </row>
    <row r="700" customFormat="false" ht="15" hidden="false" customHeight="true" outlineLevel="0" collapsed="false">
      <c r="A700" s="15" t="s">
        <v>6913</v>
      </c>
      <c r="B700" s="15" t="s">
        <v>6914</v>
      </c>
      <c r="C700" s="15" t="s">
        <v>6915</v>
      </c>
      <c r="D700" s="15" t="s">
        <v>6916</v>
      </c>
      <c r="E700" s="15" t="s">
        <v>6917</v>
      </c>
      <c r="F700" s="15" t="s">
        <v>6918</v>
      </c>
      <c r="G700" s="15" t="s">
        <v>6908</v>
      </c>
      <c r="H700" s="15" t="s">
        <v>6919</v>
      </c>
      <c r="I700" s="15" t="s">
        <v>6920</v>
      </c>
      <c r="J700" s="15" t="s">
        <v>6713</v>
      </c>
      <c r="K700" s="15" t="s">
        <v>368</v>
      </c>
      <c r="L700" s="15" t="s">
        <v>6921</v>
      </c>
      <c r="M700" s="15" t="s">
        <v>6912</v>
      </c>
      <c r="N700" s="15" t="s">
        <v>73</v>
      </c>
      <c r="O700" s="16" t="n">
        <v>0</v>
      </c>
      <c r="P700" s="16" t="n">
        <v>0</v>
      </c>
      <c r="Q700" s="16" t="n">
        <v>0</v>
      </c>
      <c r="R700" s="16" t="n">
        <v>0</v>
      </c>
      <c r="S700" s="16" t="n">
        <v>0</v>
      </c>
      <c r="T700" s="17" t="n">
        <f aca="false">AVERAGE(O700:Q700)</f>
        <v>0</v>
      </c>
      <c r="U700" s="18" t="str">
        <f aca="false">IF(T700&gt;=$H$3,"Eligible","Not Eligible")</f>
        <v>Not Eligible</v>
      </c>
      <c r="V700" s="19" t="n">
        <f aca="false">IF(T700&lt;$H$3,0,IFERROR(T700/SUMIF($T$5:$T$999,"&gt;="&amp;$H$3),0))</f>
        <v>0</v>
      </c>
      <c r="W700" s="15" t="str">
        <f aca="false">IF(T700=0,"Win-Back","Active")</f>
        <v>Win-Back</v>
      </c>
      <c r="X700" s="20" t="n">
        <f aca="false">IF(T700=0,0,IF(T700&gt;=$H$3,ROUND(T700*$D$3/SUMIF($T$5:$T$999,"&gt;="&amp;$H$3),0),ROUNDUP(T700*$D$3/SUMIF($T$5:$T$999,"&gt;="&amp;$H$3),0)))</f>
        <v>0</v>
      </c>
      <c r="Y700" s="21"/>
      <c r="Z700" s="16" t="str">
        <f aca="false">IF(X700=0,"",X700-Y700)</f>
        <v/>
      </c>
      <c r="AA700" s="22" t="str">
        <f aca="false">IFERROR(Y700/X700,"")</f>
        <v/>
      </c>
      <c r="AB700" s="16" t="n">
        <v>0</v>
      </c>
      <c r="AC700" s="21"/>
    </row>
    <row r="701" customFormat="false" ht="15" hidden="false" customHeight="true" outlineLevel="0" collapsed="false">
      <c r="A701" s="15" t="s">
        <v>6922</v>
      </c>
      <c r="B701" s="15" t="s">
        <v>6923</v>
      </c>
      <c r="C701" s="15" t="s">
        <v>6924</v>
      </c>
      <c r="D701" s="15" t="s">
        <v>6905</v>
      </c>
      <c r="E701" s="15" t="s">
        <v>6906</v>
      </c>
      <c r="F701" s="15" t="s">
        <v>6918</v>
      </c>
      <c r="G701" s="15" t="s">
        <v>6908</v>
      </c>
      <c r="H701" s="15" t="s">
        <v>6925</v>
      </c>
      <c r="I701" s="15"/>
      <c r="J701" s="15" t="s">
        <v>5173</v>
      </c>
      <c r="K701" s="15" t="s">
        <v>368</v>
      </c>
      <c r="L701" s="15" t="s">
        <v>6926</v>
      </c>
      <c r="M701" s="15" t="s">
        <v>6912</v>
      </c>
      <c r="N701" s="15" t="s">
        <v>73</v>
      </c>
      <c r="O701" s="16" t="n">
        <v>0</v>
      </c>
      <c r="P701" s="16" t="n">
        <v>0</v>
      </c>
      <c r="Q701" s="16" t="n">
        <v>0</v>
      </c>
      <c r="R701" s="16" t="n">
        <v>0</v>
      </c>
      <c r="S701" s="16" t="n">
        <v>0</v>
      </c>
      <c r="T701" s="17" t="n">
        <f aca="false">AVERAGE(O701:Q701)</f>
        <v>0</v>
      </c>
      <c r="U701" s="18" t="str">
        <f aca="false">IF(T701&gt;=$H$3,"Eligible","Not Eligible")</f>
        <v>Not Eligible</v>
      </c>
      <c r="V701" s="19" t="n">
        <f aca="false">IF(T701&lt;$H$3,0,IFERROR(T701/SUMIF($T$5:$T$999,"&gt;="&amp;$H$3),0))</f>
        <v>0</v>
      </c>
      <c r="W701" s="15" t="str">
        <f aca="false">IF(T701=0,"Win-Back","Active")</f>
        <v>Win-Back</v>
      </c>
      <c r="X701" s="20" t="n">
        <f aca="false">IF(T701=0,0,IF(T701&gt;=$H$3,ROUND(T701*$D$3/SUMIF($T$5:$T$999,"&gt;="&amp;$H$3),0),ROUNDUP(T701*$D$3/SUMIF($T$5:$T$999,"&gt;="&amp;$H$3),0)))</f>
        <v>0</v>
      </c>
      <c r="Y701" s="21"/>
      <c r="Z701" s="16" t="str">
        <f aca="false">IF(X701=0,"",X701-Y701)</f>
        <v/>
      </c>
      <c r="AA701" s="22" t="str">
        <f aca="false">IFERROR(Y701/X701,"")</f>
        <v/>
      </c>
      <c r="AB701" s="16" t="n">
        <v>0</v>
      </c>
      <c r="AC701" s="21"/>
    </row>
    <row r="702" customFormat="false" ht="15" hidden="false" customHeight="true" outlineLevel="0" collapsed="false">
      <c r="A702" s="15" t="s">
        <v>6927</v>
      </c>
      <c r="B702" s="15" t="s">
        <v>6928</v>
      </c>
      <c r="C702" s="15" t="s">
        <v>6929</v>
      </c>
      <c r="D702" s="15" t="s">
        <v>6930</v>
      </c>
      <c r="E702" s="15" t="s">
        <v>6931</v>
      </c>
      <c r="F702" s="15" t="s">
        <v>6932</v>
      </c>
      <c r="G702" s="15" t="s">
        <v>6933</v>
      </c>
      <c r="H702" s="15" t="s">
        <v>6934</v>
      </c>
      <c r="I702" s="15"/>
      <c r="J702" s="15" t="s">
        <v>6935</v>
      </c>
      <c r="K702" s="15" t="s">
        <v>70</v>
      </c>
      <c r="L702" s="15" t="s">
        <v>6936</v>
      </c>
      <c r="M702" s="15" t="s">
        <v>6937</v>
      </c>
      <c r="N702" s="15" t="s">
        <v>73</v>
      </c>
      <c r="O702" s="16" t="n">
        <v>0</v>
      </c>
      <c r="P702" s="16" t="n">
        <v>0</v>
      </c>
      <c r="Q702" s="16" t="n">
        <v>0</v>
      </c>
      <c r="R702" s="16" t="n">
        <v>0</v>
      </c>
      <c r="S702" s="16" t="n">
        <v>0</v>
      </c>
      <c r="T702" s="17" t="n">
        <f aca="false">AVERAGE(O702:Q702)</f>
        <v>0</v>
      </c>
      <c r="U702" s="18" t="str">
        <f aca="false">IF(T702&gt;=$H$3,"Eligible","Not Eligible")</f>
        <v>Not Eligible</v>
      </c>
      <c r="V702" s="19" t="n">
        <f aca="false">IF(T702&lt;$H$3,0,IFERROR(T702/SUMIF($T$5:$T$999,"&gt;="&amp;$H$3),0))</f>
        <v>0</v>
      </c>
      <c r="W702" s="15" t="str">
        <f aca="false">IF(T702=0,"Win-Back","Active")</f>
        <v>Win-Back</v>
      </c>
      <c r="X702" s="20" t="n">
        <f aca="false">IF(T702=0,0,IF(T702&gt;=$H$3,ROUND(T702*$D$3/SUMIF($T$5:$T$999,"&gt;="&amp;$H$3),0),ROUNDUP(T702*$D$3/SUMIF($T$5:$T$999,"&gt;="&amp;$H$3),0)))</f>
        <v>0</v>
      </c>
      <c r="Y702" s="21"/>
      <c r="Z702" s="16" t="str">
        <f aca="false">IF(X702=0,"",X702-Y702)</f>
        <v/>
      </c>
      <c r="AA702" s="22" t="str">
        <f aca="false">IFERROR(Y702/X702,"")</f>
        <v/>
      </c>
      <c r="AB702" s="16" t="n">
        <v>0</v>
      </c>
      <c r="AC702" s="21"/>
    </row>
    <row r="703" customFormat="false" ht="15" hidden="false" customHeight="true" outlineLevel="0" collapsed="false">
      <c r="A703" s="15" t="s">
        <v>6938</v>
      </c>
      <c r="B703" s="15" t="s">
        <v>6939</v>
      </c>
      <c r="C703" s="15" t="s">
        <v>6940</v>
      </c>
      <c r="D703" s="15" t="s">
        <v>589</v>
      </c>
      <c r="E703" s="15" t="s">
        <v>590</v>
      </c>
      <c r="F703" s="15" t="s">
        <v>6941</v>
      </c>
      <c r="G703" s="15" t="s">
        <v>592</v>
      </c>
      <c r="H703" s="15" t="s">
        <v>6942</v>
      </c>
      <c r="I703" s="15"/>
      <c r="J703" s="15" t="s">
        <v>6943</v>
      </c>
      <c r="K703" s="15" t="s">
        <v>368</v>
      </c>
      <c r="L703" s="15" t="s">
        <v>6944</v>
      </c>
      <c r="M703" s="15" t="s">
        <v>596</v>
      </c>
      <c r="N703" s="15" t="s">
        <v>73</v>
      </c>
      <c r="O703" s="16" t="n">
        <v>0</v>
      </c>
      <c r="P703" s="16" t="n">
        <v>0</v>
      </c>
      <c r="Q703" s="16" t="n">
        <v>0</v>
      </c>
      <c r="R703" s="16" t="n">
        <v>0</v>
      </c>
      <c r="S703" s="16" t="n">
        <v>0</v>
      </c>
      <c r="T703" s="17" t="n">
        <f aca="false">AVERAGE(O703:Q703)</f>
        <v>0</v>
      </c>
      <c r="U703" s="18" t="str">
        <f aca="false">IF(T703&gt;=$H$3,"Eligible","Not Eligible")</f>
        <v>Not Eligible</v>
      </c>
      <c r="V703" s="19" t="n">
        <f aca="false">IF(T703&lt;$H$3,0,IFERROR(T703/SUMIF($T$5:$T$999,"&gt;="&amp;$H$3),0))</f>
        <v>0</v>
      </c>
      <c r="W703" s="15" t="str">
        <f aca="false">IF(T703=0,"Win-Back","Active")</f>
        <v>Win-Back</v>
      </c>
      <c r="X703" s="20" t="n">
        <f aca="false">IF(T703=0,0,IF(T703&gt;=$H$3,ROUND(T703*$D$3/SUMIF($T$5:$T$999,"&gt;="&amp;$H$3),0),ROUNDUP(T703*$D$3/SUMIF($T$5:$T$999,"&gt;="&amp;$H$3),0)))</f>
        <v>0</v>
      </c>
      <c r="Y703" s="21"/>
      <c r="Z703" s="16" t="str">
        <f aca="false">IF(X703=0,"",X703-Y703)</f>
        <v/>
      </c>
      <c r="AA703" s="22" t="str">
        <f aca="false">IFERROR(Y703/X703,"")</f>
        <v/>
      </c>
      <c r="AB703" s="16" t="n">
        <v>0</v>
      </c>
      <c r="AC703" s="21"/>
    </row>
    <row r="704" customFormat="false" ht="15" hidden="false" customHeight="true" outlineLevel="0" collapsed="false">
      <c r="A704" s="15" t="s">
        <v>6945</v>
      </c>
      <c r="B704" s="15" t="s">
        <v>6946</v>
      </c>
      <c r="C704" s="15" t="s">
        <v>6947</v>
      </c>
      <c r="D704" s="15" t="s">
        <v>6948</v>
      </c>
      <c r="E704" s="15" t="s">
        <v>6949</v>
      </c>
      <c r="F704" s="15" t="s">
        <v>6950</v>
      </c>
      <c r="G704" s="15" t="s">
        <v>6951</v>
      </c>
      <c r="H704" s="15" t="s">
        <v>6952</v>
      </c>
      <c r="I704" s="15"/>
      <c r="J704" s="15" t="s">
        <v>2097</v>
      </c>
      <c r="K704" s="15" t="s">
        <v>2098</v>
      </c>
      <c r="L704" s="15" t="s">
        <v>6953</v>
      </c>
      <c r="M704" s="15" t="s">
        <v>6954</v>
      </c>
      <c r="N704" s="15" t="s">
        <v>73</v>
      </c>
      <c r="O704" s="16" t="n">
        <v>0</v>
      </c>
      <c r="P704" s="16" t="n">
        <v>0</v>
      </c>
      <c r="Q704" s="16" t="n">
        <v>0</v>
      </c>
      <c r="R704" s="16" t="n">
        <v>0</v>
      </c>
      <c r="S704" s="16" t="n">
        <v>0</v>
      </c>
      <c r="T704" s="17" t="n">
        <f aca="false">AVERAGE(O704:Q704)</f>
        <v>0</v>
      </c>
      <c r="U704" s="18" t="str">
        <f aca="false">IF(T704&gt;=$H$3,"Eligible","Not Eligible")</f>
        <v>Not Eligible</v>
      </c>
      <c r="V704" s="19" t="n">
        <f aca="false">IF(T704&lt;$H$3,0,IFERROR(T704/SUMIF($T$5:$T$999,"&gt;="&amp;$H$3),0))</f>
        <v>0</v>
      </c>
      <c r="W704" s="15" t="str">
        <f aca="false">IF(T704=0,"Win-Back","Active")</f>
        <v>Win-Back</v>
      </c>
      <c r="X704" s="20" t="n">
        <f aca="false">IF(T704=0,0,IF(T704&gt;=$H$3,ROUND(T704*$D$3/SUMIF($T$5:$T$999,"&gt;="&amp;$H$3),0),ROUNDUP(T704*$D$3/SUMIF($T$5:$T$999,"&gt;="&amp;$H$3),0)))</f>
        <v>0</v>
      </c>
      <c r="Y704" s="21"/>
      <c r="Z704" s="16" t="str">
        <f aca="false">IF(X704=0,"",X704-Y704)</f>
        <v/>
      </c>
      <c r="AA704" s="22" t="str">
        <f aca="false">IFERROR(Y704/X704,"")</f>
        <v/>
      </c>
      <c r="AB704" s="16" t="n">
        <v>0</v>
      </c>
      <c r="AC704" s="21"/>
    </row>
    <row r="705" customFormat="false" ht="15" hidden="false" customHeight="true" outlineLevel="0" collapsed="false">
      <c r="A705" s="15" t="s">
        <v>6955</v>
      </c>
      <c r="B705" s="15" t="s">
        <v>6956</v>
      </c>
      <c r="C705" s="15" t="s">
        <v>6956</v>
      </c>
      <c r="D705" s="15" t="s">
        <v>6957</v>
      </c>
      <c r="E705" s="15" t="s">
        <v>6958</v>
      </c>
      <c r="F705" s="15" t="s">
        <v>6959</v>
      </c>
      <c r="G705" s="15" t="s">
        <v>6960</v>
      </c>
      <c r="H705" s="15" t="s">
        <v>6961</v>
      </c>
      <c r="I705" s="15"/>
      <c r="J705" s="15" t="s">
        <v>777</v>
      </c>
      <c r="K705" s="15" t="s">
        <v>70</v>
      </c>
      <c r="L705" s="15" t="s">
        <v>6962</v>
      </c>
      <c r="M705" s="15" t="s">
        <v>6963</v>
      </c>
      <c r="N705" s="15" t="s">
        <v>73</v>
      </c>
      <c r="O705" s="16" t="n">
        <v>0</v>
      </c>
      <c r="P705" s="16" t="n">
        <v>0</v>
      </c>
      <c r="Q705" s="16" t="n">
        <v>0</v>
      </c>
      <c r="R705" s="16" t="n">
        <v>0</v>
      </c>
      <c r="S705" s="16" t="n">
        <v>0</v>
      </c>
      <c r="T705" s="17" t="n">
        <f aca="false">AVERAGE(O705:Q705)</f>
        <v>0</v>
      </c>
      <c r="U705" s="18" t="str">
        <f aca="false">IF(T705&gt;=$H$3,"Eligible","Not Eligible")</f>
        <v>Not Eligible</v>
      </c>
      <c r="V705" s="19" t="n">
        <f aca="false">IF(T705&lt;$H$3,0,IFERROR(T705/SUMIF($T$5:$T$999,"&gt;="&amp;$H$3),0))</f>
        <v>0</v>
      </c>
      <c r="W705" s="15" t="str">
        <f aca="false">IF(T705=0,"Win-Back","Active")</f>
        <v>Win-Back</v>
      </c>
      <c r="X705" s="20" t="n">
        <f aca="false">IF(T705=0,0,IF(T705&gt;=$H$3,ROUND(T705*$D$3/SUMIF($T$5:$T$999,"&gt;="&amp;$H$3),0),ROUNDUP(T705*$D$3/SUMIF($T$5:$T$999,"&gt;="&amp;$H$3),0)))</f>
        <v>0</v>
      </c>
      <c r="Y705" s="21"/>
      <c r="Z705" s="16" t="str">
        <f aca="false">IF(X705=0,"",X705-Y705)</f>
        <v/>
      </c>
      <c r="AA705" s="22" t="str">
        <f aca="false">IFERROR(Y705/X705,"")</f>
        <v/>
      </c>
      <c r="AB705" s="16" t="n">
        <v>0</v>
      </c>
      <c r="AC705" s="21"/>
    </row>
    <row r="706" customFormat="false" ht="15" hidden="false" customHeight="true" outlineLevel="0" collapsed="false">
      <c r="A706" s="15" t="s">
        <v>6964</v>
      </c>
      <c r="B706" s="15" t="s">
        <v>6965</v>
      </c>
      <c r="C706" s="15" t="s">
        <v>6966</v>
      </c>
      <c r="D706" s="15" t="s">
        <v>6967</v>
      </c>
      <c r="E706" s="15" t="s">
        <v>6968</v>
      </c>
      <c r="F706" s="15" t="s">
        <v>6969</v>
      </c>
      <c r="G706" s="15" t="s">
        <v>6970</v>
      </c>
      <c r="H706" s="15" t="s">
        <v>6971</v>
      </c>
      <c r="I706" s="15"/>
      <c r="J706" s="15" t="s">
        <v>367</v>
      </c>
      <c r="K706" s="15" t="s">
        <v>368</v>
      </c>
      <c r="L706" s="15" t="s">
        <v>6972</v>
      </c>
      <c r="M706" s="15" t="s">
        <v>6973</v>
      </c>
      <c r="N706" s="15" t="s">
        <v>73</v>
      </c>
      <c r="O706" s="16" t="n">
        <v>0</v>
      </c>
      <c r="P706" s="16" t="n">
        <v>0</v>
      </c>
      <c r="Q706" s="16" t="n">
        <v>0</v>
      </c>
      <c r="R706" s="16" t="n">
        <v>0</v>
      </c>
      <c r="S706" s="16" t="n">
        <v>0</v>
      </c>
      <c r="T706" s="17" t="n">
        <f aca="false">AVERAGE(O706:Q706)</f>
        <v>0</v>
      </c>
      <c r="U706" s="18" t="str">
        <f aca="false">IF(T706&gt;=$H$3,"Eligible","Not Eligible")</f>
        <v>Not Eligible</v>
      </c>
      <c r="V706" s="19" t="n">
        <f aca="false">IF(T706&lt;$H$3,0,IFERROR(T706/SUMIF($T$5:$T$999,"&gt;="&amp;$H$3),0))</f>
        <v>0</v>
      </c>
      <c r="W706" s="15" t="str">
        <f aca="false">IF(T706=0,"Win-Back","Active")</f>
        <v>Win-Back</v>
      </c>
      <c r="X706" s="20" t="n">
        <f aca="false">IF(T706=0,0,IF(T706&gt;=$H$3,ROUND(T706*$D$3/SUMIF($T$5:$T$999,"&gt;="&amp;$H$3),0),ROUNDUP(T706*$D$3/SUMIF($T$5:$T$999,"&gt;="&amp;$H$3),0)))</f>
        <v>0</v>
      </c>
      <c r="Y706" s="21"/>
      <c r="Z706" s="16" t="str">
        <f aca="false">IF(X706=0,"",X706-Y706)</f>
        <v/>
      </c>
      <c r="AA706" s="22" t="str">
        <f aca="false">IFERROR(Y706/X706,"")</f>
        <v/>
      </c>
      <c r="AB706" s="16" t="n">
        <v>0</v>
      </c>
      <c r="AC706" s="21"/>
    </row>
    <row r="707" customFormat="false" ht="15" hidden="false" customHeight="true" outlineLevel="0" collapsed="false">
      <c r="A707" s="15" t="s">
        <v>6974</v>
      </c>
      <c r="B707" s="15" t="s">
        <v>6975</v>
      </c>
      <c r="C707" s="15" t="s">
        <v>6976</v>
      </c>
      <c r="D707" s="15" t="s">
        <v>6977</v>
      </c>
      <c r="E707" s="15" t="s">
        <v>6978</v>
      </c>
      <c r="F707" s="15" t="s">
        <v>6979</v>
      </c>
      <c r="G707" s="15" t="s">
        <v>6980</v>
      </c>
      <c r="H707" s="15" t="s">
        <v>6981</v>
      </c>
      <c r="I707" s="15"/>
      <c r="J707" s="15" t="s">
        <v>6982</v>
      </c>
      <c r="K707" s="15" t="s">
        <v>70</v>
      </c>
      <c r="L707" s="15" t="s">
        <v>6983</v>
      </c>
      <c r="M707" s="15" t="s">
        <v>6984</v>
      </c>
      <c r="N707" s="15" t="s">
        <v>73</v>
      </c>
      <c r="O707" s="16" t="n">
        <v>0</v>
      </c>
      <c r="P707" s="16" t="n">
        <v>0</v>
      </c>
      <c r="Q707" s="16" t="n">
        <v>0</v>
      </c>
      <c r="R707" s="16" t="n">
        <v>0</v>
      </c>
      <c r="S707" s="16" t="n">
        <v>0</v>
      </c>
      <c r="T707" s="17" t="n">
        <f aca="false">AVERAGE(O707:Q707)</f>
        <v>0</v>
      </c>
      <c r="U707" s="18" t="str">
        <f aca="false">IF(T707&gt;=$H$3,"Eligible","Not Eligible")</f>
        <v>Not Eligible</v>
      </c>
      <c r="V707" s="19" t="n">
        <f aca="false">IF(T707&lt;$H$3,0,IFERROR(T707/SUMIF($T$5:$T$999,"&gt;="&amp;$H$3),0))</f>
        <v>0</v>
      </c>
      <c r="W707" s="15" t="str">
        <f aca="false">IF(T707=0,"Win-Back","Active")</f>
        <v>Win-Back</v>
      </c>
      <c r="X707" s="20" t="n">
        <f aca="false">IF(T707=0,0,IF(T707&gt;=$H$3,ROUND(T707*$D$3/SUMIF($T$5:$T$999,"&gt;="&amp;$H$3),0),ROUNDUP(T707*$D$3/SUMIF($T$5:$T$999,"&gt;="&amp;$H$3),0)))</f>
        <v>0</v>
      </c>
      <c r="Y707" s="21"/>
      <c r="Z707" s="16" t="str">
        <f aca="false">IF(X707=0,"",X707-Y707)</f>
        <v/>
      </c>
      <c r="AA707" s="22" t="str">
        <f aca="false">IFERROR(Y707/X707,"")</f>
        <v/>
      </c>
      <c r="AB707" s="16" t="n">
        <v>0</v>
      </c>
      <c r="AC707" s="21"/>
    </row>
    <row r="708" customFormat="false" ht="15" hidden="false" customHeight="true" outlineLevel="0" collapsed="false">
      <c r="A708" s="15" t="s">
        <v>6985</v>
      </c>
      <c r="B708" s="15" t="s">
        <v>6986</v>
      </c>
      <c r="C708" s="15" t="s">
        <v>6987</v>
      </c>
      <c r="D708" s="15" t="s">
        <v>6988</v>
      </c>
      <c r="E708" s="15" t="s">
        <v>6989</v>
      </c>
      <c r="F708" s="15" t="s">
        <v>6990</v>
      </c>
      <c r="G708" s="15" t="s">
        <v>6991</v>
      </c>
      <c r="H708" s="15" t="s">
        <v>6992</v>
      </c>
      <c r="I708" s="15"/>
      <c r="J708" s="15" t="s">
        <v>777</v>
      </c>
      <c r="K708" s="15" t="s">
        <v>70</v>
      </c>
      <c r="L708" s="15" t="s">
        <v>1761</v>
      </c>
      <c r="M708" s="15" t="s">
        <v>6993</v>
      </c>
      <c r="N708" s="15" t="s">
        <v>73</v>
      </c>
      <c r="O708" s="16" t="n">
        <v>0</v>
      </c>
      <c r="P708" s="16" t="n">
        <v>0</v>
      </c>
      <c r="Q708" s="16" t="n">
        <v>0</v>
      </c>
      <c r="R708" s="16" t="n">
        <v>0</v>
      </c>
      <c r="S708" s="16" t="n">
        <v>0</v>
      </c>
      <c r="T708" s="17" t="n">
        <f aca="false">AVERAGE(O708:Q708)</f>
        <v>0</v>
      </c>
      <c r="U708" s="18" t="str">
        <f aca="false">IF(T708&gt;=$H$3,"Eligible","Not Eligible")</f>
        <v>Not Eligible</v>
      </c>
      <c r="V708" s="19" t="n">
        <f aca="false">IF(T708&lt;$H$3,0,IFERROR(T708/SUMIF($T$5:$T$999,"&gt;="&amp;$H$3),0))</f>
        <v>0</v>
      </c>
      <c r="W708" s="15" t="str">
        <f aca="false">IF(T708=0,"Win-Back","Active")</f>
        <v>Win-Back</v>
      </c>
      <c r="X708" s="20" t="n">
        <f aca="false">IF(T708=0,0,IF(T708&gt;=$H$3,ROUND(T708*$D$3/SUMIF($T$5:$T$999,"&gt;="&amp;$H$3),0),ROUNDUP(T708*$D$3/SUMIF($T$5:$T$999,"&gt;="&amp;$H$3),0)))</f>
        <v>0</v>
      </c>
      <c r="Y708" s="21"/>
      <c r="Z708" s="16" t="str">
        <f aca="false">IF(X708=0,"",X708-Y708)</f>
        <v/>
      </c>
      <c r="AA708" s="22" t="str">
        <f aca="false">IFERROR(Y708/X708,"")</f>
        <v/>
      </c>
      <c r="AB708" s="16" t="n">
        <v>0</v>
      </c>
      <c r="AC708" s="21"/>
    </row>
    <row r="709" customFormat="false" ht="15" hidden="false" customHeight="true" outlineLevel="0" collapsed="false">
      <c r="A709" s="15" t="s">
        <v>6994</v>
      </c>
      <c r="B709" s="15" t="s">
        <v>6995</v>
      </c>
      <c r="C709" s="15" t="s">
        <v>6996</v>
      </c>
      <c r="D709" s="15" t="s">
        <v>6997</v>
      </c>
      <c r="E709" s="15" t="s">
        <v>6998</v>
      </c>
      <c r="F709" s="15" t="s">
        <v>6999</v>
      </c>
      <c r="G709" s="15" t="s">
        <v>7000</v>
      </c>
      <c r="H709" s="15" t="s">
        <v>7001</v>
      </c>
      <c r="I709" s="15" t="s">
        <v>7002</v>
      </c>
      <c r="J709" s="15" t="s">
        <v>3771</v>
      </c>
      <c r="K709" s="15" t="s">
        <v>70</v>
      </c>
      <c r="L709" s="15" t="s">
        <v>3978</v>
      </c>
      <c r="M709" s="15" t="s">
        <v>7003</v>
      </c>
      <c r="N709" s="15" t="s">
        <v>73</v>
      </c>
      <c r="O709" s="16" t="n">
        <v>0</v>
      </c>
      <c r="P709" s="16" t="n">
        <v>0</v>
      </c>
      <c r="Q709" s="16" t="n">
        <v>0</v>
      </c>
      <c r="R709" s="16" t="n">
        <v>0</v>
      </c>
      <c r="S709" s="16" t="n">
        <v>0</v>
      </c>
      <c r="T709" s="17" t="n">
        <f aca="false">AVERAGE(O709:Q709)</f>
        <v>0</v>
      </c>
      <c r="U709" s="18" t="str">
        <f aca="false">IF(T709&gt;=$H$3,"Eligible","Not Eligible")</f>
        <v>Not Eligible</v>
      </c>
      <c r="V709" s="19" t="n">
        <f aca="false">IF(T709&lt;$H$3,0,IFERROR(T709/SUMIF($T$5:$T$999,"&gt;="&amp;$H$3),0))</f>
        <v>0</v>
      </c>
      <c r="W709" s="15" t="str">
        <f aca="false">IF(T709=0,"Win-Back","Active")</f>
        <v>Win-Back</v>
      </c>
      <c r="X709" s="20" t="n">
        <f aca="false">IF(T709=0,0,IF(T709&gt;=$H$3,ROUND(T709*$D$3/SUMIF($T$5:$T$999,"&gt;="&amp;$H$3),0),ROUNDUP(T709*$D$3/SUMIF($T$5:$T$999,"&gt;="&amp;$H$3),0)))</f>
        <v>0</v>
      </c>
      <c r="Y709" s="21" t="n">
        <v>2</v>
      </c>
      <c r="Z709" s="16" t="str">
        <f aca="false">IF(X709=0,"",X709-Y709)</f>
        <v/>
      </c>
      <c r="AA709" s="22" t="str">
        <f aca="false">IFERROR(Y709/X709,"")</f>
        <v/>
      </c>
      <c r="AB709" s="16" t="n">
        <v>0</v>
      </c>
      <c r="AC709" s="21"/>
    </row>
    <row r="710" customFormat="false" ht="15" hidden="false" customHeight="true" outlineLevel="0" collapsed="false">
      <c r="A710" s="15"/>
      <c r="B710" s="15"/>
      <c r="C710" s="15" t="s">
        <v>7004</v>
      </c>
      <c r="D710" s="15" t="s">
        <v>7005</v>
      </c>
      <c r="E710" s="15" t="s">
        <v>7006</v>
      </c>
      <c r="F710" s="15" t="s">
        <v>7007</v>
      </c>
      <c r="G710" s="15" t="s">
        <v>7008</v>
      </c>
      <c r="H710" s="15" t="s">
        <v>7009</v>
      </c>
      <c r="I710" s="15"/>
      <c r="J710" s="15" t="s">
        <v>7010</v>
      </c>
      <c r="K710" s="15" t="s">
        <v>70</v>
      </c>
      <c r="L710" s="15" t="s">
        <v>7011</v>
      </c>
      <c r="M710" s="15" t="s">
        <v>7012</v>
      </c>
      <c r="N710" s="15" t="s">
        <v>73</v>
      </c>
      <c r="O710" s="16" t="n">
        <v>0</v>
      </c>
      <c r="P710" s="16" t="n">
        <v>0</v>
      </c>
      <c r="Q710" s="16" t="n">
        <v>0</v>
      </c>
      <c r="R710" s="16" t="n">
        <v>0</v>
      </c>
      <c r="S710" s="16" t="n">
        <v>0</v>
      </c>
      <c r="T710" s="17" t="n">
        <f aca="false">AVERAGE(O710:Q710)</f>
        <v>0</v>
      </c>
      <c r="U710" s="18" t="str">
        <f aca="false">IF(T710&gt;=$H$3,"Eligible","Not Eligible")</f>
        <v>Not Eligible</v>
      </c>
      <c r="V710" s="19" t="n">
        <f aca="false">IF(T710&lt;$H$3,0,IFERROR(T710/SUMIF($T$5:$T$999,"&gt;="&amp;$H$3),0))</f>
        <v>0</v>
      </c>
      <c r="W710" s="15" t="str">
        <f aca="false">IF(T710=0,"Win-Back","Active")</f>
        <v>Win-Back</v>
      </c>
      <c r="X710" s="20" t="n">
        <f aca="false">IF(T710=0,0,IF(T710&gt;=$H$3,ROUND(T710*$D$3/SUMIF($T$5:$T$999,"&gt;="&amp;$H$3),0),ROUNDUP(T710*$D$3/SUMIF($T$5:$T$999,"&gt;="&amp;$H$3),0)))</f>
        <v>0</v>
      </c>
      <c r="Y710" s="21"/>
      <c r="Z710" s="16" t="str">
        <f aca="false">IF(X710=0,"",X710-Y710)</f>
        <v/>
      </c>
      <c r="AA710" s="22" t="str">
        <f aca="false">IFERROR(Y710/X710,"")</f>
        <v/>
      </c>
      <c r="AB710" s="16" t="n">
        <v>0</v>
      </c>
      <c r="AC710" s="21"/>
    </row>
    <row r="711" customFormat="false" ht="15" hidden="false" customHeight="true" outlineLevel="0" collapsed="false">
      <c r="A711" s="15" t="s">
        <v>7013</v>
      </c>
      <c r="B711" s="15" t="s">
        <v>7014</v>
      </c>
      <c r="C711" s="15" t="s">
        <v>7015</v>
      </c>
      <c r="D711" s="15" t="s">
        <v>7016</v>
      </c>
      <c r="E711" s="15" t="s">
        <v>7017</v>
      </c>
      <c r="F711" s="15" t="s">
        <v>7018</v>
      </c>
      <c r="G711" s="15" t="s">
        <v>7019</v>
      </c>
      <c r="H711" s="15" t="s">
        <v>7020</v>
      </c>
      <c r="I711" s="15"/>
      <c r="J711" s="15" t="s">
        <v>7021</v>
      </c>
      <c r="K711" s="15" t="s">
        <v>70</v>
      </c>
      <c r="L711" s="15" t="s">
        <v>3463</v>
      </c>
      <c r="M711" s="15" t="s">
        <v>7022</v>
      </c>
      <c r="N711" s="15" t="s">
        <v>73</v>
      </c>
      <c r="O711" s="16" t="n">
        <v>0</v>
      </c>
      <c r="P711" s="16" t="n">
        <v>0</v>
      </c>
      <c r="Q711" s="16" t="n">
        <v>0</v>
      </c>
      <c r="R711" s="16" t="n">
        <v>0</v>
      </c>
      <c r="S711" s="16" t="n">
        <v>0</v>
      </c>
      <c r="T711" s="17" t="n">
        <f aca="false">AVERAGE(O711:Q711)</f>
        <v>0</v>
      </c>
      <c r="U711" s="18" t="str">
        <f aca="false">IF(T711&gt;=$H$3,"Eligible","Not Eligible")</f>
        <v>Not Eligible</v>
      </c>
      <c r="V711" s="19" t="n">
        <f aca="false">IF(T711&lt;$H$3,0,IFERROR(T711/SUMIF($T$5:$T$999,"&gt;="&amp;$H$3),0))</f>
        <v>0</v>
      </c>
      <c r="W711" s="15" t="str">
        <f aca="false">IF(T711=0,"Win-Back","Active")</f>
        <v>Win-Back</v>
      </c>
      <c r="X711" s="20" t="n">
        <f aca="false">IF(T711=0,0,IF(T711&gt;=$H$3,ROUND(T711*$D$3/SUMIF($T$5:$T$999,"&gt;="&amp;$H$3),0),ROUNDUP(T711*$D$3/SUMIF($T$5:$T$999,"&gt;="&amp;$H$3),0)))</f>
        <v>0</v>
      </c>
      <c r="Y711" s="21"/>
      <c r="Z711" s="16" t="str">
        <f aca="false">IF(X711=0,"",X711-Y711)</f>
        <v/>
      </c>
      <c r="AA711" s="22" t="str">
        <f aca="false">IFERROR(Y711/X711,"")</f>
        <v/>
      </c>
      <c r="AB711" s="16" t="n">
        <v>0</v>
      </c>
      <c r="AC711" s="21"/>
    </row>
    <row r="712" customFormat="false" ht="15" hidden="false" customHeight="true" outlineLevel="0" collapsed="false">
      <c r="A712" s="15" t="s">
        <v>7023</v>
      </c>
      <c r="B712" s="15" t="s">
        <v>7024</v>
      </c>
      <c r="C712" s="15" t="s">
        <v>7025</v>
      </c>
      <c r="D712" s="15" t="s">
        <v>7026</v>
      </c>
      <c r="E712" s="15" t="s">
        <v>7027</v>
      </c>
      <c r="F712" s="15" t="s">
        <v>7028</v>
      </c>
      <c r="G712" s="15" t="s">
        <v>7029</v>
      </c>
      <c r="H712" s="15" t="s">
        <v>7030</v>
      </c>
      <c r="I712" s="15" t="s">
        <v>4029</v>
      </c>
      <c r="J712" s="15" t="s">
        <v>3419</v>
      </c>
      <c r="K712" s="15" t="s">
        <v>368</v>
      </c>
      <c r="L712" s="15" t="s">
        <v>1818</v>
      </c>
      <c r="M712" s="15" t="s">
        <v>7031</v>
      </c>
      <c r="N712" s="15" t="s">
        <v>73</v>
      </c>
      <c r="O712" s="16" t="n">
        <v>0</v>
      </c>
      <c r="P712" s="16" t="n">
        <v>0</v>
      </c>
      <c r="Q712" s="16" t="n">
        <v>0</v>
      </c>
      <c r="R712" s="16" t="n">
        <v>0</v>
      </c>
      <c r="S712" s="16" t="n">
        <v>0</v>
      </c>
      <c r="T712" s="17" t="n">
        <f aca="false">AVERAGE(O712:Q712)</f>
        <v>0</v>
      </c>
      <c r="U712" s="18" t="str">
        <f aca="false">IF(T712&gt;=$H$3,"Eligible","Not Eligible")</f>
        <v>Not Eligible</v>
      </c>
      <c r="V712" s="19" t="n">
        <f aca="false">IF(T712&lt;$H$3,0,IFERROR(T712/SUMIF($T$5:$T$999,"&gt;="&amp;$H$3),0))</f>
        <v>0</v>
      </c>
      <c r="W712" s="15" t="str">
        <f aca="false">IF(T712=0,"Win-Back","Active")</f>
        <v>Win-Back</v>
      </c>
      <c r="X712" s="20" t="n">
        <f aca="false">IF(T712=0,0,IF(T712&gt;=$H$3,ROUND(T712*$D$3/SUMIF($T$5:$T$999,"&gt;="&amp;$H$3),0),ROUNDUP(T712*$D$3/SUMIF($T$5:$T$999,"&gt;="&amp;$H$3),0)))</f>
        <v>0</v>
      </c>
      <c r="Y712" s="21"/>
      <c r="Z712" s="16" t="str">
        <f aca="false">IF(X712=0,"",X712-Y712)</f>
        <v/>
      </c>
      <c r="AA712" s="22" t="str">
        <f aca="false">IFERROR(Y712/X712,"")</f>
        <v/>
      </c>
      <c r="AB712" s="16" t="n">
        <v>0</v>
      </c>
      <c r="AC712" s="21"/>
    </row>
    <row r="713" customFormat="false" ht="15" hidden="false" customHeight="true" outlineLevel="0" collapsed="false">
      <c r="A713" s="15"/>
      <c r="B713" s="15"/>
      <c r="C713" s="15" t="s">
        <v>7032</v>
      </c>
      <c r="D713" s="15" t="s">
        <v>7033</v>
      </c>
      <c r="E713" s="15" t="s">
        <v>7034</v>
      </c>
      <c r="F713" s="15"/>
      <c r="G713" s="15"/>
      <c r="H713" s="15" t="s">
        <v>7035</v>
      </c>
      <c r="I713" s="15"/>
      <c r="J713" s="15" t="s">
        <v>3568</v>
      </c>
      <c r="K713" s="15" t="s">
        <v>2839</v>
      </c>
      <c r="L713" s="15" t="s">
        <v>7036</v>
      </c>
      <c r="M713" s="15" t="s">
        <v>4617</v>
      </c>
      <c r="N713" s="15" t="s">
        <v>73</v>
      </c>
      <c r="O713" s="16" t="n">
        <v>0</v>
      </c>
      <c r="P713" s="16" t="n">
        <v>0</v>
      </c>
      <c r="Q713" s="16" t="n">
        <v>0</v>
      </c>
      <c r="R713" s="16" t="n">
        <v>0</v>
      </c>
      <c r="S713" s="16" t="n">
        <v>0</v>
      </c>
      <c r="T713" s="17" t="n">
        <f aca="false">AVERAGE(O713:Q713)</f>
        <v>0</v>
      </c>
      <c r="U713" s="18" t="str">
        <f aca="false">IF(T713&gt;=$H$3,"Eligible","Not Eligible")</f>
        <v>Not Eligible</v>
      </c>
      <c r="V713" s="19" t="n">
        <f aca="false">IF(T713&lt;$H$3,0,IFERROR(T713/SUMIF($T$5:$T$999,"&gt;="&amp;$H$3),0))</f>
        <v>0</v>
      </c>
      <c r="W713" s="15" t="str">
        <f aca="false">IF(T713=0,"Win-Back","Active")</f>
        <v>Win-Back</v>
      </c>
      <c r="X713" s="20" t="n">
        <f aca="false">IF(T713=0,0,IF(T713&gt;=$H$3,ROUND(T713*$D$3/SUMIF($T$5:$T$999,"&gt;="&amp;$H$3),0),ROUNDUP(T713*$D$3/SUMIF($T$5:$T$999,"&gt;="&amp;$H$3),0)))</f>
        <v>0</v>
      </c>
      <c r="Y713" s="21"/>
      <c r="Z713" s="16" t="str">
        <f aca="false">IF(X713=0,"",X713-Y713)</f>
        <v/>
      </c>
      <c r="AA713" s="22" t="str">
        <f aca="false">IFERROR(Y713/X713,"")</f>
        <v/>
      </c>
      <c r="AB713" s="16" t="n">
        <v>0</v>
      </c>
      <c r="AC713" s="21"/>
    </row>
    <row r="714" customFormat="false" ht="15" hidden="false" customHeight="true" outlineLevel="0" collapsed="false">
      <c r="A714" s="15" t="s">
        <v>7037</v>
      </c>
      <c r="B714" s="15" t="s">
        <v>7038</v>
      </c>
      <c r="C714" s="15" t="s">
        <v>7039</v>
      </c>
      <c r="D714" s="15" t="s">
        <v>7040</v>
      </c>
      <c r="E714" s="15" t="s">
        <v>7041</v>
      </c>
      <c r="F714" s="15" t="s">
        <v>7042</v>
      </c>
      <c r="G714" s="15" t="s">
        <v>7043</v>
      </c>
      <c r="H714" s="15" t="s">
        <v>7044</v>
      </c>
      <c r="I714" s="15"/>
      <c r="J714" s="15" t="s">
        <v>7045</v>
      </c>
      <c r="K714" s="15" t="s">
        <v>2839</v>
      </c>
      <c r="L714" s="15" t="s">
        <v>7046</v>
      </c>
      <c r="M714" s="15" t="s">
        <v>7047</v>
      </c>
      <c r="N714" s="15" t="s">
        <v>73</v>
      </c>
      <c r="O714" s="16" t="n">
        <v>0</v>
      </c>
      <c r="P714" s="16" t="n">
        <v>0</v>
      </c>
      <c r="Q714" s="16" t="n">
        <v>0</v>
      </c>
      <c r="R714" s="16" t="n">
        <v>0</v>
      </c>
      <c r="S714" s="16" t="n">
        <v>0</v>
      </c>
      <c r="T714" s="17" t="n">
        <f aca="false">AVERAGE(O714:Q714)</f>
        <v>0</v>
      </c>
      <c r="U714" s="18" t="str">
        <f aca="false">IF(T714&gt;=$H$3,"Eligible","Not Eligible")</f>
        <v>Not Eligible</v>
      </c>
      <c r="V714" s="19" t="n">
        <f aca="false">IF(T714&lt;$H$3,0,IFERROR(T714/SUMIF($T$5:$T$999,"&gt;="&amp;$H$3),0))</f>
        <v>0</v>
      </c>
      <c r="W714" s="15" t="str">
        <f aca="false">IF(T714=0,"Win-Back","Active")</f>
        <v>Win-Back</v>
      </c>
      <c r="X714" s="20" t="n">
        <f aca="false">IF(T714=0,0,IF(T714&gt;=$H$3,ROUND(T714*$D$3/SUMIF($T$5:$T$999,"&gt;="&amp;$H$3),0),ROUNDUP(T714*$D$3/SUMIF($T$5:$T$999,"&gt;="&amp;$H$3),0)))</f>
        <v>0</v>
      </c>
      <c r="Y714" s="21"/>
      <c r="Z714" s="16" t="str">
        <f aca="false">IF(X714=0,"",X714-Y714)</f>
        <v/>
      </c>
      <c r="AA714" s="22" t="str">
        <f aca="false">IFERROR(Y714/X714,"")</f>
        <v/>
      </c>
      <c r="AB714" s="16" t="n">
        <v>0</v>
      </c>
      <c r="AC714" s="21"/>
    </row>
    <row r="715" customFormat="false" ht="15" hidden="false" customHeight="true" outlineLevel="0" collapsed="false">
      <c r="A715" s="15" t="s">
        <v>7048</v>
      </c>
      <c r="B715" s="15" t="s">
        <v>7049</v>
      </c>
      <c r="C715" s="15" t="s">
        <v>7050</v>
      </c>
      <c r="D715" s="15" t="s">
        <v>7051</v>
      </c>
      <c r="E715" s="15" t="s">
        <v>7052</v>
      </c>
      <c r="F715" s="15" t="s">
        <v>7053</v>
      </c>
      <c r="G715" s="15" t="s">
        <v>7054</v>
      </c>
      <c r="H715" s="15" t="s">
        <v>7055</v>
      </c>
      <c r="I715" s="15"/>
      <c r="J715" s="15" t="s">
        <v>7056</v>
      </c>
      <c r="K715" s="15" t="s">
        <v>2839</v>
      </c>
      <c r="L715" s="15" t="s">
        <v>7057</v>
      </c>
      <c r="M715" s="15" t="s">
        <v>7058</v>
      </c>
      <c r="N715" s="15" t="s">
        <v>73</v>
      </c>
      <c r="O715" s="16" t="n">
        <v>0</v>
      </c>
      <c r="P715" s="16" t="n">
        <v>0</v>
      </c>
      <c r="Q715" s="16" t="n">
        <v>0</v>
      </c>
      <c r="R715" s="16" t="n">
        <v>0</v>
      </c>
      <c r="S715" s="16" t="n">
        <v>0</v>
      </c>
      <c r="T715" s="17" t="n">
        <f aca="false">AVERAGE(O715:Q715)</f>
        <v>0</v>
      </c>
      <c r="U715" s="18" t="str">
        <f aca="false">IF(T715&gt;=$H$3,"Eligible","Not Eligible")</f>
        <v>Not Eligible</v>
      </c>
      <c r="V715" s="19" t="n">
        <f aca="false">IF(T715&lt;$H$3,0,IFERROR(T715/SUMIF($T$5:$T$999,"&gt;="&amp;$H$3),0))</f>
        <v>0</v>
      </c>
      <c r="W715" s="15" t="str">
        <f aca="false">IF(T715=0,"Win-Back","Active")</f>
        <v>Win-Back</v>
      </c>
      <c r="X715" s="20" t="n">
        <f aca="false">IF(T715=0,0,IF(T715&gt;=$H$3,ROUND(T715*$D$3/SUMIF($T$5:$T$999,"&gt;="&amp;$H$3),0),ROUNDUP(T715*$D$3/SUMIF($T$5:$T$999,"&gt;="&amp;$H$3),0)))</f>
        <v>0</v>
      </c>
      <c r="Y715" s="21"/>
      <c r="Z715" s="16" t="str">
        <f aca="false">IF(X715=0,"",X715-Y715)</f>
        <v/>
      </c>
      <c r="AA715" s="22" t="str">
        <f aca="false">IFERROR(Y715/X715,"")</f>
        <v/>
      </c>
      <c r="AB715" s="16" t="n">
        <v>0</v>
      </c>
      <c r="AC715" s="21"/>
    </row>
    <row r="716" customFormat="false" ht="15" hidden="false" customHeight="true" outlineLevel="0" collapsed="false">
      <c r="A716" s="15" t="s">
        <v>7059</v>
      </c>
      <c r="B716" s="15" t="s">
        <v>7060</v>
      </c>
      <c r="C716" s="15" t="s">
        <v>7061</v>
      </c>
      <c r="D716" s="15" t="s">
        <v>7062</v>
      </c>
      <c r="E716" s="15" t="s">
        <v>7063</v>
      </c>
      <c r="F716" s="15" t="s">
        <v>7064</v>
      </c>
      <c r="G716" s="15" t="s">
        <v>7065</v>
      </c>
      <c r="H716" s="15" t="s">
        <v>7066</v>
      </c>
      <c r="I716" s="15"/>
      <c r="J716" s="15" t="s">
        <v>3668</v>
      </c>
      <c r="K716" s="15" t="s">
        <v>3669</v>
      </c>
      <c r="L716" s="15" t="s">
        <v>4010</v>
      </c>
      <c r="M716" s="15" t="s">
        <v>7067</v>
      </c>
      <c r="N716" s="15" t="s">
        <v>73</v>
      </c>
      <c r="O716" s="16" t="n">
        <v>0</v>
      </c>
      <c r="P716" s="16" t="n">
        <v>0</v>
      </c>
      <c r="Q716" s="16" t="n">
        <v>0</v>
      </c>
      <c r="R716" s="16" t="n">
        <v>0</v>
      </c>
      <c r="S716" s="16" t="n">
        <v>0</v>
      </c>
      <c r="T716" s="17" t="n">
        <f aca="false">AVERAGE(O716:Q716)</f>
        <v>0</v>
      </c>
      <c r="U716" s="18" t="str">
        <f aca="false">IF(T716&gt;=$H$3,"Eligible","Not Eligible")</f>
        <v>Not Eligible</v>
      </c>
      <c r="V716" s="19" t="n">
        <f aca="false">IF(T716&lt;$H$3,0,IFERROR(T716/SUMIF($T$5:$T$999,"&gt;="&amp;$H$3),0))</f>
        <v>0</v>
      </c>
      <c r="W716" s="15" t="str">
        <f aca="false">IF(T716=0,"Win-Back","Active")</f>
        <v>Win-Back</v>
      </c>
      <c r="X716" s="20" t="n">
        <f aca="false">IF(T716=0,0,IF(T716&gt;=$H$3,ROUND(T716*$D$3/SUMIF($T$5:$T$999,"&gt;="&amp;$H$3),0),ROUNDUP(T716*$D$3/SUMIF($T$5:$T$999,"&gt;="&amp;$H$3),0)))</f>
        <v>0</v>
      </c>
      <c r="Y716" s="21"/>
      <c r="Z716" s="16" t="str">
        <f aca="false">IF(X716=0,"",X716-Y716)</f>
        <v/>
      </c>
      <c r="AA716" s="22" t="str">
        <f aca="false">IFERROR(Y716/X716,"")</f>
        <v/>
      </c>
      <c r="AB716" s="16" t="n">
        <v>0</v>
      </c>
      <c r="AC716" s="21"/>
    </row>
    <row r="717" customFormat="false" ht="15" hidden="false" customHeight="true" outlineLevel="0" collapsed="false">
      <c r="A717" s="15" t="s">
        <v>7068</v>
      </c>
      <c r="B717" s="15" t="s">
        <v>7069</v>
      </c>
      <c r="C717" s="15" t="s">
        <v>7070</v>
      </c>
      <c r="D717" s="15" t="s">
        <v>7071</v>
      </c>
      <c r="E717" s="15" t="s">
        <v>7072</v>
      </c>
      <c r="F717" s="15" t="s">
        <v>7073</v>
      </c>
      <c r="G717" s="15" t="s">
        <v>7074</v>
      </c>
      <c r="H717" s="15" t="s">
        <v>7075</v>
      </c>
      <c r="I717" s="15" t="s">
        <v>5919</v>
      </c>
      <c r="J717" s="15" t="s">
        <v>7076</v>
      </c>
      <c r="K717" s="15" t="s">
        <v>1200</v>
      </c>
      <c r="L717" s="15" t="s">
        <v>7077</v>
      </c>
      <c r="M717" s="15" t="s">
        <v>7078</v>
      </c>
      <c r="N717" s="15" t="s">
        <v>73</v>
      </c>
      <c r="O717" s="16" t="n">
        <v>0</v>
      </c>
      <c r="P717" s="16" t="n">
        <v>0</v>
      </c>
      <c r="Q717" s="16" t="n">
        <v>0</v>
      </c>
      <c r="R717" s="16" t="n">
        <v>0</v>
      </c>
      <c r="S717" s="16" t="n">
        <v>0</v>
      </c>
      <c r="T717" s="17" t="n">
        <f aca="false">AVERAGE(O717:Q717)</f>
        <v>0</v>
      </c>
      <c r="U717" s="18" t="str">
        <f aca="false">IF(T717&gt;=$H$3,"Eligible","Not Eligible")</f>
        <v>Not Eligible</v>
      </c>
      <c r="V717" s="19" t="n">
        <f aca="false">IF(T717&lt;$H$3,0,IFERROR(T717/SUMIF($T$5:$T$999,"&gt;="&amp;$H$3),0))</f>
        <v>0</v>
      </c>
      <c r="W717" s="15" t="str">
        <f aca="false">IF(T717=0,"Win-Back","Active")</f>
        <v>Win-Back</v>
      </c>
      <c r="X717" s="20" t="n">
        <f aca="false">IF(T717=0,0,IF(T717&gt;=$H$3,ROUND(T717*$D$3/SUMIF($T$5:$T$999,"&gt;="&amp;$H$3),0),ROUNDUP(T717*$D$3/SUMIF($T$5:$T$999,"&gt;="&amp;$H$3),0)))</f>
        <v>0</v>
      </c>
      <c r="Y717" s="21"/>
      <c r="Z717" s="16" t="str">
        <f aca="false">IF(X717=0,"",X717-Y717)</f>
        <v/>
      </c>
      <c r="AA717" s="22" t="str">
        <f aca="false">IFERROR(Y717/X717,"")</f>
        <v/>
      </c>
      <c r="AB717" s="16" t="n">
        <v>0</v>
      </c>
      <c r="AC717" s="21"/>
    </row>
    <row r="718" customFormat="false" ht="15" hidden="false" customHeight="true" outlineLevel="0" collapsed="false">
      <c r="A718" s="15" t="s">
        <v>7079</v>
      </c>
      <c r="B718" s="15" t="s">
        <v>7080</v>
      </c>
      <c r="C718" s="15" t="s">
        <v>7081</v>
      </c>
      <c r="D718" s="15" t="s">
        <v>7082</v>
      </c>
      <c r="E718" s="15" t="s">
        <v>7083</v>
      </c>
      <c r="F718" s="15" t="s">
        <v>7084</v>
      </c>
      <c r="G718" s="15" t="s">
        <v>7085</v>
      </c>
      <c r="H718" s="15" t="s">
        <v>7086</v>
      </c>
      <c r="I718" s="15"/>
      <c r="J718" s="15" t="s">
        <v>7087</v>
      </c>
      <c r="K718" s="15" t="s">
        <v>368</v>
      </c>
      <c r="L718" s="15" t="s">
        <v>7088</v>
      </c>
      <c r="M718" s="15" t="s">
        <v>7089</v>
      </c>
      <c r="N718" s="15" t="s">
        <v>73</v>
      </c>
      <c r="O718" s="16" t="n">
        <v>0</v>
      </c>
      <c r="P718" s="16" t="n">
        <v>0</v>
      </c>
      <c r="Q718" s="16" t="n">
        <v>0</v>
      </c>
      <c r="R718" s="16" t="n">
        <v>0</v>
      </c>
      <c r="S718" s="16" t="n">
        <v>0</v>
      </c>
      <c r="T718" s="17" t="n">
        <f aca="false">AVERAGE(O718:Q718)</f>
        <v>0</v>
      </c>
      <c r="U718" s="18" t="str">
        <f aca="false">IF(T718&gt;=$H$3,"Eligible","Not Eligible")</f>
        <v>Not Eligible</v>
      </c>
      <c r="V718" s="19" t="n">
        <f aca="false">IF(T718&lt;$H$3,0,IFERROR(T718/SUMIF($T$5:$T$999,"&gt;="&amp;$H$3),0))</f>
        <v>0</v>
      </c>
      <c r="W718" s="15" t="str">
        <f aca="false">IF(T718=0,"Win-Back","Active")</f>
        <v>Win-Back</v>
      </c>
      <c r="X718" s="20" t="n">
        <f aca="false">IF(T718=0,0,IF(T718&gt;=$H$3,ROUND(T718*$D$3/SUMIF($T$5:$T$999,"&gt;="&amp;$H$3),0),ROUNDUP(T718*$D$3/SUMIF($T$5:$T$999,"&gt;="&amp;$H$3),0)))</f>
        <v>0</v>
      </c>
      <c r="Y718" s="21"/>
      <c r="Z718" s="16" t="str">
        <f aca="false">IF(X718=0,"",X718-Y718)</f>
        <v/>
      </c>
      <c r="AA718" s="22" t="str">
        <f aca="false">IFERROR(Y718/X718,"")</f>
        <v/>
      </c>
      <c r="AB718" s="16" t="n">
        <v>0</v>
      </c>
      <c r="AC718" s="21"/>
    </row>
    <row r="719" customFormat="false" ht="15" hidden="false" customHeight="true" outlineLevel="0" collapsed="false">
      <c r="A719" s="15" t="s">
        <v>7090</v>
      </c>
      <c r="B719" s="15" t="s">
        <v>7091</v>
      </c>
      <c r="C719" s="15" t="s">
        <v>7092</v>
      </c>
      <c r="D719" s="15" t="s">
        <v>7093</v>
      </c>
      <c r="E719" s="15" t="s">
        <v>7094</v>
      </c>
      <c r="F719" s="15" t="s">
        <v>7095</v>
      </c>
      <c r="G719" s="15" t="s">
        <v>7096</v>
      </c>
      <c r="H719" s="15" t="s">
        <v>7097</v>
      </c>
      <c r="I719" s="15"/>
      <c r="J719" s="15" t="s">
        <v>7087</v>
      </c>
      <c r="K719" s="15" t="s">
        <v>368</v>
      </c>
      <c r="L719" s="15" t="s">
        <v>7098</v>
      </c>
      <c r="M719" s="15" t="s">
        <v>7099</v>
      </c>
      <c r="N719" s="15" t="s">
        <v>73</v>
      </c>
      <c r="O719" s="16" t="n">
        <v>0</v>
      </c>
      <c r="P719" s="16" t="n">
        <v>0</v>
      </c>
      <c r="Q719" s="16" t="n">
        <v>0</v>
      </c>
      <c r="R719" s="16" t="n">
        <v>0</v>
      </c>
      <c r="S719" s="16" t="n">
        <v>0</v>
      </c>
      <c r="T719" s="17" t="n">
        <f aca="false">AVERAGE(O719:Q719)</f>
        <v>0</v>
      </c>
      <c r="U719" s="18" t="str">
        <f aca="false">IF(T719&gt;=$H$3,"Eligible","Not Eligible")</f>
        <v>Not Eligible</v>
      </c>
      <c r="V719" s="19" t="n">
        <f aca="false">IF(T719&lt;$H$3,0,IFERROR(T719/SUMIF($T$5:$T$999,"&gt;="&amp;$H$3),0))</f>
        <v>0</v>
      </c>
      <c r="W719" s="15" t="str">
        <f aca="false">IF(T719=0,"Win-Back","Active")</f>
        <v>Win-Back</v>
      </c>
      <c r="X719" s="20" t="n">
        <f aca="false">IF(T719=0,0,IF(T719&gt;=$H$3,ROUND(T719*$D$3/SUMIF($T$5:$T$999,"&gt;="&amp;$H$3),0),ROUNDUP(T719*$D$3/SUMIF($T$5:$T$999,"&gt;="&amp;$H$3),0)))</f>
        <v>0</v>
      </c>
      <c r="Y719" s="21" t="n">
        <v>1</v>
      </c>
      <c r="Z719" s="16" t="str">
        <f aca="false">IF(X719=0,"",X719-Y719)</f>
        <v/>
      </c>
      <c r="AA719" s="22" t="str">
        <f aca="false">IFERROR(Y719/X719,"")</f>
        <v/>
      </c>
      <c r="AB719" s="16" t="n">
        <v>0</v>
      </c>
      <c r="AC719" s="21"/>
    </row>
    <row r="720" customFormat="false" ht="15" hidden="false" customHeight="true" outlineLevel="0" collapsed="false">
      <c r="A720" s="15" t="s">
        <v>7100</v>
      </c>
      <c r="B720" s="15" t="s">
        <v>7101</v>
      </c>
      <c r="C720" s="15" t="s">
        <v>7102</v>
      </c>
      <c r="D720" s="15" t="s">
        <v>7103</v>
      </c>
      <c r="E720" s="15" t="s">
        <v>7104</v>
      </c>
      <c r="F720" s="15" t="s">
        <v>7105</v>
      </c>
      <c r="G720" s="15" t="s">
        <v>7106</v>
      </c>
      <c r="H720" s="15" t="s">
        <v>7107</v>
      </c>
      <c r="I720" s="15"/>
      <c r="J720" s="15" t="s">
        <v>677</v>
      </c>
      <c r="K720" s="15" t="s">
        <v>678</v>
      </c>
      <c r="L720" s="15" t="s">
        <v>5622</v>
      </c>
      <c r="M720" s="15" t="s">
        <v>7108</v>
      </c>
      <c r="N720" s="15" t="s">
        <v>73</v>
      </c>
      <c r="O720" s="16" t="n">
        <v>0</v>
      </c>
      <c r="P720" s="16" t="n">
        <v>0</v>
      </c>
      <c r="Q720" s="16" t="n">
        <v>0</v>
      </c>
      <c r="R720" s="16" t="n">
        <v>0</v>
      </c>
      <c r="S720" s="16" t="n">
        <v>0</v>
      </c>
      <c r="T720" s="17" t="n">
        <f aca="false">AVERAGE(O720:Q720)</f>
        <v>0</v>
      </c>
      <c r="U720" s="18" t="str">
        <f aca="false">IF(T720&gt;=$H$3,"Eligible","Not Eligible")</f>
        <v>Not Eligible</v>
      </c>
      <c r="V720" s="19" t="n">
        <f aca="false">IF(T720&lt;$H$3,0,IFERROR(T720/SUMIF($T$5:$T$999,"&gt;="&amp;$H$3),0))</f>
        <v>0</v>
      </c>
      <c r="W720" s="15" t="str">
        <f aca="false">IF(T720=0,"Win-Back","Active")</f>
        <v>Win-Back</v>
      </c>
      <c r="X720" s="20" t="n">
        <f aca="false">IF(T720=0,0,IF(T720&gt;=$H$3,ROUND(T720*$D$3/SUMIF($T$5:$T$999,"&gt;="&amp;$H$3),0),ROUNDUP(T720*$D$3/SUMIF($T$5:$T$999,"&gt;="&amp;$H$3),0)))</f>
        <v>0</v>
      </c>
      <c r="Y720" s="21"/>
      <c r="Z720" s="16" t="str">
        <f aca="false">IF(X720=0,"",X720-Y720)</f>
        <v/>
      </c>
      <c r="AA720" s="22" t="str">
        <f aca="false">IFERROR(Y720/X720,"")</f>
        <v/>
      </c>
      <c r="AB720" s="16" t="n">
        <v>0</v>
      </c>
      <c r="AC720" s="21"/>
    </row>
    <row r="721" customFormat="false" ht="15" hidden="false" customHeight="true" outlineLevel="0" collapsed="false">
      <c r="A721" s="15" t="s">
        <v>7109</v>
      </c>
      <c r="B721" s="15" t="s">
        <v>7110</v>
      </c>
      <c r="C721" s="15" t="s">
        <v>7111</v>
      </c>
      <c r="D721" s="15" t="s">
        <v>7112</v>
      </c>
      <c r="E721" s="15" t="s">
        <v>7113</v>
      </c>
      <c r="F721" s="15" t="s">
        <v>7114</v>
      </c>
      <c r="G721" s="15" t="s">
        <v>7115</v>
      </c>
      <c r="H721" s="15" t="s">
        <v>7116</v>
      </c>
      <c r="I721" s="15"/>
      <c r="J721" s="15" t="s">
        <v>1396</v>
      </c>
      <c r="K721" s="15" t="s">
        <v>678</v>
      </c>
      <c r="L721" s="15" t="s">
        <v>7117</v>
      </c>
      <c r="M721" s="15" t="s">
        <v>7118</v>
      </c>
      <c r="N721" s="15" t="s">
        <v>73</v>
      </c>
      <c r="O721" s="16" t="n">
        <v>0</v>
      </c>
      <c r="P721" s="16" t="n">
        <v>0</v>
      </c>
      <c r="Q721" s="16" t="n">
        <v>0</v>
      </c>
      <c r="R721" s="16" t="n">
        <v>0</v>
      </c>
      <c r="S721" s="16" t="n">
        <v>0</v>
      </c>
      <c r="T721" s="17" t="n">
        <f aca="false">AVERAGE(O721:Q721)</f>
        <v>0</v>
      </c>
      <c r="U721" s="18" t="str">
        <f aca="false">IF(T721&gt;=$H$3,"Eligible","Not Eligible")</f>
        <v>Not Eligible</v>
      </c>
      <c r="V721" s="19" t="n">
        <f aca="false">IF(T721&lt;$H$3,0,IFERROR(T721/SUMIF($T$5:$T$999,"&gt;="&amp;$H$3),0))</f>
        <v>0</v>
      </c>
      <c r="W721" s="15" t="str">
        <f aca="false">IF(T721=0,"Win-Back","Active")</f>
        <v>Win-Back</v>
      </c>
      <c r="X721" s="20" t="n">
        <f aca="false">IF(T721=0,0,IF(T721&gt;=$H$3,ROUND(T721*$D$3/SUMIF($T$5:$T$999,"&gt;="&amp;$H$3),0),ROUNDUP(T721*$D$3/SUMIF($T$5:$T$999,"&gt;="&amp;$H$3),0)))</f>
        <v>0</v>
      </c>
      <c r="Y721" s="21"/>
      <c r="Z721" s="16" t="str">
        <f aca="false">IF(X721=0,"",X721-Y721)</f>
        <v/>
      </c>
      <c r="AA721" s="22" t="str">
        <f aca="false">IFERROR(Y721/X721,"")</f>
        <v/>
      </c>
      <c r="AB721" s="16" t="n">
        <v>0</v>
      </c>
      <c r="AC721" s="21"/>
    </row>
    <row r="722" customFormat="false" ht="15" hidden="false" customHeight="true" outlineLevel="0" collapsed="false">
      <c r="A722" s="15" t="s">
        <v>7119</v>
      </c>
      <c r="B722" s="15" t="s">
        <v>7120</v>
      </c>
      <c r="C722" s="15" t="s">
        <v>7121</v>
      </c>
      <c r="D722" s="15" t="s">
        <v>7122</v>
      </c>
      <c r="E722" s="15" t="s">
        <v>7123</v>
      </c>
      <c r="F722" s="15" t="s">
        <v>7028</v>
      </c>
      <c r="G722" s="15" t="s">
        <v>7029</v>
      </c>
      <c r="H722" s="15" t="s">
        <v>7124</v>
      </c>
      <c r="I722" s="15"/>
      <c r="J722" s="15" t="s">
        <v>367</v>
      </c>
      <c r="K722" s="15" t="s">
        <v>368</v>
      </c>
      <c r="L722" s="15" t="s">
        <v>4310</v>
      </c>
      <c r="M722" s="15" t="s">
        <v>7031</v>
      </c>
      <c r="N722" s="15" t="s">
        <v>73</v>
      </c>
      <c r="O722" s="16" t="n">
        <v>0</v>
      </c>
      <c r="P722" s="16" t="n">
        <v>0</v>
      </c>
      <c r="Q722" s="16" t="n">
        <v>0</v>
      </c>
      <c r="R722" s="16" t="n">
        <v>0</v>
      </c>
      <c r="S722" s="16" t="n">
        <v>0</v>
      </c>
      <c r="T722" s="17" t="n">
        <f aca="false">AVERAGE(O722:Q722)</f>
        <v>0</v>
      </c>
      <c r="U722" s="18" t="str">
        <f aca="false">IF(T722&gt;=$H$3,"Eligible","Not Eligible")</f>
        <v>Not Eligible</v>
      </c>
      <c r="V722" s="19" t="n">
        <f aca="false">IF(T722&lt;$H$3,0,IFERROR(T722/SUMIF($T$5:$T$999,"&gt;="&amp;$H$3),0))</f>
        <v>0</v>
      </c>
      <c r="W722" s="15" t="str">
        <f aca="false">IF(T722=0,"Win-Back","Active")</f>
        <v>Win-Back</v>
      </c>
      <c r="X722" s="20" t="n">
        <f aca="false">IF(T722=0,0,IF(T722&gt;=$H$3,ROUND(T722*$D$3/SUMIF($T$5:$T$999,"&gt;="&amp;$H$3),0),ROUNDUP(T722*$D$3/SUMIF($T$5:$T$999,"&gt;="&amp;$H$3),0)))</f>
        <v>0</v>
      </c>
      <c r="Y722" s="21"/>
      <c r="Z722" s="16" t="str">
        <f aca="false">IF(X722=0,"",X722-Y722)</f>
        <v/>
      </c>
      <c r="AA722" s="22" t="str">
        <f aca="false">IFERROR(Y722/X722,"")</f>
        <v/>
      </c>
      <c r="AB722" s="16" t="n">
        <v>0</v>
      </c>
      <c r="AC722" s="21"/>
    </row>
    <row r="723" customFormat="false" ht="15" hidden="false" customHeight="true" outlineLevel="0" collapsed="false">
      <c r="A723" s="15" t="s">
        <v>7125</v>
      </c>
      <c r="B723" s="15" t="s">
        <v>7126</v>
      </c>
      <c r="C723" s="15" t="s">
        <v>7127</v>
      </c>
      <c r="D723" s="15" t="s">
        <v>7128</v>
      </c>
      <c r="E723" s="15" t="s">
        <v>7129</v>
      </c>
      <c r="F723" s="15" t="s">
        <v>7130</v>
      </c>
      <c r="G723" s="15" t="s">
        <v>7131</v>
      </c>
      <c r="H723" s="15" t="s">
        <v>7132</v>
      </c>
      <c r="I723" s="15"/>
      <c r="J723" s="15" t="s">
        <v>7133</v>
      </c>
      <c r="K723" s="15" t="s">
        <v>368</v>
      </c>
      <c r="L723" s="15" t="s">
        <v>7134</v>
      </c>
      <c r="M723" s="15" t="s">
        <v>7135</v>
      </c>
      <c r="N723" s="15" t="s">
        <v>73</v>
      </c>
      <c r="O723" s="16" t="n">
        <v>0</v>
      </c>
      <c r="P723" s="16" t="n">
        <v>0</v>
      </c>
      <c r="Q723" s="16" t="n">
        <v>0</v>
      </c>
      <c r="R723" s="16" t="n">
        <v>0</v>
      </c>
      <c r="S723" s="16" t="n">
        <v>0</v>
      </c>
      <c r="T723" s="17" t="n">
        <f aca="false">AVERAGE(O723:Q723)</f>
        <v>0</v>
      </c>
      <c r="U723" s="18" t="str">
        <f aca="false">IF(T723&gt;=$H$3,"Eligible","Not Eligible")</f>
        <v>Not Eligible</v>
      </c>
      <c r="V723" s="19" t="n">
        <f aca="false">IF(T723&lt;$H$3,0,IFERROR(T723/SUMIF($T$5:$T$999,"&gt;="&amp;$H$3),0))</f>
        <v>0</v>
      </c>
      <c r="W723" s="15" t="str">
        <f aca="false">IF(T723=0,"Win-Back","Active")</f>
        <v>Win-Back</v>
      </c>
      <c r="X723" s="20" t="n">
        <f aca="false">IF(T723=0,0,IF(T723&gt;=$H$3,ROUND(T723*$D$3/SUMIF($T$5:$T$999,"&gt;="&amp;$H$3),0),ROUNDUP(T723*$D$3/SUMIF($T$5:$T$999,"&gt;="&amp;$H$3),0)))</f>
        <v>0</v>
      </c>
      <c r="Y723" s="21"/>
      <c r="Z723" s="16" t="str">
        <f aca="false">IF(X723=0,"",X723-Y723)</f>
        <v/>
      </c>
      <c r="AA723" s="22" t="str">
        <f aca="false">IFERROR(Y723/X723,"")</f>
        <v/>
      </c>
      <c r="AB723" s="16" t="n">
        <v>0</v>
      </c>
      <c r="AC723" s="21"/>
    </row>
    <row r="724" customFormat="false" ht="15" hidden="false" customHeight="true" outlineLevel="0" collapsed="false">
      <c r="A724" s="15" t="s">
        <v>7136</v>
      </c>
      <c r="B724" s="15" t="s">
        <v>7137</v>
      </c>
      <c r="C724" s="15" t="s">
        <v>7138</v>
      </c>
      <c r="D724" s="15" t="s">
        <v>7139</v>
      </c>
      <c r="E724" s="15" t="s">
        <v>7140</v>
      </c>
      <c r="F724" s="15" t="s">
        <v>7141</v>
      </c>
      <c r="G724" s="15" t="s">
        <v>7142</v>
      </c>
      <c r="H724" s="15" t="s">
        <v>7143</v>
      </c>
      <c r="I724" s="15"/>
      <c r="J724" s="15" t="s">
        <v>7144</v>
      </c>
      <c r="K724" s="15" t="s">
        <v>368</v>
      </c>
      <c r="L724" s="15" t="s">
        <v>7145</v>
      </c>
      <c r="M724" s="15" t="s">
        <v>7146</v>
      </c>
      <c r="N724" s="15" t="s">
        <v>73</v>
      </c>
      <c r="O724" s="16" t="n">
        <v>0</v>
      </c>
      <c r="P724" s="16" t="n">
        <v>0</v>
      </c>
      <c r="Q724" s="16" t="n">
        <v>0</v>
      </c>
      <c r="R724" s="16" t="n">
        <v>0</v>
      </c>
      <c r="S724" s="16" t="n">
        <v>0</v>
      </c>
      <c r="T724" s="17" t="n">
        <f aca="false">AVERAGE(O724:Q724)</f>
        <v>0</v>
      </c>
      <c r="U724" s="18" t="str">
        <f aca="false">IF(T724&gt;=$H$3,"Eligible","Not Eligible")</f>
        <v>Not Eligible</v>
      </c>
      <c r="V724" s="19" t="n">
        <f aca="false">IF(T724&lt;$H$3,0,IFERROR(T724/SUMIF($T$5:$T$999,"&gt;="&amp;$H$3),0))</f>
        <v>0</v>
      </c>
      <c r="W724" s="15" t="str">
        <f aca="false">IF(T724=0,"Win-Back","Active")</f>
        <v>Win-Back</v>
      </c>
      <c r="X724" s="20" t="n">
        <f aca="false">IF(T724=0,0,IF(T724&gt;=$H$3,ROUND(T724*$D$3/SUMIF($T$5:$T$999,"&gt;="&amp;$H$3),0),ROUNDUP(T724*$D$3/SUMIF($T$5:$T$999,"&gt;="&amp;$H$3),0)))</f>
        <v>0</v>
      </c>
      <c r="Y724" s="21"/>
      <c r="Z724" s="16" t="str">
        <f aca="false">IF(X724=0,"",X724-Y724)</f>
        <v/>
      </c>
      <c r="AA724" s="22" t="str">
        <f aca="false">IFERROR(Y724/X724,"")</f>
        <v/>
      </c>
      <c r="AB724" s="16" t="n">
        <v>0</v>
      </c>
      <c r="AC724" s="21"/>
    </row>
    <row r="725" customFormat="false" ht="15" hidden="false" customHeight="true" outlineLevel="0" collapsed="false">
      <c r="A725" s="15" t="s">
        <v>7147</v>
      </c>
      <c r="B725" s="15" t="s">
        <v>7148</v>
      </c>
      <c r="C725" s="15" t="s">
        <v>7149</v>
      </c>
      <c r="D725" s="15" t="s">
        <v>7150</v>
      </c>
      <c r="E725" s="15" t="s">
        <v>7151</v>
      </c>
      <c r="F725" s="15" t="s">
        <v>7152</v>
      </c>
      <c r="G725" s="15" t="s">
        <v>7153</v>
      </c>
      <c r="H725" s="15" t="s">
        <v>7154</v>
      </c>
      <c r="I725" s="15"/>
      <c r="J725" s="15" t="s">
        <v>777</v>
      </c>
      <c r="K725" s="15" t="s">
        <v>70</v>
      </c>
      <c r="L725" s="15" t="s">
        <v>7155</v>
      </c>
      <c r="M725" s="15" t="s">
        <v>7156</v>
      </c>
      <c r="N725" s="15" t="s">
        <v>73</v>
      </c>
      <c r="O725" s="16" t="n">
        <v>0</v>
      </c>
      <c r="P725" s="16" t="n">
        <v>0</v>
      </c>
      <c r="Q725" s="16" t="n">
        <v>0</v>
      </c>
      <c r="R725" s="16" t="n">
        <v>0</v>
      </c>
      <c r="S725" s="16" t="n">
        <v>0</v>
      </c>
      <c r="T725" s="17" t="n">
        <f aca="false">AVERAGE(O725:Q725)</f>
        <v>0</v>
      </c>
      <c r="U725" s="18" t="str">
        <f aca="false">IF(T725&gt;=$H$3,"Eligible","Not Eligible")</f>
        <v>Not Eligible</v>
      </c>
      <c r="V725" s="19" t="n">
        <f aca="false">IF(T725&lt;$H$3,0,IFERROR(T725/SUMIF($T$5:$T$999,"&gt;="&amp;$H$3),0))</f>
        <v>0</v>
      </c>
      <c r="W725" s="15" t="str">
        <f aca="false">IF(T725=0,"Win-Back","Active")</f>
        <v>Win-Back</v>
      </c>
      <c r="X725" s="20" t="n">
        <f aca="false">IF(T725=0,0,IF(T725&gt;=$H$3,ROUND(T725*$D$3/SUMIF($T$5:$T$999,"&gt;="&amp;$H$3),0),ROUNDUP(T725*$D$3/SUMIF($T$5:$T$999,"&gt;="&amp;$H$3),0)))</f>
        <v>0</v>
      </c>
      <c r="Y725" s="21"/>
      <c r="Z725" s="16" t="str">
        <f aca="false">IF(X725=0,"",X725-Y725)</f>
        <v/>
      </c>
      <c r="AA725" s="22" t="str">
        <f aca="false">IFERROR(Y725/X725,"")</f>
        <v/>
      </c>
      <c r="AB725" s="16" t="n">
        <v>0</v>
      </c>
      <c r="AC725" s="21"/>
    </row>
    <row r="726" customFormat="false" ht="15" hidden="false" customHeight="true" outlineLevel="0" collapsed="false">
      <c r="A726" s="15" t="s">
        <v>7157</v>
      </c>
      <c r="B726" s="15" t="s">
        <v>7158</v>
      </c>
      <c r="C726" s="15" t="s">
        <v>7159</v>
      </c>
      <c r="D726" s="15" t="s">
        <v>7160</v>
      </c>
      <c r="E726" s="15" t="s">
        <v>4016</v>
      </c>
      <c r="F726" s="15" t="s">
        <v>7161</v>
      </c>
      <c r="G726" s="15" t="s">
        <v>4018</v>
      </c>
      <c r="H726" s="15" t="s">
        <v>7162</v>
      </c>
      <c r="I726" s="15" t="s">
        <v>1610</v>
      </c>
      <c r="J726" s="15" t="s">
        <v>5173</v>
      </c>
      <c r="K726" s="15" t="s">
        <v>368</v>
      </c>
      <c r="L726" s="15" t="s">
        <v>6926</v>
      </c>
      <c r="M726" s="15" t="s">
        <v>4021</v>
      </c>
      <c r="N726" s="15" t="s">
        <v>73</v>
      </c>
      <c r="O726" s="16" t="n">
        <v>0</v>
      </c>
      <c r="P726" s="16" t="n">
        <v>0</v>
      </c>
      <c r="Q726" s="16" t="n">
        <v>0</v>
      </c>
      <c r="R726" s="16" t="n">
        <v>0</v>
      </c>
      <c r="S726" s="16" t="n">
        <v>0</v>
      </c>
      <c r="T726" s="17" t="n">
        <f aca="false">AVERAGE(O726:Q726)</f>
        <v>0</v>
      </c>
      <c r="U726" s="18" t="str">
        <f aca="false">IF(T726&gt;=$H$3,"Eligible","Not Eligible")</f>
        <v>Not Eligible</v>
      </c>
      <c r="V726" s="19" t="n">
        <f aca="false">IF(T726&lt;$H$3,0,IFERROR(T726/SUMIF($T$5:$T$999,"&gt;="&amp;$H$3),0))</f>
        <v>0</v>
      </c>
      <c r="W726" s="15" t="str">
        <f aca="false">IF(T726=0,"Win-Back","Active")</f>
        <v>Win-Back</v>
      </c>
      <c r="X726" s="20" t="n">
        <f aca="false">IF(T726=0,0,IF(T726&gt;=$H$3,ROUND(T726*$D$3/SUMIF($T$5:$T$999,"&gt;="&amp;$H$3),0),ROUNDUP(T726*$D$3/SUMIF($T$5:$T$999,"&gt;="&amp;$H$3),0)))</f>
        <v>0</v>
      </c>
      <c r="Y726" s="21"/>
      <c r="Z726" s="16" t="str">
        <f aca="false">IF(X726=0,"",X726-Y726)</f>
        <v/>
      </c>
      <c r="AA726" s="22" t="str">
        <f aca="false">IFERROR(Y726/X726,"")</f>
        <v/>
      </c>
      <c r="AB726" s="16" t="n">
        <v>0</v>
      </c>
      <c r="AC726" s="21"/>
    </row>
    <row r="727" customFormat="false" ht="15" hidden="false" customHeight="true" outlineLevel="0" collapsed="false">
      <c r="A727" s="15" t="s">
        <v>7163</v>
      </c>
      <c r="B727" s="15" t="s">
        <v>7164</v>
      </c>
      <c r="C727" s="15" t="s">
        <v>7165</v>
      </c>
      <c r="D727" s="15" t="s">
        <v>528</v>
      </c>
      <c r="E727" s="15" t="s">
        <v>7166</v>
      </c>
      <c r="F727" s="15" t="s">
        <v>7167</v>
      </c>
      <c r="G727" s="15" t="s">
        <v>531</v>
      </c>
      <c r="H727" s="15" t="s">
        <v>7168</v>
      </c>
      <c r="I727" s="15"/>
      <c r="J727" s="15" t="s">
        <v>7169</v>
      </c>
      <c r="K727" s="15" t="s">
        <v>368</v>
      </c>
      <c r="L727" s="15" t="s">
        <v>534</v>
      </c>
      <c r="M727" s="15" t="s">
        <v>535</v>
      </c>
      <c r="N727" s="15" t="s">
        <v>73</v>
      </c>
      <c r="O727" s="16" t="n">
        <v>0</v>
      </c>
      <c r="P727" s="16" t="n">
        <v>0</v>
      </c>
      <c r="Q727" s="16" t="n">
        <v>0</v>
      </c>
      <c r="R727" s="16" t="n">
        <v>0</v>
      </c>
      <c r="S727" s="16" t="n">
        <v>0</v>
      </c>
      <c r="T727" s="17" t="n">
        <f aca="false">AVERAGE(O727:Q727)</f>
        <v>0</v>
      </c>
      <c r="U727" s="18" t="str">
        <f aca="false">IF(T727&gt;=$H$3,"Eligible","Not Eligible")</f>
        <v>Not Eligible</v>
      </c>
      <c r="V727" s="19" t="n">
        <f aca="false">IF(T727&lt;$H$3,0,IFERROR(T727/SUMIF($T$5:$T$999,"&gt;="&amp;$H$3),0))</f>
        <v>0</v>
      </c>
      <c r="W727" s="15" t="str">
        <f aca="false">IF(T727=0,"Win-Back","Active")</f>
        <v>Win-Back</v>
      </c>
      <c r="X727" s="20" t="n">
        <f aca="false">IF(T727=0,0,IF(T727&gt;=$H$3,ROUND(T727*$D$3/SUMIF($T$5:$T$999,"&gt;="&amp;$H$3),0),ROUNDUP(T727*$D$3/SUMIF($T$5:$T$999,"&gt;="&amp;$H$3),0)))</f>
        <v>0</v>
      </c>
      <c r="Y727" s="21"/>
      <c r="Z727" s="16" t="str">
        <f aca="false">IF(X727=0,"",X727-Y727)</f>
        <v/>
      </c>
      <c r="AA727" s="22" t="str">
        <f aca="false">IFERROR(Y727/X727,"")</f>
        <v/>
      </c>
      <c r="AB727" s="16" t="n">
        <v>0</v>
      </c>
      <c r="AC727" s="21"/>
    </row>
    <row r="728" customFormat="false" ht="15" hidden="false" customHeight="true" outlineLevel="0" collapsed="false">
      <c r="A728" s="15"/>
      <c r="B728" s="15"/>
      <c r="C728" s="15" t="s">
        <v>7170</v>
      </c>
      <c r="D728" s="15" t="s">
        <v>7171</v>
      </c>
      <c r="E728" s="15" t="s">
        <v>7172</v>
      </c>
      <c r="F728" s="15"/>
      <c r="G728" s="15"/>
      <c r="H728" s="15" t="s">
        <v>7173</v>
      </c>
      <c r="I728" s="15"/>
      <c r="J728" s="15" t="s">
        <v>7174</v>
      </c>
      <c r="K728" s="15" t="s">
        <v>1255</v>
      </c>
      <c r="L728" s="15" t="s">
        <v>7175</v>
      </c>
      <c r="M728" s="15" t="s">
        <v>4617</v>
      </c>
      <c r="N728" s="15" t="s">
        <v>73</v>
      </c>
      <c r="O728" s="16" t="n">
        <v>0</v>
      </c>
      <c r="P728" s="16" t="n">
        <v>0</v>
      </c>
      <c r="Q728" s="16" t="n">
        <v>0</v>
      </c>
      <c r="R728" s="16" t="n">
        <v>0</v>
      </c>
      <c r="S728" s="16" t="n">
        <v>0</v>
      </c>
      <c r="T728" s="17" t="n">
        <f aca="false">AVERAGE(O728:Q728)</f>
        <v>0</v>
      </c>
      <c r="U728" s="18" t="str">
        <f aca="false">IF(T728&gt;=$H$3,"Eligible","Not Eligible")</f>
        <v>Not Eligible</v>
      </c>
      <c r="V728" s="19" t="n">
        <f aca="false">IF(T728&lt;$H$3,0,IFERROR(T728/SUMIF($T$5:$T$999,"&gt;="&amp;$H$3),0))</f>
        <v>0</v>
      </c>
      <c r="W728" s="15" t="str">
        <f aca="false">IF(T728=0,"Win-Back","Active")</f>
        <v>Win-Back</v>
      </c>
      <c r="X728" s="20" t="n">
        <f aca="false">IF(T728=0,0,IF(T728&gt;=$H$3,ROUND(T728*$D$3/SUMIF($T$5:$T$999,"&gt;="&amp;$H$3),0),ROUNDUP(T728*$D$3/SUMIF($T$5:$T$999,"&gt;="&amp;$H$3),0)))</f>
        <v>0</v>
      </c>
      <c r="Y728" s="21"/>
      <c r="Z728" s="16" t="str">
        <f aca="false">IF(X728=0,"",X728-Y728)</f>
        <v/>
      </c>
      <c r="AA728" s="22" t="str">
        <f aca="false">IFERROR(Y728/X728,"")</f>
        <v/>
      </c>
      <c r="AB728" s="16" t="n">
        <v>0</v>
      </c>
      <c r="AC728" s="21"/>
    </row>
    <row r="729" customFormat="false" ht="15" hidden="false" customHeight="true" outlineLevel="0" collapsed="false">
      <c r="A729" s="15" t="s">
        <v>7176</v>
      </c>
      <c r="B729" s="15" t="s">
        <v>7177</v>
      </c>
      <c r="C729" s="15" t="s">
        <v>7178</v>
      </c>
      <c r="D729" s="15" t="s">
        <v>7179</v>
      </c>
      <c r="E729" s="15" t="s">
        <v>7180</v>
      </c>
      <c r="F729" s="15" t="s">
        <v>7181</v>
      </c>
      <c r="G729" s="15" t="s">
        <v>7182</v>
      </c>
      <c r="H729" s="15" t="s">
        <v>7183</v>
      </c>
      <c r="I729" s="15"/>
      <c r="J729" s="15" t="s">
        <v>4084</v>
      </c>
      <c r="K729" s="15" t="s">
        <v>4085</v>
      </c>
      <c r="L729" s="15" t="s">
        <v>7184</v>
      </c>
      <c r="M729" s="15" t="s">
        <v>7185</v>
      </c>
      <c r="N729" s="15" t="s">
        <v>73</v>
      </c>
      <c r="O729" s="16" t="n">
        <v>0</v>
      </c>
      <c r="P729" s="16" t="n">
        <v>0</v>
      </c>
      <c r="Q729" s="16" t="n">
        <v>0</v>
      </c>
      <c r="R729" s="16" t="n">
        <v>0</v>
      </c>
      <c r="S729" s="16" t="n">
        <v>0</v>
      </c>
      <c r="T729" s="17" t="n">
        <f aca="false">AVERAGE(O729:Q729)</f>
        <v>0</v>
      </c>
      <c r="U729" s="18" t="str">
        <f aca="false">IF(T729&gt;=$H$3,"Eligible","Not Eligible")</f>
        <v>Not Eligible</v>
      </c>
      <c r="V729" s="19" t="n">
        <f aca="false">IF(T729&lt;$H$3,0,IFERROR(T729/SUMIF($T$5:$T$999,"&gt;="&amp;$H$3),0))</f>
        <v>0</v>
      </c>
      <c r="W729" s="15" t="str">
        <f aca="false">IF(T729=0,"Win-Back","Active")</f>
        <v>Win-Back</v>
      </c>
      <c r="X729" s="20" t="n">
        <f aca="false">IF(T729=0,0,IF(T729&gt;=$H$3,ROUND(T729*$D$3/SUMIF($T$5:$T$999,"&gt;="&amp;$H$3),0),ROUNDUP(T729*$D$3/SUMIF($T$5:$T$999,"&gt;="&amp;$H$3),0)))</f>
        <v>0</v>
      </c>
      <c r="Y729" s="21"/>
      <c r="Z729" s="16" t="str">
        <f aca="false">IF(X729=0,"",X729-Y729)</f>
        <v/>
      </c>
      <c r="AA729" s="22" t="str">
        <f aca="false">IFERROR(Y729/X729,"")</f>
        <v/>
      </c>
      <c r="AB729" s="16" t="n">
        <v>0</v>
      </c>
      <c r="AC729" s="21"/>
    </row>
    <row r="730" customFormat="false" ht="15" hidden="false" customHeight="true" outlineLevel="0" collapsed="false">
      <c r="A730" s="15" t="s">
        <v>7186</v>
      </c>
      <c r="B730" s="15" t="s">
        <v>7187</v>
      </c>
      <c r="C730" s="15" t="s">
        <v>7188</v>
      </c>
      <c r="D730" s="15" t="s">
        <v>7189</v>
      </c>
      <c r="E730" s="15" t="s">
        <v>7190</v>
      </c>
      <c r="F730" s="15" t="s">
        <v>7191</v>
      </c>
      <c r="G730" s="15" t="s">
        <v>7192</v>
      </c>
      <c r="H730" s="15" t="s">
        <v>7193</v>
      </c>
      <c r="I730" s="15" t="s">
        <v>3977</v>
      </c>
      <c r="J730" s="15" t="s">
        <v>7194</v>
      </c>
      <c r="K730" s="15" t="s">
        <v>615</v>
      </c>
      <c r="L730" s="15" t="s">
        <v>7195</v>
      </c>
      <c r="M730" s="15" t="s">
        <v>7196</v>
      </c>
      <c r="N730" s="15" t="s">
        <v>73</v>
      </c>
      <c r="O730" s="16" t="n">
        <v>0</v>
      </c>
      <c r="P730" s="16" t="n">
        <v>0</v>
      </c>
      <c r="Q730" s="16" t="n">
        <v>0</v>
      </c>
      <c r="R730" s="16" t="n">
        <v>0</v>
      </c>
      <c r="S730" s="16" t="n">
        <v>0</v>
      </c>
      <c r="T730" s="17" t="n">
        <f aca="false">AVERAGE(O730:Q730)</f>
        <v>0</v>
      </c>
      <c r="U730" s="18" t="str">
        <f aca="false">IF(T730&gt;=$H$3,"Eligible","Not Eligible")</f>
        <v>Not Eligible</v>
      </c>
      <c r="V730" s="19" t="n">
        <f aca="false">IF(T730&lt;$H$3,0,IFERROR(T730/SUMIF($T$5:$T$999,"&gt;="&amp;$H$3),0))</f>
        <v>0</v>
      </c>
      <c r="W730" s="15" t="str">
        <f aca="false">IF(T730=0,"Win-Back","Active")</f>
        <v>Win-Back</v>
      </c>
      <c r="X730" s="20" t="n">
        <f aca="false">IF(T730=0,0,IF(T730&gt;=$H$3,ROUND(T730*$D$3/SUMIF($T$5:$T$999,"&gt;="&amp;$H$3),0),ROUNDUP(T730*$D$3/SUMIF($T$5:$T$999,"&gt;="&amp;$H$3),0)))</f>
        <v>0</v>
      </c>
      <c r="Y730" s="21"/>
      <c r="Z730" s="16" t="str">
        <f aca="false">IF(X730=0,"",X730-Y730)</f>
        <v/>
      </c>
      <c r="AA730" s="22" t="str">
        <f aca="false">IFERROR(Y730/X730,"")</f>
        <v/>
      </c>
      <c r="AB730" s="16" t="n">
        <v>0</v>
      </c>
      <c r="AC730" s="21"/>
    </row>
    <row r="731" customFormat="false" ht="15" hidden="false" customHeight="true" outlineLevel="0" collapsed="false">
      <c r="A731" s="15" t="s">
        <v>7197</v>
      </c>
      <c r="B731" s="15" t="s">
        <v>7198</v>
      </c>
      <c r="C731" s="15" t="s">
        <v>7199</v>
      </c>
      <c r="D731" s="15" t="s">
        <v>7200</v>
      </c>
      <c r="E731" s="15" t="s">
        <v>7201</v>
      </c>
      <c r="F731" s="15" t="s">
        <v>7202</v>
      </c>
      <c r="G731" s="15" t="s">
        <v>7203</v>
      </c>
      <c r="H731" s="15" t="s">
        <v>7204</v>
      </c>
      <c r="I731" s="15"/>
      <c r="J731" s="15" t="s">
        <v>777</v>
      </c>
      <c r="K731" s="15" t="s">
        <v>70</v>
      </c>
      <c r="L731" s="15" t="s">
        <v>7205</v>
      </c>
      <c r="M731" s="15" t="s">
        <v>7206</v>
      </c>
      <c r="N731" s="15" t="s">
        <v>73</v>
      </c>
      <c r="O731" s="16" t="n">
        <v>0</v>
      </c>
      <c r="P731" s="16" t="n">
        <v>0</v>
      </c>
      <c r="Q731" s="16" t="n">
        <v>0</v>
      </c>
      <c r="R731" s="16" t="n">
        <v>0</v>
      </c>
      <c r="S731" s="16" t="n">
        <v>0</v>
      </c>
      <c r="T731" s="17" t="n">
        <f aca="false">AVERAGE(O731:Q731)</f>
        <v>0</v>
      </c>
      <c r="U731" s="18" t="str">
        <f aca="false">IF(T731&gt;=$H$3,"Eligible","Not Eligible")</f>
        <v>Not Eligible</v>
      </c>
      <c r="V731" s="19" t="n">
        <f aca="false">IF(T731&lt;$H$3,0,IFERROR(T731/SUMIF($T$5:$T$999,"&gt;="&amp;$H$3),0))</f>
        <v>0</v>
      </c>
      <c r="W731" s="15" t="str">
        <f aca="false">IF(T731=0,"Win-Back","Active")</f>
        <v>Win-Back</v>
      </c>
      <c r="X731" s="20" t="n">
        <f aca="false">IF(T731=0,0,IF(T731&gt;=$H$3,ROUND(T731*$D$3/SUMIF($T$5:$T$999,"&gt;="&amp;$H$3),0),ROUNDUP(T731*$D$3/SUMIF($T$5:$T$999,"&gt;="&amp;$H$3),0)))</f>
        <v>0</v>
      </c>
      <c r="Y731" s="21"/>
      <c r="Z731" s="16" t="str">
        <f aca="false">IF(X731=0,"",X731-Y731)</f>
        <v/>
      </c>
      <c r="AA731" s="22" t="str">
        <f aca="false">IFERROR(Y731/X731,"")</f>
        <v/>
      </c>
      <c r="AB731" s="16" t="n">
        <v>0</v>
      </c>
      <c r="AC731" s="21"/>
    </row>
    <row r="732" customFormat="false" ht="15" hidden="false" customHeight="true" outlineLevel="0" collapsed="false">
      <c r="A732" s="15" t="s">
        <v>7207</v>
      </c>
      <c r="B732" s="15" t="s">
        <v>7208</v>
      </c>
      <c r="C732" s="15" t="s">
        <v>7209</v>
      </c>
      <c r="D732" s="15" t="s">
        <v>7210</v>
      </c>
      <c r="E732" s="15" t="s">
        <v>7211</v>
      </c>
      <c r="F732" s="15" t="s">
        <v>7212</v>
      </c>
      <c r="G732" s="15" t="s">
        <v>7213</v>
      </c>
      <c r="H732" s="15" t="s">
        <v>7214</v>
      </c>
      <c r="I732" s="15"/>
      <c r="J732" s="15" t="s">
        <v>7215</v>
      </c>
      <c r="K732" s="15" t="s">
        <v>368</v>
      </c>
      <c r="L732" s="15" t="s">
        <v>7216</v>
      </c>
      <c r="M732" s="15" t="s">
        <v>7217</v>
      </c>
      <c r="N732" s="15" t="s">
        <v>73</v>
      </c>
      <c r="O732" s="16" t="n">
        <v>0</v>
      </c>
      <c r="P732" s="16" t="n">
        <v>0</v>
      </c>
      <c r="Q732" s="16" t="n">
        <v>0</v>
      </c>
      <c r="R732" s="16" t="n">
        <v>0</v>
      </c>
      <c r="S732" s="16" t="n">
        <v>0</v>
      </c>
      <c r="T732" s="17" t="n">
        <f aca="false">AVERAGE(O732:Q732)</f>
        <v>0</v>
      </c>
      <c r="U732" s="18" t="str">
        <f aca="false">IF(T732&gt;=$H$3,"Eligible","Not Eligible")</f>
        <v>Not Eligible</v>
      </c>
      <c r="V732" s="19" t="n">
        <f aca="false">IF(T732&lt;$H$3,0,IFERROR(T732/SUMIF($T$5:$T$999,"&gt;="&amp;$H$3),0))</f>
        <v>0</v>
      </c>
      <c r="W732" s="15" t="str">
        <f aca="false">IF(T732=0,"Win-Back","Active")</f>
        <v>Win-Back</v>
      </c>
      <c r="X732" s="20" t="n">
        <f aca="false">IF(T732=0,0,IF(T732&gt;=$H$3,ROUND(T732*$D$3/SUMIF($T$5:$T$999,"&gt;="&amp;$H$3),0),ROUNDUP(T732*$D$3/SUMIF($T$5:$T$999,"&gt;="&amp;$H$3),0)))</f>
        <v>0</v>
      </c>
      <c r="Y732" s="21"/>
      <c r="Z732" s="16" t="str">
        <f aca="false">IF(X732=0,"",X732-Y732)</f>
        <v/>
      </c>
      <c r="AA732" s="22" t="str">
        <f aca="false">IFERROR(Y732/X732,"")</f>
        <v/>
      </c>
      <c r="AB732" s="16" t="n">
        <v>0</v>
      </c>
      <c r="AC732" s="21"/>
    </row>
    <row r="733" customFormat="false" ht="15" hidden="false" customHeight="true" outlineLevel="0" collapsed="false">
      <c r="A733" s="15" t="s">
        <v>7218</v>
      </c>
      <c r="B733" s="15" t="s">
        <v>7219</v>
      </c>
      <c r="C733" s="15" t="s">
        <v>7220</v>
      </c>
      <c r="D733" s="15" t="s">
        <v>7221</v>
      </c>
      <c r="E733" s="15" t="s">
        <v>7222</v>
      </c>
      <c r="F733" s="15" t="s">
        <v>7223</v>
      </c>
      <c r="G733" s="15" t="s">
        <v>7224</v>
      </c>
      <c r="H733" s="15" t="s">
        <v>7225</v>
      </c>
      <c r="I733" s="15"/>
      <c r="J733" s="15" t="s">
        <v>809</v>
      </c>
      <c r="K733" s="15" t="s">
        <v>735</v>
      </c>
      <c r="L733" s="15" t="s">
        <v>7226</v>
      </c>
      <c r="M733" s="15" t="s">
        <v>7227</v>
      </c>
      <c r="N733" s="15" t="s">
        <v>73</v>
      </c>
      <c r="O733" s="16" t="n">
        <v>0</v>
      </c>
      <c r="P733" s="16" t="n">
        <v>0</v>
      </c>
      <c r="Q733" s="16" t="n">
        <v>0</v>
      </c>
      <c r="R733" s="16" t="n">
        <v>0</v>
      </c>
      <c r="S733" s="16" t="n">
        <v>0</v>
      </c>
      <c r="T733" s="17" t="n">
        <f aca="false">AVERAGE(O733:Q733)</f>
        <v>0</v>
      </c>
      <c r="U733" s="18" t="str">
        <f aca="false">IF(T733&gt;=$H$3,"Eligible","Not Eligible")</f>
        <v>Not Eligible</v>
      </c>
      <c r="V733" s="19" t="n">
        <f aca="false">IF(T733&lt;$H$3,0,IFERROR(T733/SUMIF($T$5:$T$999,"&gt;="&amp;$H$3),0))</f>
        <v>0</v>
      </c>
      <c r="W733" s="15" t="str">
        <f aca="false">IF(T733=0,"Win-Back","Active")</f>
        <v>Win-Back</v>
      </c>
      <c r="X733" s="20" t="n">
        <f aca="false">IF(T733=0,0,IF(T733&gt;=$H$3,ROUND(T733*$D$3/SUMIF($T$5:$T$999,"&gt;="&amp;$H$3),0),ROUNDUP(T733*$D$3/SUMIF($T$5:$T$999,"&gt;="&amp;$H$3),0)))</f>
        <v>0</v>
      </c>
      <c r="Y733" s="21"/>
      <c r="Z733" s="16" t="str">
        <f aca="false">IF(X733=0,"",X733-Y733)</f>
        <v/>
      </c>
      <c r="AA733" s="22" t="str">
        <f aca="false">IFERROR(Y733/X733,"")</f>
        <v/>
      </c>
      <c r="AB733" s="16" t="n">
        <v>0</v>
      </c>
      <c r="AC733" s="21"/>
    </row>
    <row r="734" customFormat="false" ht="15" hidden="false" customHeight="true" outlineLevel="0" collapsed="false">
      <c r="A734" s="15" t="s">
        <v>7228</v>
      </c>
      <c r="B734" s="15" t="s">
        <v>7229</v>
      </c>
      <c r="C734" s="15" t="s">
        <v>7230</v>
      </c>
      <c r="D734" s="15" t="s">
        <v>7210</v>
      </c>
      <c r="E734" s="15" t="s">
        <v>7211</v>
      </c>
      <c r="F734" s="15" t="s">
        <v>7231</v>
      </c>
      <c r="G734" s="15" t="s">
        <v>7213</v>
      </c>
      <c r="H734" s="15" t="s">
        <v>7232</v>
      </c>
      <c r="I734" s="15" t="s">
        <v>331</v>
      </c>
      <c r="J734" s="15" t="s">
        <v>7233</v>
      </c>
      <c r="K734" s="15" t="s">
        <v>368</v>
      </c>
      <c r="L734" s="15" t="s">
        <v>7234</v>
      </c>
      <c r="M734" s="15" t="s">
        <v>7217</v>
      </c>
      <c r="N734" s="15" t="s">
        <v>73</v>
      </c>
      <c r="O734" s="16" t="n">
        <v>0</v>
      </c>
      <c r="P734" s="16" t="n">
        <v>0</v>
      </c>
      <c r="Q734" s="16" t="n">
        <v>0</v>
      </c>
      <c r="R734" s="16" t="n">
        <v>0</v>
      </c>
      <c r="S734" s="16" t="n">
        <v>0</v>
      </c>
      <c r="T734" s="17" t="n">
        <f aca="false">AVERAGE(O734:Q734)</f>
        <v>0</v>
      </c>
      <c r="U734" s="18" t="str">
        <f aca="false">IF(T734&gt;=$H$3,"Eligible","Not Eligible")</f>
        <v>Not Eligible</v>
      </c>
      <c r="V734" s="19" t="n">
        <f aca="false">IF(T734&lt;$H$3,0,IFERROR(T734/SUMIF($T$5:$T$999,"&gt;="&amp;$H$3),0))</f>
        <v>0</v>
      </c>
      <c r="W734" s="15" t="str">
        <f aca="false">IF(T734=0,"Win-Back","Active")</f>
        <v>Win-Back</v>
      </c>
      <c r="X734" s="20" t="n">
        <f aca="false">IF(T734=0,0,IF(T734&gt;=$H$3,ROUND(T734*$D$3/SUMIF($T$5:$T$999,"&gt;="&amp;$H$3),0),ROUNDUP(T734*$D$3/SUMIF($T$5:$T$999,"&gt;="&amp;$H$3),0)))</f>
        <v>0</v>
      </c>
      <c r="Y734" s="21"/>
      <c r="Z734" s="16" t="str">
        <f aca="false">IF(X734=0,"",X734-Y734)</f>
        <v/>
      </c>
      <c r="AA734" s="22" t="str">
        <f aca="false">IFERROR(Y734/X734,"")</f>
        <v/>
      </c>
      <c r="AB734" s="16" t="n">
        <v>0</v>
      </c>
      <c r="AC734" s="21"/>
    </row>
    <row r="735" customFormat="false" ht="15" hidden="false" customHeight="true" outlineLevel="0" collapsed="false">
      <c r="A735" s="15" t="s">
        <v>7235</v>
      </c>
      <c r="B735" s="15" t="s">
        <v>7236</v>
      </c>
      <c r="C735" s="15" t="s">
        <v>7237</v>
      </c>
      <c r="D735" s="15" t="s">
        <v>7238</v>
      </c>
      <c r="E735" s="15" t="s">
        <v>7239</v>
      </c>
      <c r="F735" s="15" t="s">
        <v>7240</v>
      </c>
      <c r="G735" s="15" t="s">
        <v>7241</v>
      </c>
      <c r="H735" s="15" t="s">
        <v>7242</v>
      </c>
      <c r="I735" s="15"/>
      <c r="J735" s="15" t="s">
        <v>809</v>
      </c>
      <c r="K735" s="15" t="s">
        <v>735</v>
      </c>
      <c r="L735" s="15" t="s">
        <v>3347</v>
      </c>
      <c r="M735" s="15" t="s">
        <v>7243</v>
      </c>
      <c r="N735" s="15" t="s">
        <v>73</v>
      </c>
      <c r="O735" s="16" t="n">
        <v>0</v>
      </c>
      <c r="P735" s="16" t="n">
        <v>0</v>
      </c>
      <c r="Q735" s="16" t="n">
        <v>0</v>
      </c>
      <c r="R735" s="16" t="n">
        <v>0</v>
      </c>
      <c r="S735" s="16" t="n">
        <v>0</v>
      </c>
      <c r="T735" s="17" t="n">
        <f aca="false">AVERAGE(O735:Q735)</f>
        <v>0</v>
      </c>
      <c r="U735" s="18" t="str">
        <f aca="false">IF(T735&gt;=$H$3,"Eligible","Not Eligible")</f>
        <v>Not Eligible</v>
      </c>
      <c r="V735" s="19" t="n">
        <f aca="false">IF(T735&lt;$H$3,0,IFERROR(T735/SUMIF($T$5:$T$999,"&gt;="&amp;$H$3),0))</f>
        <v>0</v>
      </c>
      <c r="W735" s="15" t="str">
        <f aca="false">IF(T735=0,"Win-Back","Active")</f>
        <v>Win-Back</v>
      </c>
      <c r="X735" s="20" t="n">
        <f aca="false">IF(T735=0,0,IF(T735&gt;=$H$3,ROUND(T735*$D$3/SUMIF($T$5:$T$999,"&gt;="&amp;$H$3),0),ROUNDUP(T735*$D$3/SUMIF($T$5:$T$999,"&gt;="&amp;$H$3),0)))</f>
        <v>0</v>
      </c>
      <c r="Y735" s="21"/>
      <c r="Z735" s="16" t="str">
        <f aca="false">IF(X735=0,"",X735-Y735)</f>
        <v/>
      </c>
      <c r="AA735" s="22" t="str">
        <f aca="false">IFERROR(Y735/X735,"")</f>
        <v/>
      </c>
      <c r="AB735" s="16" t="n">
        <v>0</v>
      </c>
      <c r="AC735" s="21"/>
    </row>
    <row r="736" customFormat="false" ht="15" hidden="false" customHeight="true" outlineLevel="0" collapsed="false">
      <c r="A736" s="15" t="s">
        <v>7244</v>
      </c>
      <c r="B736" s="15" t="s">
        <v>7245</v>
      </c>
      <c r="C736" s="15" t="s">
        <v>7246</v>
      </c>
      <c r="D736" s="15" t="s">
        <v>528</v>
      </c>
      <c r="E736" s="15" t="s">
        <v>7247</v>
      </c>
      <c r="F736" s="15" t="s">
        <v>7167</v>
      </c>
      <c r="G736" s="15" t="s">
        <v>531</v>
      </c>
      <c r="H736" s="15" t="s">
        <v>7248</v>
      </c>
      <c r="I736" s="15"/>
      <c r="J736" s="15" t="s">
        <v>533</v>
      </c>
      <c r="K736" s="15" t="s">
        <v>368</v>
      </c>
      <c r="L736" s="15" t="s">
        <v>534</v>
      </c>
      <c r="M736" s="15" t="s">
        <v>535</v>
      </c>
      <c r="N736" s="15" t="s">
        <v>73</v>
      </c>
      <c r="O736" s="16" t="n">
        <v>0</v>
      </c>
      <c r="P736" s="16" t="n">
        <v>0</v>
      </c>
      <c r="Q736" s="16" t="n">
        <v>0</v>
      </c>
      <c r="R736" s="16" t="n">
        <v>0</v>
      </c>
      <c r="S736" s="16" t="n">
        <v>0</v>
      </c>
      <c r="T736" s="17" t="n">
        <f aca="false">AVERAGE(O736:Q736)</f>
        <v>0</v>
      </c>
      <c r="U736" s="18" t="str">
        <f aca="false">IF(T736&gt;=$H$3,"Eligible","Not Eligible")</f>
        <v>Not Eligible</v>
      </c>
      <c r="V736" s="19" t="n">
        <f aca="false">IF(T736&lt;$H$3,0,IFERROR(T736/SUMIF($T$5:$T$999,"&gt;="&amp;$H$3),0))</f>
        <v>0</v>
      </c>
      <c r="W736" s="15" t="str">
        <f aca="false">IF(T736=0,"Win-Back","Active")</f>
        <v>Win-Back</v>
      </c>
      <c r="X736" s="20" t="n">
        <f aca="false">IF(T736=0,0,IF(T736&gt;=$H$3,ROUND(T736*$D$3/SUMIF($T$5:$T$999,"&gt;="&amp;$H$3),0),ROUNDUP(T736*$D$3/SUMIF($T$5:$T$999,"&gt;="&amp;$H$3),0)))</f>
        <v>0</v>
      </c>
      <c r="Y736" s="21"/>
      <c r="Z736" s="16" t="str">
        <f aca="false">IF(X736=0,"",X736-Y736)</f>
        <v/>
      </c>
      <c r="AA736" s="22" t="str">
        <f aca="false">IFERROR(Y736/X736,"")</f>
        <v/>
      </c>
      <c r="AB736" s="16" t="n">
        <v>0</v>
      </c>
      <c r="AC736" s="21"/>
    </row>
    <row r="737" customFormat="false" ht="15" hidden="false" customHeight="true" outlineLevel="0" collapsed="false">
      <c r="A737" s="15" t="s">
        <v>7249</v>
      </c>
      <c r="B737" s="15" t="s">
        <v>7250</v>
      </c>
      <c r="C737" s="15" t="s">
        <v>7251</v>
      </c>
      <c r="D737" s="15" t="s">
        <v>7252</v>
      </c>
      <c r="E737" s="15" t="s">
        <v>7253</v>
      </c>
      <c r="F737" s="15" t="s">
        <v>7254</v>
      </c>
      <c r="G737" s="15" t="s">
        <v>7255</v>
      </c>
      <c r="H737" s="15" t="s">
        <v>7256</v>
      </c>
      <c r="I737" s="15" t="s">
        <v>2952</v>
      </c>
      <c r="J737" s="15" t="s">
        <v>7215</v>
      </c>
      <c r="K737" s="15" t="s">
        <v>368</v>
      </c>
      <c r="L737" s="15" t="s">
        <v>7216</v>
      </c>
      <c r="M737" s="15" t="s">
        <v>7257</v>
      </c>
      <c r="N737" s="15" t="s">
        <v>73</v>
      </c>
      <c r="O737" s="16" t="n">
        <v>0</v>
      </c>
      <c r="P737" s="16" t="n">
        <v>0</v>
      </c>
      <c r="Q737" s="16" t="n">
        <v>0</v>
      </c>
      <c r="R737" s="16" t="n">
        <v>0</v>
      </c>
      <c r="S737" s="16" t="n">
        <v>0</v>
      </c>
      <c r="T737" s="17" t="n">
        <f aca="false">AVERAGE(O737:Q737)</f>
        <v>0</v>
      </c>
      <c r="U737" s="18" t="str">
        <f aca="false">IF(T737&gt;=$H$3,"Eligible","Not Eligible")</f>
        <v>Not Eligible</v>
      </c>
      <c r="V737" s="19" t="n">
        <f aca="false">IF(T737&lt;$H$3,0,IFERROR(T737/SUMIF($T$5:$T$999,"&gt;="&amp;$H$3),0))</f>
        <v>0</v>
      </c>
      <c r="W737" s="15" t="str">
        <f aca="false">IF(T737=0,"Win-Back","Active")</f>
        <v>Win-Back</v>
      </c>
      <c r="X737" s="20" t="n">
        <f aca="false">IF(T737=0,0,IF(T737&gt;=$H$3,ROUND(T737*$D$3/SUMIF($T$5:$T$999,"&gt;="&amp;$H$3),0),ROUNDUP(T737*$D$3/SUMIF($T$5:$T$999,"&gt;="&amp;$H$3),0)))</f>
        <v>0</v>
      </c>
      <c r="Y737" s="21"/>
      <c r="Z737" s="16" t="str">
        <f aca="false">IF(X737=0,"",X737-Y737)</f>
        <v/>
      </c>
      <c r="AA737" s="22" t="str">
        <f aca="false">IFERROR(Y737/X737,"")</f>
        <v/>
      </c>
      <c r="AB737" s="16" t="n">
        <v>0</v>
      </c>
      <c r="AC737" s="21"/>
    </row>
    <row r="738" customFormat="false" ht="15" hidden="false" customHeight="true" outlineLevel="0" collapsed="false">
      <c r="A738" s="15" t="s">
        <v>7258</v>
      </c>
      <c r="B738" s="15" t="s">
        <v>7259</v>
      </c>
      <c r="C738" s="15" t="s">
        <v>7260</v>
      </c>
      <c r="D738" s="15" t="s">
        <v>7261</v>
      </c>
      <c r="E738" s="15" t="s">
        <v>7262</v>
      </c>
      <c r="F738" s="15" t="s">
        <v>7263</v>
      </c>
      <c r="G738" s="15" t="s">
        <v>5891</v>
      </c>
      <c r="H738" s="15" t="s">
        <v>7264</v>
      </c>
      <c r="I738" s="15"/>
      <c r="J738" s="15" t="s">
        <v>594</v>
      </c>
      <c r="K738" s="15" t="s">
        <v>368</v>
      </c>
      <c r="L738" s="15" t="s">
        <v>5893</v>
      </c>
      <c r="M738" s="15" t="s">
        <v>7265</v>
      </c>
      <c r="N738" s="15" t="s">
        <v>73</v>
      </c>
      <c r="O738" s="16" t="n">
        <v>0</v>
      </c>
      <c r="P738" s="16" t="n">
        <v>0</v>
      </c>
      <c r="Q738" s="16" t="n">
        <v>0</v>
      </c>
      <c r="R738" s="16" t="n">
        <v>0</v>
      </c>
      <c r="S738" s="16" t="n">
        <v>0</v>
      </c>
      <c r="T738" s="17" t="n">
        <f aca="false">AVERAGE(O738:Q738)</f>
        <v>0</v>
      </c>
      <c r="U738" s="18" t="str">
        <f aca="false">IF(T738&gt;=$H$3,"Eligible","Not Eligible")</f>
        <v>Not Eligible</v>
      </c>
      <c r="V738" s="19" t="n">
        <f aca="false">IF(T738&lt;$H$3,0,IFERROR(T738/SUMIF($T$5:$T$999,"&gt;="&amp;$H$3),0))</f>
        <v>0</v>
      </c>
      <c r="W738" s="15" t="str">
        <f aca="false">IF(T738=0,"Win-Back","Active")</f>
        <v>Win-Back</v>
      </c>
      <c r="X738" s="20" t="n">
        <f aca="false">IF(T738=0,0,IF(T738&gt;=$H$3,ROUND(T738*$D$3/SUMIF($T$5:$T$999,"&gt;="&amp;$H$3),0),ROUNDUP(T738*$D$3/SUMIF($T$5:$T$999,"&gt;="&amp;$H$3),0)))</f>
        <v>0</v>
      </c>
      <c r="Y738" s="21"/>
      <c r="Z738" s="16" t="str">
        <f aca="false">IF(X738=0,"",X738-Y738)</f>
        <v/>
      </c>
      <c r="AA738" s="22" t="str">
        <f aca="false">IFERROR(Y738/X738,"")</f>
        <v/>
      </c>
      <c r="AB738" s="16" t="n">
        <v>0</v>
      </c>
      <c r="AC738" s="21"/>
    </row>
    <row r="739" customFormat="false" ht="15" hidden="false" customHeight="true" outlineLevel="0" collapsed="false">
      <c r="A739" s="15" t="s">
        <v>7266</v>
      </c>
      <c r="B739" s="15" t="s">
        <v>7267</v>
      </c>
      <c r="C739" s="15" t="s">
        <v>7268</v>
      </c>
      <c r="D739" s="15" t="s">
        <v>7269</v>
      </c>
      <c r="E739" s="15" t="s">
        <v>7270</v>
      </c>
      <c r="F739" s="15" t="s">
        <v>7271</v>
      </c>
      <c r="G739" s="15" t="s">
        <v>7272</v>
      </c>
      <c r="H739" s="15" t="s">
        <v>7273</v>
      </c>
      <c r="I739" s="15"/>
      <c r="J739" s="15" t="s">
        <v>7274</v>
      </c>
      <c r="K739" s="15" t="s">
        <v>864</v>
      </c>
      <c r="L739" s="15" t="s">
        <v>7275</v>
      </c>
      <c r="M739" s="15" t="s">
        <v>7276</v>
      </c>
      <c r="N739" s="15" t="s">
        <v>73</v>
      </c>
      <c r="O739" s="16" t="n">
        <v>0</v>
      </c>
      <c r="P739" s="16" t="n">
        <v>0</v>
      </c>
      <c r="Q739" s="16" t="n">
        <v>0</v>
      </c>
      <c r="R739" s="16" t="n">
        <v>0</v>
      </c>
      <c r="S739" s="16" t="n">
        <v>0</v>
      </c>
      <c r="T739" s="17" t="n">
        <f aca="false">AVERAGE(O739:Q739)</f>
        <v>0</v>
      </c>
      <c r="U739" s="18" t="str">
        <f aca="false">IF(T739&gt;=$H$3,"Eligible","Not Eligible")</f>
        <v>Not Eligible</v>
      </c>
      <c r="V739" s="19" t="n">
        <f aca="false">IF(T739&lt;$H$3,0,IFERROR(T739/SUMIF($T$5:$T$999,"&gt;="&amp;$H$3),0))</f>
        <v>0</v>
      </c>
      <c r="W739" s="15" t="str">
        <f aca="false">IF(T739=0,"Win-Back","Active")</f>
        <v>Win-Back</v>
      </c>
      <c r="X739" s="20" t="n">
        <f aca="false">IF(T739=0,0,IF(T739&gt;=$H$3,ROUND(T739*$D$3/SUMIF($T$5:$T$999,"&gt;="&amp;$H$3),0),ROUNDUP(T739*$D$3/SUMIF($T$5:$T$999,"&gt;="&amp;$H$3),0)))</f>
        <v>0</v>
      </c>
      <c r="Y739" s="21"/>
      <c r="Z739" s="16" t="str">
        <f aca="false">IF(X739=0,"",X739-Y739)</f>
        <v/>
      </c>
      <c r="AA739" s="22" t="str">
        <f aca="false">IFERROR(Y739/X739,"")</f>
        <v/>
      </c>
      <c r="AB739" s="16" t="n">
        <v>0</v>
      </c>
      <c r="AC739" s="21"/>
    </row>
    <row r="740" customFormat="false" ht="15" hidden="false" customHeight="true" outlineLevel="0" collapsed="false">
      <c r="A740" s="15" t="s">
        <v>7277</v>
      </c>
      <c r="B740" s="15" t="s">
        <v>7278</v>
      </c>
      <c r="C740" s="15" t="s">
        <v>7279</v>
      </c>
      <c r="D740" s="15" t="s">
        <v>7280</v>
      </c>
      <c r="E740" s="15" t="s">
        <v>7281</v>
      </c>
      <c r="F740" s="15" t="s">
        <v>7282</v>
      </c>
      <c r="G740" s="15" t="s">
        <v>7283</v>
      </c>
      <c r="H740" s="15" t="s">
        <v>7284</v>
      </c>
      <c r="I740" s="15"/>
      <c r="J740" s="15" t="s">
        <v>2085</v>
      </c>
      <c r="K740" s="15" t="s">
        <v>47</v>
      </c>
      <c r="L740" s="15" t="s">
        <v>7285</v>
      </c>
      <c r="M740" s="15" t="s">
        <v>7286</v>
      </c>
      <c r="N740" s="15" t="s">
        <v>73</v>
      </c>
      <c r="O740" s="16" t="n">
        <v>0</v>
      </c>
      <c r="P740" s="16" t="n">
        <v>0</v>
      </c>
      <c r="Q740" s="16" t="n">
        <v>0</v>
      </c>
      <c r="R740" s="16" t="n">
        <v>0</v>
      </c>
      <c r="S740" s="16" t="n">
        <v>0</v>
      </c>
      <c r="T740" s="17" t="n">
        <f aca="false">AVERAGE(O740:Q740)</f>
        <v>0</v>
      </c>
      <c r="U740" s="18" t="str">
        <f aca="false">IF(T740&gt;=$H$3,"Eligible","Not Eligible")</f>
        <v>Not Eligible</v>
      </c>
      <c r="V740" s="19" t="n">
        <f aca="false">IF(T740&lt;$H$3,0,IFERROR(T740/SUMIF($T$5:$T$999,"&gt;="&amp;$H$3),0))</f>
        <v>0</v>
      </c>
      <c r="W740" s="15" t="str">
        <f aca="false">IF(T740=0,"Win-Back","Active")</f>
        <v>Win-Back</v>
      </c>
      <c r="X740" s="20" t="n">
        <f aca="false">IF(T740=0,0,IF(T740&gt;=$H$3,ROUND(T740*$D$3/SUMIF($T$5:$T$999,"&gt;="&amp;$H$3),0),ROUNDUP(T740*$D$3/SUMIF($T$5:$T$999,"&gt;="&amp;$H$3),0)))</f>
        <v>0</v>
      </c>
      <c r="Y740" s="21"/>
      <c r="Z740" s="16" t="str">
        <f aca="false">IF(X740=0,"",X740-Y740)</f>
        <v/>
      </c>
      <c r="AA740" s="22" t="str">
        <f aca="false">IFERROR(Y740/X740,"")</f>
        <v/>
      </c>
      <c r="AB740" s="16" t="n">
        <v>0</v>
      </c>
      <c r="AC740" s="21"/>
    </row>
    <row r="741" customFormat="false" ht="15" hidden="false" customHeight="true" outlineLevel="0" collapsed="false">
      <c r="A741" s="15" t="s">
        <v>7287</v>
      </c>
      <c r="B741" s="15" t="s">
        <v>7288</v>
      </c>
      <c r="C741" s="15" t="s">
        <v>7289</v>
      </c>
      <c r="D741" s="15" t="s">
        <v>7290</v>
      </c>
      <c r="E741" s="15" t="s">
        <v>7291</v>
      </c>
      <c r="F741" s="15" t="s">
        <v>7292</v>
      </c>
      <c r="G741" s="15" t="s">
        <v>7293</v>
      </c>
      <c r="H741" s="15" t="s">
        <v>7294</v>
      </c>
      <c r="I741" s="15"/>
      <c r="J741" s="15" t="s">
        <v>7295</v>
      </c>
      <c r="K741" s="15" t="s">
        <v>678</v>
      </c>
      <c r="L741" s="15" t="s">
        <v>7296</v>
      </c>
      <c r="M741" s="15" t="s">
        <v>7297</v>
      </c>
      <c r="N741" s="15" t="s">
        <v>73</v>
      </c>
      <c r="O741" s="16" t="n">
        <v>0</v>
      </c>
      <c r="P741" s="16" t="n">
        <v>0</v>
      </c>
      <c r="Q741" s="16" t="n">
        <v>0</v>
      </c>
      <c r="R741" s="16" t="n">
        <v>0</v>
      </c>
      <c r="S741" s="16" t="n">
        <v>0</v>
      </c>
      <c r="T741" s="17" t="n">
        <f aca="false">AVERAGE(O741:Q741)</f>
        <v>0</v>
      </c>
      <c r="U741" s="18" t="str">
        <f aca="false">IF(T741&gt;=$H$3,"Eligible","Not Eligible")</f>
        <v>Not Eligible</v>
      </c>
      <c r="V741" s="19" t="n">
        <f aca="false">IF(T741&lt;$H$3,0,IFERROR(T741/SUMIF($T$5:$T$999,"&gt;="&amp;$H$3),0))</f>
        <v>0</v>
      </c>
      <c r="W741" s="15" t="str">
        <f aca="false">IF(T741=0,"Win-Back","Active")</f>
        <v>Win-Back</v>
      </c>
      <c r="X741" s="20" t="n">
        <f aca="false">IF(T741=0,0,IF(T741&gt;=$H$3,ROUND(T741*$D$3/SUMIF($T$5:$T$999,"&gt;="&amp;$H$3),0),ROUNDUP(T741*$D$3/SUMIF($T$5:$T$999,"&gt;="&amp;$H$3),0)))</f>
        <v>0</v>
      </c>
      <c r="Y741" s="21"/>
      <c r="Z741" s="16" t="str">
        <f aca="false">IF(X741=0,"",X741-Y741)</f>
        <v/>
      </c>
      <c r="AA741" s="22" t="str">
        <f aca="false">IFERROR(Y741/X741,"")</f>
        <v/>
      </c>
      <c r="AB741" s="16" t="n">
        <v>0</v>
      </c>
      <c r="AC741" s="21"/>
    </row>
    <row r="742" customFormat="false" ht="15" hidden="false" customHeight="true" outlineLevel="0" collapsed="false">
      <c r="A742" s="15" t="s">
        <v>7298</v>
      </c>
      <c r="B742" s="15" t="s">
        <v>7299</v>
      </c>
      <c r="C742" s="15" t="s">
        <v>7300</v>
      </c>
      <c r="D742" s="15" t="s">
        <v>7301</v>
      </c>
      <c r="E742" s="15" t="s">
        <v>7302</v>
      </c>
      <c r="F742" s="15" t="s">
        <v>7303</v>
      </c>
      <c r="G742" s="15" t="s">
        <v>7304</v>
      </c>
      <c r="H742" s="15" t="s">
        <v>7305</v>
      </c>
      <c r="I742" s="15"/>
      <c r="J742" s="15" t="s">
        <v>7306</v>
      </c>
      <c r="K742" s="15" t="s">
        <v>2816</v>
      </c>
      <c r="L742" s="15" t="s">
        <v>7307</v>
      </c>
      <c r="M742" s="15" t="s">
        <v>7308</v>
      </c>
      <c r="N742" s="15" t="s">
        <v>73</v>
      </c>
      <c r="O742" s="16" t="n">
        <v>0</v>
      </c>
      <c r="P742" s="16" t="n">
        <v>0</v>
      </c>
      <c r="Q742" s="16" t="n">
        <v>0</v>
      </c>
      <c r="R742" s="16" t="n">
        <v>0</v>
      </c>
      <c r="S742" s="16" t="n">
        <v>0</v>
      </c>
      <c r="T742" s="17" t="n">
        <f aca="false">AVERAGE(O742:Q742)</f>
        <v>0</v>
      </c>
      <c r="U742" s="18" t="str">
        <f aca="false">IF(T742&gt;=$H$3,"Eligible","Not Eligible")</f>
        <v>Not Eligible</v>
      </c>
      <c r="V742" s="19" t="n">
        <f aca="false">IF(T742&lt;$H$3,0,IFERROR(T742/SUMIF($T$5:$T$999,"&gt;="&amp;$H$3),0))</f>
        <v>0</v>
      </c>
      <c r="W742" s="15" t="str">
        <f aca="false">IF(T742=0,"Win-Back","Active")</f>
        <v>Win-Back</v>
      </c>
      <c r="X742" s="20" t="n">
        <f aca="false">IF(T742=0,0,IF(T742&gt;=$H$3,ROUND(T742*$D$3/SUMIF($T$5:$T$999,"&gt;="&amp;$H$3),0),ROUNDUP(T742*$D$3/SUMIF($T$5:$T$999,"&gt;="&amp;$H$3),0)))</f>
        <v>0</v>
      </c>
      <c r="Y742" s="21"/>
      <c r="Z742" s="16" t="str">
        <f aca="false">IF(X742=0,"",X742-Y742)</f>
        <v/>
      </c>
      <c r="AA742" s="22" t="str">
        <f aca="false">IFERROR(Y742/X742,"")</f>
        <v/>
      </c>
      <c r="AB742" s="16" t="n">
        <v>0</v>
      </c>
      <c r="AC742" s="21"/>
    </row>
    <row r="743" customFormat="false" ht="15" hidden="false" customHeight="true" outlineLevel="0" collapsed="false">
      <c r="A743" s="15" t="s">
        <v>7309</v>
      </c>
      <c r="B743" s="15" t="s">
        <v>7310</v>
      </c>
      <c r="C743" s="15" t="s">
        <v>7311</v>
      </c>
      <c r="D743" s="15" t="s">
        <v>7312</v>
      </c>
      <c r="E743" s="15" t="s">
        <v>7313</v>
      </c>
      <c r="F743" s="15" t="s">
        <v>7314</v>
      </c>
      <c r="G743" s="15" t="s">
        <v>7315</v>
      </c>
      <c r="H743" s="15" t="s">
        <v>7316</v>
      </c>
      <c r="I743" s="15"/>
      <c r="J743" s="15" t="s">
        <v>3628</v>
      </c>
      <c r="K743" s="15" t="s">
        <v>70</v>
      </c>
      <c r="L743" s="15" t="s">
        <v>3629</v>
      </c>
      <c r="M743" s="15" t="s">
        <v>7317</v>
      </c>
      <c r="N743" s="15" t="s">
        <v>73</v>
      </c>
      <c r="O743" s="16" t="n">
        <v>0</v>
      </c>
      <c r="P743" s="16" t="n">
        <v>0</v>
      </c>
      <c r="Q743" s="16" t="n">
        <v>0</v>
      </c>
      <c r="R743" s="16" t="n">
        <v>0</v>
      </c>
      <c r="S743" s="16" t="n">
        <v>0</v>
      </c>
      <c r="T743" s="17" t="n">
        <f aca="false">AVERAGE(O743:Q743)</f>
        <v>0</v>
      </c>
      <c r="U743" s="18" t="str">
        <f aca="false">IF(T743&gt;=$H$3,"Eligible","Not Eligible")</f>
        <v>Not Eligible</v>
      </c>
      <c r="V743" s="19" t="n">
        <f aca="false">IF(T743&lt;$H$3,0,IFERROR(T743/SUMIF($T$5:$T$999,"&gt;="&amp;$H$3),0))</f>
        <v>0</v>
      </c>
      <c r="W743" s="15" t="str">
        <f aca="false">IF(T743=0,"Win-Back","Active")</f>
        <v>Win-Back</v>
      </c>
      <c r="X743" s="20" t="n">
        <f aca="false">IF(T743=0,0,IF(T743&gt;=$H$3,ROUND(T743*$D$3/SUMIF($T$5:$T$999,"&gt;="&amp;$H$3),0),ROUNDUP(T743*$D$3/SUMIF($T$5:$T$999,"&gt;="&amp;$H$3),0)))</f>
        <v>0</v>
      </c>
      <c r="Y743" s="21"/>
      <c r="Z743" s="16" t="str">
        <f aca="false">IF(X743=0,"",X743-Y743)</f>
        <v/>
      </c>
      <c r="AA743" s="22" t="str">
        <f aca="false">IFERROR(Y743/X743,"")</f>
        <v/>
      </c>
      <c r="AB743" s="16" t="n">
        <v>0</v>
      </c>
      <c r="AC743" s="21"/>
    </row>
    <row r="744" customFormat="false" ht="15" hidden="false" customHeight="true" outlineLevel="0" collapsed="false">
      <c r="A744" s="15" t="s">
        <v>7318</v>
      </c>
      <c r="B744" s="15" t="s">
        <v>7319</v>
      </c>
      <c r="C744" s="15" t="s">
        <v>7320</v>
      </c>
      <c r="D744" s="15" t="s">
        <v>7321</v>
      </c>
      <c r="E744" s="15" t="s">
        <v>1552</v>
      </c>
      <c r="F744" s="15" t="s">
        <v>7322</v>
      </c>
      <c r="G744" s="15" t="s">
        <v>1554</v>
      </c>
      <c r="H744" s="15" t="s">
        <v>7323</v>
      </c>
      <c r="I744" s="15"/>
      <c r="J744" s="15" t="s">
        <v>777</v>
      </c>
      <c r="K744" s="15" t="s">
        <v>70</v>
      </c>
      <c r="L744" s="15" t="s">
        <v>3711</v>
      </c>
      <c r="M744" s="15" t="s">
        <v>1557</v>
      </c>
      <c r="N744" s="15" t="s">
        <v>73</v>
      </c>
      <c r="O744" s="16" t="n">
        <v>0</v>
      </c>
      <c r="P744" s="16" t="n">
        <v>0</v>
      </c>
      <c r="Q744" s="16" t="n">
        <v>0</v>
      </c>
      <c r="R744" s="16" t="n">
        <v>0</v>
      </c>
      <c r="S744" s="16" t="n">
        <v>0</v>
      </c>
      <c r="T744" s="17" t="n">
        <f aca="false">AVERAGE(O744:Q744)</f>
        <v>0</v>
      </c>
      <c r="U744" s="18" t="str">
        <f aca="false">IF(T744&gt;=$H$3,"Eligible","Not Eligible")</f>
        <v>Not Eligible</v>
      </c>
      <c r="V744" s="19" t="n">
        <f aca="false">IF(T744&lt;$H$3,0,IFERROR(T744/SUMIF($T$5:$T$999,"&gt;="&amp;$H$3),0))</f>
        <v>0</v>
      </c>
      <c r="W744" s="15" t="str">
        <f aca="false">IF(T744=0,"Win-Back","Active")</f>
        <v>Win-Back</v>
      </c>
      <c r="X744" s="20" t="n">
        <f aca="false">IF(T744=0,0,IF(T744&gt;=$H$3,ROUND(T744*$D$3/SUMIF($T$5:$T$999,"&gt;="&amp;$H$3),0),ROUNDUP(T744*$D$3/SUMIF($T$5:$T$999,"&gt;="&amp;$H$3),0)))</f>
        <v>0</v>
      </c>
      <c r="Y744" s="21"/>
      <c r="Z744" s="16" t="str">
        <f aca="false">IF(X744=0,"",X744-Y744)</f>
        <v/>
      </c>
      <c r="AA744" s="22" t="str">
        <f aca="false">IFERROR(Y744/X744,"")</f>
        <v/>
      </c>
      <c r="AB744" s="16" t="n">
        <v>0</v>
      </c>
      <c r="AC744" s="21"/>
    </row>
    <row r="745" customFormat="false" ht="15" hidden="false" customHeight="true" outlineLevel="0" collapsed="false">
      <c r="A745" s="15" t="s">
        <v>7324</v>
      </c>
      <c r="B745" s="15" t="s">
        <v>7325</v>
      </c>
      <c r="C745" s="15" t="s">
        <v>7326</v>
      </c>
      <c r="D745" s="15" t="s">
        <v>7327</v>
      </c>
      <c r="E745" s="15" t="s">
        <v>7328</v>
      </c>
      <c r="F745" s="15" t="s">
        <v>7329</v>
      </c>
      <c r="G745" s="15" t="s">
        <v>7330</v>
      </c>
      <c r="H745" s="15" t="s">
        <v>7331</v>
      </c>
      <c r="I745" s="15" t="s">
        <v>7332</v>
      </c>
      <c r="J745" s="15" t="s">
        <v>1484</v>
      </c>
      <c r="K745" s="15" t="s">
        <v>70</v>
      </c>
      <c r="L745" s="15" t="s">
        <v>7333</v>
      </c>
      <c r="M745" s="15" t="s">
        <v>7334</v>
      </c>
      <c r="N745" s="15" t="s">
        <v>73</v>
      </c>
      <c r="O745" s="16" t="n">
        <v>0</v>
      </c>
      <c r="P745" s="16" t="n">
        <v>0</v>
      </c>
      <c r="Q745" s="16" t="n">
        <v>0</v>
      </c>
      <c r="R745" s="16" t="n">
        <v>0</v>
      </c>
      <c r="S745" s="16" t="n">
        <v>0</v>
      </c>
      <c r="T745" s="17" t="n">
        <f aca="false">AVERAGE(O745:Q745)</f>
        <v>0</v>
      </c>
      <c r="U745" s="18" t="str">
        <f aca="false">IF(T745&gt;=$H$3,"Eligible","Not Eligible")</f>
        <v>Not Eligible</v>
      </c>
      <c r="V745" s="19" t="n">
        <f aca="false">IF(T745&lt;$H$3,0,IFERROR(T745/SUMIF($T$5:$T$999,"&gt;="&amp;$H$3),0))</f>
        <v>0</v>
      </c>
      <c r="W745" s="15" t="str">
        <f aca="false">IF(T745=0,"Win-Back","Active")</f>
        <v>Win-Back</v>
      </c>
      <c r="X745" s="20" t="n">
        <f aca="false">IF(T745=0,0,IF(T745&gt;=$H$3,ROUND(T745*$D$3/SUMIF($T$5:$T$999,"&gt;="&amp;$H$3),0),ROUNDUP(T745*$D$3/SUMIF($T$5:$T$999,"&gt;="&amp;$H$3),0)))</f>
        <v>0</v>
      </c>
      <c r="Y745" s="21"/>
      <c r="Z745" s="16" t="str">
        <f aca="false">IF(X745=0,"",X745-Y745)</f>
        <v/>
      </c>
      <c r="AA745" s="22" t="str">
        <f aca="false">IFERROR(Y745/X745,"")</f>
        <v/>
      </c>
      <c r="AB745" s="16" t="n">
        <v>0</v>
      </c>
      <c r="AC745" s="21"/>
    </row>
    <row r="746" customFormat="false" ht="15" hidden="false" customHeight="true" outlineLevel="0" collapsed="false">
      <c r="A746" s="15" t="s">
        <v>7335</v>
      </c>
      <c r="B746" s="15" t="s">
        <v>7336</v>
      </c>
      <c r="C746" s="15" t="s">
        <v>7337</v>
      </c>
      <c r="D746" s="15" t="s">
        <v>7338</v>
      </c>
      <c r="E746" s="15" t="s">
        <v>7339</v>
      </c>
      <c r="F746" s="15" t="s">
        <v>7340</v>
      </c>
      <c r="G746" s="15" t="s">
        <v>7341</v>
      </c>
      <c r="H746" s="15" t="s">
        <v>7342</v>
      </c>
      <c r="I746" s="15"/>
      <c r="J746" s="15" t="s">
        <v>2097</v>
      </c>
      <c r="K746" s="15" t="s">
        <v>2098</v>
      </c>
      <c r="L746" s="15" t="s">
        <v>7343</v>
      </c>
      <c r="M746" s="15" t="s">
        <v>7344</v>
      </c>
      <c r="N746" s="15" t="s">
        <v>73</v>
      </c>
      <c r="O746" s="16" t="n">
        <v>0</v>
      </c>
      <c r="P746" s="16" t="n">
        <v>0</v>
      </c>
      <c r="Q746" s="16" t="n">
        <v>0</v>
      </c>
      <c r="R746" s="16" t="n">
        <v>0</v>
      </c>
      <c r="S746" s="16" t="n">
        <v>0</v>
      </c>
      <c r="T746" s="17" t="n">
        <f aca="false">AVERAGE(O746:Q746)</f>
        <v>0</v>
      </c>
      <c r="U746" s="18" t="str">
        <f aca="false">IF(T746&gt;=$H$3,"Eligible","Not Eligible")</f>
        <v>Not Eligible</v>
      </c>
      <c r="V746" s="19" t="n">
        <f aca="false">IF(T746&lt;$H$3,0,IFERROR(T746/SUMIF($T$5:$T$999,"&gt;="&amp;$H$3),0))</f>
        <v>0</v>
      </c>
      <c r="W746" s="15" t="str">
        <f aca="false">IF(T746=0,"Win-Back","Active")</f>
        <v>Win-Back</v>
      </c>
      <c r="X746" s="20" t="n">
        <f aca="false">IF(T746=0,0,IF(T746&gt;=$H$3,ROUND(T746*$D$3/SUMIF($T$5:$T$999,"&gt;="&amp;$H$3),0),ROUNDUP(T746*$D$3/SUMIF($T$5:$T$999,"&gt;="&amp;$H$3),0)))</f>
        <v>0</v>
      </c>
      <c r="Y746" s="21"/>
      <c r="Z746" s="16" t="str">
        <f aca="false">IF(X746=0,"",X746-Y746)</f>
        <v/>
      </c>
      <c r="AA746" s="22" t="str">
        <f aca="false">IFERROR(Y746/X746,"")</f>
        <v/>
      </c>
      <c r="AB746" s="16" t="n">
        <v>0</v>
      </c>
      <c r="AC746" s="21"/>
    </row>
    <row r="747" customFormat="false" ht="15" hidden="false" customHeight="true" outlineLevel="0" collapsed="false">
      <c r="A747" s="15" t="s">
        <v>7345</v>
      </c>
      <c r="B747" s="15" t="s">
        <v>7346</v>
      </c>
      <c r="C747" s="15" t="s">
        <v>7347</v>
      </c>
      <c r="D747" s="15" t="s">
        <v>7348</v>
      </c>
      <c r="E747" s="15" t="s">
        <v>7349</v>
      </c>
      <c r="F747" s="15" t="s">
        <v>7350</v>
      </c>
      <c r="G747" s="15" t="s">
        <v>7351</v>
      </c>
      <c r="H747" s="15" t="s">
        <v>7352</v>
      </c>
      <c r="I747" s="15"/>
      <c r="J747" s="15" t="s">
        <v>777</v>
      </c>
      <c r="K747" s="15" t="s">
        <v>70</v>
      </c>
      <c r="L747" s="15" t="s">
        <v>7353</v>
      </c>
      <c r="M747" s="15" t="s">
        <v>7354</v>
      </c>
      <c r="N747" s="15" t="s">
        <v>73</v>
      </c>
      <c r="O747" s="16" t="n">
        <v>0</v>
      </c>
      <c r="P747" s="16" t="n">
        <v>0</v>
      </c>
      <c r="Q747" s="16" t="n">
        <v>0</v>
      </c>
      <c r="R747" s="16" t="n">
        <v>0</v>
      </c>
      <c r="S747" s="16" t="n">
        <v>0</v>
      </c>
      <c r="T747" s="17" t="n">
        <f aca="false">AVERAGE(O747:Q747)</f>
        <v>0</v>
      </c>
      <c r="U747" s="18" t="str">
        <f aca="false">IF(T747&gt;=$H$3,"Eligible","Not Eligible")</f>
        <v>Not Eligible</v>
      </c>
      <c r="V747" s="19" t="n">
        <f aca="false">IF(T747&lt;$H$3,0,IFERROR(T747/SUMIF($T$5:$T$999,"&gt;="&amp;$H$3),0))</f>
        <v>0</v>
      </c>
      <c r="W747" s="15" t="str">
        <f aca="false">IF(T747=0,"Win-Back","Active")</f>
        <v>Win-Back</v>
      </c>
      <c r="X747" s="20" t="n">
        <f aca="false">IF(T747=0,0,IF(T747&gt;=$H$3,ROUND(T747*$D$3/SUMIF($T$5:$T$999,"&gt;="&amp;$H$3),0),ROUNDUP(T747*$D$3/SUMIF($T$5:$T$999,"&gt;="&amp;$H$3),0)))</f>
        <v>0</v>
      </c>
      <c r="Y747" s="21"/>
      <c r="Z747" s="16" t="str">
        <f aca="false">IF(X747=0,"",X747-Y747)</f>
        <v/>
      </c>
      <c r="AA747" s="22" t="str">
        <f aca="false">IFERROR(Y747/X747,"")</f>
        <v/>
      </c>
      <c r="AB747" s="16" t="n">
        <v>0</v>
      </c>
      <c r="AC747" s="21"/>
    </row>
    <row r="748" customFormat="false" ht="15" hidden="false" customHeight="true" outlineLevel="0" collapsed="false">
      <c r="A748" s="15"/>
      <c r="B748" s="15"/>
      <c r="C748" s="15" t="s">
        <v>7355</v>
      </c>
      <c r="D748" s="15" t="s">
        <v>7356</v>
      </c>
      <c r="E748" s="15" t="s">
        <v>7357</v>
      </c>
      <c r="F748" s="15"/>
      <c r="G748" s="15"/>
      <c r="H748" s="15" t="s">
        <v>7358</v>
      </c>
      <c r="I748" s="15"/>
      <c r="J748" s="15" t="s">
        <v>7359</v>
      </c>
      <c r="K748" s="15" t="s">
        <v>2839</v>
      </c>
      <c r="L748" s="15" t="s">
        <v>7360</v>
      </c>
      <c r="M748" s="15" t="s">
        <v>4617</v>
      </c>
      <c r="N748" s="15" t="s">
        <v>73</v>
      </c>
      <c r="O748" s="16" t="n">
        <v>0</v>
      </c>
      <c r="P748" s="16" t="n">
        <v>0</v>
      </c>
      <c r="Q748" s="16" t="n">
        <v>0</v>
      </c>
      <c r="R748" s="16" t="n">
        <v>0</v>
      </c>
      <c r="S748" s="16" t="n">
        <v>0</v>
      </c>
      <c r="T748" s="17" t="n">
        <f aca="false">AVERAGE(O748:Q748)</f>
        <v>0</v>
      </c>
      <c r="U748" s="18" t="str">
        <f aca="false">IF(T748&gt;=$H$3,"Eligible","Not Eligible")</f>
        <v>Not Eligible</v>
      </c>
      <c r="V748" s="19" t="n">
        <f aca="false">IF(T748&lt;$H$3,0,IFERROR(T748/SUMIF($T$5:$T$999,"&gt;="&amp;$H$3),0))</f>
        <v>0</v>
      </c>
      <c r="W748" s="15" t="str">
        <f aca="false">IF(T748=0,"Win-Back","Active")</f>
        <v>Win-Back</v>
      </c>
      <c r="X748" s="20" t="n">
        <f aca="false">IF(T748=0,0,IF(T748&gt;=$H$3,ROUND(T748*$D$3/SUMIF($T$5:$T$999,"&gt;="&amp;$H$3),0),ROUNDUP(T748*$D$3/SUMIF($T$5:$T$999,"&gt;="&amp;$H$3),0)))</f>
        <v>0</v>
      </c>
      <c r="Y748" s="21"/>
      <c r="Z748" s="16" t="str">
        <f aca="false">IF(X748=0,"",X748-Y748)</f>
        <v/>
      </c>
      <c r="AA748" s="22" t="str">
        <f aca="false">IFERROR(Y748/X748,"")</f>
        <v/>
      </c>
      <c r="AB748" s="16" t="n">
        <v>0</v>
      </c>
      <c r="AC748" s="21"/>
    </row>
    <row r="749" customFormat="false" ht="15" hidden="false" customHeight="true" outlineLevel="0" collapsed="false">
      <c r="A749" s="15" t="s">
        <v>7361</v>
      </c>
      <c r="B749" s="15" t="s">
        <v>7362</v>
      </c>
      <c r="C749" s="15" t="s">
        <v>7363</v>
      </c>
      <c r="D749" s="15" t="s">
        <v>7364</v>
      </c>
      <c r="E749" s="15" t="s">
        <v>2150</v>
      </c>
      <c r="F749" s="15" t="s">
        <v>2151</v>
      </c>
      <c r="G749" s="15" t="s">
        <v>2152</v>
      </c>
      <c r="H749" s="15" t="s">
        <v>7365</v>
      </c>
      <c r="I749" s="15"/>
      <c r="J749" s="15" t="s">
        <v>7366</v>
      </c>
      <c r="K749" s="15" t="s">
        <v>735</v>
      </c>
      <c r="L749" s="15" t="s">
        <v>7367</v>
      </c>
      <c r="M749" s="15" t="s">
        <v>7368</v>
      </c>
      <c r="N749" s="15" t="s">
        <v>73</v>
      </c>
      <c r="O749" s="16" t="n">
        <v>0</v>
      </c>
      <c r="P749" s="16" t="n">
        <v>0</v>
      </c>
      <c r="Q749" s="16" t="n">
        <v>0</v>
      </c>
      <c r="R749" s="16" t="n">
        <v>0</v>
      </c>
      <c r="S749" s="16" t="n">
        <v>0</v>
      </c>
      <c r="T749" s="17" t="n">
        <f aca="false">AVERAGE(O749:Q749)</f>
        <v>0</v>
      </c>
      <c r="U749" s="18" t="str">
        <f aca="false">IF(T749&gt;=$H$3,"Eligible","Not Eligible")</f>
        <v>Not Eligible</v>
      </c>
      <c r="V749" s="19" t="n">
        <f aca="false">IF(T749&lt;$H$3,0,IFERROR(T749/SUMIF($T$5:$T$999,"&gt;="&amp;$H$3),0))</f>
        <v>0</v>
      </c>
      <c r="W749" s="15" t="str">
        <f aca="false">IF(T749=0,"Win-Back","Active")</f>
        <v>Win-Back</v>
      </c>
      <c r="X749" s="20" t="n">
        <f aca="false">IF(T749=0,0,IF(T749&gt;=$H$3,ROUND(T749*$D$3/SUMIF($T$5:$T$999,"&gt;="&amp;$H$3),0),ROUNDUP(T749*$D$3/SUMIF($T$5:$T$999,"&gt;="&amp;$H$3),0)))</f>
        <v>0</v>
      </c>
      <c r="Y749" s="21"/>
      <c r="Z749" s="16" t="str">
        <f aca="false">IF(X749=0,"",X749-Y749)</f>
        <v/>
      </c>
      <c r="AA749" s="22" t="str">
        <f aca="false">IFERROR(Y749/X749,"")</f>
        <v/>
      </c>
      <c r="AB749" s="16" t="n">
        <v>0</v>
      </c>
      <c r="AC749" s="21"/>
    </row>
    <row r="750" customFormat="false" ht="15" hidden="false" customHeight="true" outlineLevel="0" collapsed="false">
      <c r="A750" s="15" t="s">
        <v>7369</v>
      </c>
      <c r="B750" s="15" t="s">
        <v>7370</v>
      </c>
      <c r="C750" s="15" t="s">
        <v>7371</v>
      </c>
      <c r="D750" s="15" t="s">
        <v>7372</v>
      </c>
      <c r="E750" s="15" t="s">
        <v>7373</v>
      </c>
      <c r="F750" s="15" t="s">
        <v>7374</v>
      </c>
      <c r="G750" s="15" t="s">
        <v>7375</v>
      </c>
      <c r="H750" s="15" t="s">
        <v>7376</v>
      </c>
      <c r="I750" s="15"/>
      <c r="J750" s="15" t="s">
        <v>7377</v>
      </c>
      <c r="K750" s="15" t="s">
        <v>2839</v>
      </c>
      <c r="L750" s="15" t="s">
        <v>7378</v>
      </c>
      <c r="M750" s="15" t="s">
        <v>7379</v>
      </c>
      <c r="N750" s="15" t="s">
        <v>73</v>
      </c>
      <c r="O750" s="16" t="n">
        <v>0</v>
      </c>
      <c r="P750" s="16" t="n">
        <v>0</v>
      </c>
      <c r="Q750" s="16" t="n">
        <v>0</v>
      </c>
      <c r="R750" s="16" t="n">
        <v>0</v>
      </c>
      <c r="S750" s="16" t="n">
        <v>0</v>
      </c>
      <c r="T750" s="17" t="n">
        <f aca="false">AVERAGE(O750:Q750)</f>
        <v>0</v>
      </c>
      <c r="U750" s="18" t="str">
        <f aca="false">IF(T750&gt;=$H$3,"Eligible","Not Eligible")</f>
        <v>Not Eligible</v>
      </c>
      <c r="V750" s="19" t="n">
        <f aca="false">IF(T750&lt;$H$3,0,IFERROR(T750/SUMIF($T$5:$T$999,"&gt;="&amp;$H$3),0))</f>
        <v>0</v>
      </c>
      <c r="W750" s="15" t="str">
        <f aca="false">IF(T750=0,"Win-Back","Active")</f>
        <v>Win-Back</v>
      </c>
      <c r="X750" s="20" t="n">
        <f aca="false">IF(T750=0,0,IF(T750&gt;=$H$3,ROUND(T750*$D$3/SUMIF($T$5:$T$999,"&gt;="&amp;$H$3),0),ROUNDUP(T750*$D$3/SUMIF($T$5:$T$999,"&gt;="&amp;$H$3),0)))</f>
        <v>0</v>
      </c>
      <c r="Y750" s="21"/>
      <c r="Z750" s="16" t="str">
        <f aca="false">IF(X750=0,"",X750-Y750)</f>
        <v/>
      </c>
      <c r="AA750" s="22" t="str">
        <f aca="false">IFERROR(Y750/X750,"")</f>
        <v/>
      </c>
      <c r="AB750" s="16" t="n">
        <v>0</v>
      </c>
      <c r="AC750" s="21"/>
    </row>
    <row r="751" customFormat="false" ht="15" hidden="false" customHeight="true" outlineLevel="0" collapsed="false">
      <c r="A751" s="15" t="s">
        <v>7380</v>
      </c>
      <c r="B751" s="15" t="s">
        <v>7381</v>
      </c>
      <c r="C751" s="15" t="s">
        <v>7382</v>
      </c>
      <c r="D751" s="15" t="s">
        <v>7383</v>
      </c>
      <c r="E751" s="15" t="s">
        <v>7384</v>
      </c>
      <c r="F751" s="15" t="s">
        <v>7385</v>
      </c>
      <c r="G751" s="15" t="s">
        <v>7386</v>
      </c>
      <c r="H751" s="15" t="s">
        <v>7387</v>
      </c>
      <c r="I751" s="15"/>
      <c r="J751" s="15" t="s">
        <v>689</v>
      </c>
      <c r="K751" s="15" t="s">
        <v>47</v>
      </c>
      <c r="L751" s="15" t="s">
        <v>1751</v>
      </c>
      <c r="M751" s="15" t="s">
        <v>7388</v>
      </c>
      <c r="N751" s="15" t="s">
        <v>73</v>
      </c>
      <c r="O751" s="16" t="n">
        <v>0</v>
      </c>
      <c r="P751" s="16" t="n">
        <v>0</v>
      </c>
      <c r="Q751" s="16" t="n">
        <v>0</v>
      </c>
      <c r="R751" s="16" t="n">
        <v>0</v>
      </c>
      <c r="S751" s="16" t="n">
        <v>0</v>
      </c>
      <c r="T751" s="17" t="n">
        <f aca="false">AVERAGE(O751:Q751)</f>
        <v>0</v>
      </c>
      <c r="U751" s="18" t="str">
        <f aca="false">IF(T751&gt;=$H$3,"Eligible","Not Eligible")</f>
        <v>Not Eligible</v>
      </c>
      <c r="V751" s="19" t="n">
        <f aca="false">IF(T751&lt;$H$3,0,IFERROR(T751/SUMIF($T$5:$T$999,"&gt;="&amp;$H$3),0))</f>
        <v>0</v>
      </c>
      <c r="W751" s="15" t="str">
        <f aca="false">IF(T751=0,"Win-Back","Active")</f>
        <v>Win-Back</v>
      </c>
      <c r="X751" s="20" t="n">
        <f aca="false">IF(T751=0,0,IF(T751&gt;=$H$3,ROUND(T751*$D$3/SUMIF($T$5:$T$999,"&gt;="&amp;$H$3),0),ROUNDUP(T751*$D$3/SUMIF($T$5:$T$999,"&gt;="&amp;$H$3),0)))</f>
        <v>0</v>
      </c>
      <c r="Y751" s="21"/>
      <c r="Z751" s="16" t="str">
        <f aca="false">IF(X751=0,"",X751-Y751)</f>
        <v/>
      </c>
      <c r="AA751" s="22" t="str">
        <f aca="false">IFERROR(Y751/X751,"")</f>
        <v/>
      </c>
      <c r="AB751" s="16" t="n">
        <v>0</v>
      </c>
      <c r="AC751" s="21"/>
    </row>
    <row r="752" customFormat="false" ht="15" hidden="false" customHeight="true" outlineLevel="0" collapsed="false">
      <c r="A752" s="15" t="s">
        <v>7389</v>
      </c>
      <c r="B752" s="15" t="s">
        <v>7390</v>
      </c>
      <c r="C752" s="15" t="s">
        <v>7391</v>
      </c>
      <c r="D752" s="15" t="s">
        <v>7392</v>
      </c>
      <c r="E752" s="15" t="s">
        <v>7393</v>
      </c>
      <c r="F752" s="15" t="s">
        <v>7394</v>
      </c>
      <c r="G752" s="15" t="s">
        <v>7395</v>
      </c>
      <c r="H752" s="15" t="s">
        <v>7396</v>
      </c>
      <c r="I752" s="15"/>
      <c r="J752" s="15" t="s">
        <v>689</v>
      </c>
      <c r="K752" s="15" t="s">
        <v>47</v>
      </c>
      <c r="L752" s="15" t="s">
        <v>1751</v>
      </c>
      <c r="M752" s="15" t="s">
        <v>7397</v>
      </c>
      <c r="N752" s="15" t="s">
        <v>73</v>
      </c>
      <c r="O752" s="16" t="n">
        <v>0</v>
      </c>
      <c r="P752" s="16" t="n">
        <v>0</v>
      </c>
      <c r="Q752" s="16" t="n">
        <v>0</v>
      </c>
      <c r="R752" s="16" t="n">
        <v>0</v>
      </c>
      <c r="S752" s="16" t="n">
        <v>0</v>
      </c>
      <c r="T752" s="17" t="n">
        <f aca="false">AVERAGE(O752:Q752)</f>
        <v>0</v>
      </c>
      <c r="U752" s="18" t="str">
        <f aca="false">IF(T752&gt;=$H$3,"Eligible","Not Eligible")</f>
        <v>Not Eligible</v>
      </c>
      <c r="V752" s="19" t="n">
        <f aca="false">IF(T752&lt;$H$3,0,IFERROR(T752/SUMIF($T$5:$T$999,"&gt;="&amp;$H$3),0))</f>
        <v>0</v>
      </c>
      <c r="W752" s="15" t="str">
        <f aca="false">IF(T752=0,"Win-Back","Active")</f>
        <v>Win-Back</v>
      </c>
      <c r="X752" s="20" t="n">
        <f aca="false">IF(T752=0,0,IF(T752&gt;=$H$3,ROUND(T752*$D$3/SUMIF($T$5:$T$999,"&gt;="&amp;$H$3),0),ROUNDUP(T752*$D$3/SUMIF($T$5:$T$999,"&gt;="&amp;$H$3),0)))</f>
        <v>0</v>
      </c>
      <c r="Y752" s="21"/>
      <c r="Z752" s="16" t="str">
        <f aca="false">IF(X752=0,"",X752-Y752)</f>
        <v/>
      </c>
      <c r="AA752" s="22" t="str">
        <f aca="false">IFERROR(Y752/X752,"")</f>
        <v/>
      </c>
      <c r="AB752" s="16" t="n">
        <v>0</v>
      </c>
      <c r="AC752" s="21"/>
    </row>
    <row r="753" customFormat="false" ht="15" hidden="false" customHeight="true" outlineLevel="0" collapsed="false">
      <c r="A753" s="15" t="s">
        <v>7398</v>
      </c>
      <c r="B753" s="15" t="s">
        <v>7399</v>
      </c>
      <c r="C753" s="15" t="s">
        <v>7400</v>
      </c>
      <c r="D753" s="15" t="s">
        <v>7401</v>
      </c>
      <c r="E753" s="15" t="s">
        <v>7402</v>
      </c>
      <c r="F753" s="15" t="s">
        <v>7403</v>
      </c>
      <c r="G753" s="15" t="s">
        <v>7404</v>
      </c>
      <c r="H753" s="15" t="s">
        <v>7405</v>
      </c>
      <c r="I753" s="15" t="s">
        <v>968</v>
      </c>
      <c r="J753" s="15" t="s">
        <v>7406</v>
      </c>
      <c r="K753" s="15" t="s">
        <v>864</v>
      </c>
      <c r="L753" s="15" t="s">
        <v>7407</v>
      </c>
      <c r="M753" s="15" t="s">
        <v>7408</v>
      </c>
      <c r="N753" s="15" t="s">
        <v>73</v>
      </c>
      <c r="O753" s="16" t="n">
        <v>0</v>
      </c>
      <c r="P753" s="16" t="n">
        <v>0</v>
      </c>
      <c r="Q753" s="16" t="n">
        <v>0</v>
      </c>
      <c r="R753" s="16" t="n">
        <v>0</v>
      </c>
      <c r="S753" s="16" t="n">
        <v>0</v>
      </c>
      <c r="T753" s="17" t="n">
        <f aca="false">AVERAGE(O753:Q753)</f>
        <v>0</v>
      </c>
      <c r="U753" s="18" t="str">
        <f aca="false">IF(T753&gt;=$H$3,"Eligible","Not Eligible")</f>
        <v>Not Eligible</v>
      </c>
      <c r="V753" s="19" t="n">
        <f aca="false">IF(T753&lt;$H$3,0,IFERROR(T753/SUMIF($T$5:$T$999,"&gt;="&amp;$H$3),0))</f>
        <v>0</v>
      </c>
      <c r="W753" s="15" t="str">
        <f aca="false">IF(T753=0,"Win-Back","Active")</f>
        <v>Win-Back</v>
      </c>
      <c r="X753" s="20" t="n">
        <f aca="false">IF(T753=0,0,IF(T753&gt;=$H$3,ROUND(T753*$D$3/SUMIF($T$5:$T$999,"&gt;="&amp;$H$3),0),ROUNDUP(T753*$D$3/SUMIF($T$5:$T$999,"&gt;="&amp;$H$3),0)))</f>
        <v>0</v>
      </c>
      <c r="Y753" s="21"/>
      <c r="Z753" s="16" t="str">
        <f aca="false">IF(X753=0,"",X753-Y753)</f>
        <v/>
      </c>
      <c r="AA753" s="22" t="str">
        <f aca="false">IFERROR(Y753/X753,"")</f>
        <v/>
      </c>
      <c r="AB753" s="16" t="n">
        <v>0</v>
      </c>
      <c r="AC753" s="21"/>
    </row>
    <row r="754" customFormat="false" ht="15" hidden="false" customHeight="true" outlineLevel="0" collapsed="false">
      <c r="A754" s="15" t="s">
        <v>7409</v>
      </c>
      <c r="B754" s="15" t="s">
        <v>7410</v>
      </c>
      <c r="C754" s="15" t="s">
        <v>7411</v>
      </c>
      <c r="D754" s="15" t="s">
        <v>7412</v>
      </c>
      <c r="E754" s="15" t="s">
        <v>7413</v>
      </c>
      <c r="F754" s="15" t="s">
        <v>7414</v>
      </c>
      <c r="G754" s="15" t="s">
        <v>7415</v>
      </c>
      <c r="H754" s="15" t="s">
        <v>7416</v>
      </c>
      <c r="I754" s="15"/>
      <c r="J754" s="15" t="s">
        <v>3668</v>
      </c>
      <c r="K754" s="15" t="s">
        <v>3669</v>
      </c>
      <c r="L754" s="15" t="s">
        <v>7417</v>
      </c>
      <c r="M754" s="15" t="s">
        <v>7418</v>
      </c>
      <c r="N754" s="15" t="s">
        <v>73</v>
      </c>
      <c r="O754" s="16" t="n">
        <v>0</v>
      </c>
      <c r="P754" s="16" t="n">
        <v>0</v>
      </c>
      <c r="Q754" s="16" t="n">
        <v>0</v>
      </c>
      <c r="R754" s="16" t="n">
        <v>0</v>
      </c>
      <c r="S754" s="16" t="n">
        <v>0</v>
      </c>
      <c r="T754" s="17" t="n">
        <f aca="false">AVERAGE(O754:Q754)</f>
        <v>0</v>
      </c>
      <c r="U754" s="18" t="str">
        <f aca="false">IF(T754&gt;=$H$3,"Eligible","Not Eligible")</f>
        <v>Not Eligible</v>
      </c>
      <c r="V754" s="19" t="n">
        <f aca="false">IF(T754&lt;$H$3,0,IFERROR(T754/SUMIF($T$5:$T$999,"&gt;="&amp;$H$3),0))</f>
        <v>0</v>
      </c>
      <c r="W754" s="15" t="str">
        <f aca="false">IF(T754=0,"Win-Back","Active")</f>
        <v>Win-Back</v>
      </c>
      <c r="X754" s="20" t="n">
        <f aca="false">IF(T754=0,0,IF(T754&gt;=$H$3,ROUND(T754*$D$3/SUMIF($T$5:$T$999,"&gt;="&amp;$H$3),0),ROUNDUP(T754*$D$3/SUMIF($T$5:$T$999,"&gt;="&amp;$H$3),0)))</f>
        <v>0</v>
      </c>
      <c r="Y754" s="21" t="n">
        <v>1</v>
      </c>
      <c r="Z754" s="16" t="str">
        <f aca="false">IF(X754=0,"",X754-Y754)</f>
        <v/>
      </c>
      <c r="AA754" s="22" t="str">
        <f aca="false">IFERROR(Y754/X754,"")</f>
        <v/>
      </c>
      <c r="AB754" s="16" t="n">
        <v>0</v>
      </c>
      <c r="AC754" s="21"/>
    </row>
    <row r="755" customFormat="false" ht="15" hidden="false" customHeight="true" outlineLevel="0" collapsed="false">
      <c r="A755" s="15" t="s">
        <v>7419</v>
      </c>
      <c r="B755" s="15" t="s">
        <v>7420</v>
      </c>
      <c r="C755" s="15" t="s">
        <v>7421</v>
      </c>
      <c r="D755" s="15" t="s">
        <v>7422</v>
      </c>
      <c r="E755" s="15" t="s">
        <v>2150</v>
      </c>
      <c r="F755" s="15" t="s">
        <v>7423</v>
      </c>
      <c r="G755" s="15" t="s">
        <v>2152</v>
      </c>
      <c r="H755" s="15" t="s">
        <v>7424</v>
      </c>
      <c r="I755" s="15"/>
      <c r="J755" s="15" t="s">
        <v>7425</v>
      </c>
      <c r="K755" s="15" t="s">
        <v>735</v>
      </c>
      <c r="L755" s="15" t="s">
        <v>7426</v>
      </c>
      <c r="M755" s="15" t="s">
        <v>2156</v>
      </c>
      <c r="N755" s="15" t="s">
        <v>73</v>
      </c>
      <c r="O755" s="16" t="n">
        <v>0</v>
      </c>
      <c r="P755" s="16" t="n">
        <v>0</v>
      </c>
      <c r="Q755" s="16" t="n">
        <v>0</v>
      </c>
      <c r="R755" s="16" t="n">
        <v>0</v>
      </c>
      <c r="S755" s="16" t="n">
        <v>0</v>
      </c>
      <c r="T755" s="17" t="n">
        <f aca="false">AVERAGE(O755:Q755)</f>
        <v>0</v>
      </c>
      <c r="U755" s="18" t="str">
        <f aca="false">IF(T755&gt;=$H$3,"Eligible","Not Eligible")</f>
        <v>Not Eligible</v>
      </c>
      <c r="V755" s="19" t="n">
        <f aca="false">IF(T755&lt;$H$3,0,IFERROR(T755/SUMIF($T$5:$T$999,"&gt;="&amp;$H$3),0))</f>
        <v>0</v>
      </c>
      <c r="W755" s="15" t="str">
        <f aca="false">IF(T755=0,"Win-Back","Active")</f>
        <v>Win-Back</v>
      </c>
      <c r="X755" s="20" t="n">
        <f aca="false">IF(T755=0,0,IF(T755&gt;=$H$3,ROUND(T755*$D$3/SUMIF($T$5:$T$999,"&gt;="&amp;$H$3),0),ROUNDUP(T755*$D$3/SUMIF($T$5:$T$999,"&gt;="&amp;$H$3),0)))</f>
        <v>0</v>
      </c>
      <c r="Y755" s="21"/>
      <c r="Z755" s="16" t="str">
        <f aca="false">IF(X755=0,"",X755-Y755)</f>
        <v/>
      </c>
      <c r="AA755" s="22" t="str">
        <f aca="false">IFERROR(Y755/X755,"")</f>
        <v/>
      </c>
      <c r="AB755" s="16" t="n">
        <v>0</v>
      </c>
      <c r="AC755" s="21"/>
    </row>
    <row r="756" customFormat="false" ht="15" hidden="false" customHeight="true" outlineLevel="0" collapsed="false">
      <c r="A756" s="15" t="s">
        <v>7427</v>
      </c>
      <c r="B756" s="15" t="s">
        <v>7428</v>
      </c>
      <c r="C756" s="15" t="s">
        <v>7429</v>
      </c>
      <c r="D756" s="15" t="s">
        <v>7430</v>
      </c>
      <c r="E756" s="15" t="s">
        <v>7431</v>
      </c>
      <c r="F756" s="15" t="s">
        <v>7432</v>
      </c>
      <c r="G756" s="15" t="s">
        <v>2490</v>
      </c>
      <c r="H756" s="15" t="s">
        <v>7433</v>
      </c>
      <c r="I756" s="15"/>
      <c r="J756" s="15" t="s">
        <v>2261</v>
      </c>
      <c r="K756" s="15" t="s">
        <v>1418</v>
      </c>
      <c r="L756" s="15" t="s">
        <v>7434</v>
      </c>
      <c r="M756" s="15" t="s">
        <v>2494</v>
      </c>
      <c r="N756" s="15" t="s">
        <v>73</v>
      </c>
      <c r="O756" s="16" t="n">
        <v>0</v>
      </c>
      <c r="P756" s="16" t="n">
        <v>0</v>
      </c>
      <c r="Q756" s="16" t="n">
        <v>0</v>
      </c>
      <c r="R756" s="16" t="n">
        <v>0</v>
      </c>
      <c r="S756" s="16" t="n">
        <v>0</v>
      </c>
      <c r="T756" s="17" t="n">
        <f aca="false">AVERAGE(O756:Q756)</f>
        <v>0</v>
      </c>
      <c r="U756" s="18" t="str">
        <f aca="false">IF(T756&gt;=$H$3,"Eligible","Not Eligible")</f>
        <v>Not Eligible</v>
      </c>
      <c r="V756" s="19" t="n">
        <f aca="false">IF(T756&lt;$H$3,0,IFERROR(T756/SUMIF($T$5:$T$999,"&gt;="&amp;$H$3),0))</f>
        <v>0</v>
      </c>
      <c r="W756" s="15" t="str">
        <f aca="false">IF(T756=0,"Win-Back","Active")</f>
        <v>Win-Back</v>
      </c>
      <c r="X756" s="20" t="n">
        <f aca="false">IF(T756=0,0,IF(T756&gt;=$H$3,ROUND(T756*$D$3/SUMIF($T$5:$T$999,"&gt;="&amp;$H$3),0),ROUNDUP(T756*$D$3/SUMIF($T$5:$T$999,"&gt;="&amp;$H$3),0)))</f>
        <v>0</v>
      </c>
      <c r="Y756" s="21"/>
      <c r="Z756" s="16" t="str">
        <f aca="false">IF(X756=0,"",X756-Y756)</f>
        <v/>
      </c>
      <c r="AA756" s="22" t="str">
        <f aca="false">IFERROR(Y756/X756,"")</f>
        <v/>
      </c>
      <c r="AB756" s="16" t="n">
        <v>0</v>
      </c>
      <c r="AC756" s="21"/>
    </row>
    <row r="757" customFormat="false" ht="15" hidden="false" customHeight="true" outlineLevel="0" collapsed="false">
      <c r="A757" s="15" t="s">
        <v>7435</v>
      </c>
      <c r="B757" s="15" t="s">
        <v>7436</v>
      </c>
      <c r="C757" s="15" t="s">
        <v>7437</v>
      </c>
      <c r="D757" s="15" t="s">
        <v>7438</v>
      </c>
      <c r="E757" s="15" t="s">
        <v>7439</v>
      </c>
      <c r="F757" s="15" t="s">
        <v>7440</v>
      </c>
      <c r="G757" s="15" t="s">
        <v>7441</v>
      </c>
      <c r="H757" s="15" t="s">
        <v>7442</v>
      </c>
      <c r="I757" s="15"/>
      <c r="J757" s="15" t="s">
        <v>5929</v>
      </c>
      <c r="K757" s="15" t="s">
        <v>5930</v>
      </c>
      <c r="L757" s="15" t="s">
        <v>7443</v>
      </c>
      <c r="M757" s="15" t="s">
        <v>7444</v>
      </c>
      <c r="N757" s="15" t="s">
        <v>73</v>
      </c>
      <c r="O757" s="16" t="n">
        <v>0</v>
      </c>
      <c r="P757" s="16" t="n">
        <v>0</v>
      </c>
      <c r="Q757" s="16" t="n">
        <v>0</v>
      </c>
      <c r="R757" s="16" t="n">
        <v>0</v>
      </c>
      <c r="S757" s="16" t="n">
        <v>0</v>
      </c>
      <c r="T757" s="17" t="n">
        <f aca="false">AVERAGE(O757:Q757)</f>
        <v>0</v>
      </c>
      <c r="U757" s="18" t="str">
        <f aca="false">IF(T757&gt;=$H$3,"Eligible","Not Eligible")</f>
        <v>Not Eligible</v>
      </c>
      <c r="V757" s="19" t="n">
        <f aca="false">IF(T757&lt;$H$3,0,IFERROR(T757/SUMIF($T$5:$T$999,"&gt;="&amp;$H$3),0))</f>
        <v>0</v>
      </c>
      <c r="W757" s="15" t="str">
        <f aca="false">IF(T757=0,"Win-Back","Active")</f>
        <v>Win-Back</v>
      </c>
      <c r="X757" s="20" t="n">
        <f aca="false">IF(T757=0,0,IF(T757&gt;=$H$3,ROUND(T757*$D$3/SUMIF($T$5:$T$999,"&gt;="&amp;$H$3),0),ROUNDUP(T757*$D$3/SUMIF($T$5:$T$999,"&gt;="&amp;$H$3),0)))</f>
        <v>0</v>
      </c>
      <c r="Y757" s="21"/>
      <c r="Z757" s="16" t="str">
        <f aca="false">IF(X757=0,"",X757-Y757)</f>
        <v/>
      </c>
      <c r="AA757" s="22" t="str">
        <f aca="false">IFERROR(Y757/X757,"")</f>
        <v/>
      </c>
      <c r="AB757" s="16" t="n">
        <v>0</v>
      </c>
      <c r="AC757" s="21"/>
    </row>
    <row r="758" customFormat="false" ht="15" hidden="false" customHeight="true" outlineLevel="0" collapsed="false">
      <c r="A758" s="15" t="s">
        <v>7445</v>
      </c>
      <c r="B758" s="15" t="s">
        <v>7446</v>
      </c>
      <c r="C758" s="15" t="s">
        <v>7447</v>
      </c>
      <c r="D758" s="15" t="s">
        <v>7448</v>
      </c>
      <c r="E758" s="15" t="s">
        <v>590</v>
      </c>
      <c r="F758" s="15" t="s">
        <v>6767</v>
      </c>
      <c r="G758" s="15" t="s">
        <v>592</v>
      </c>
      <c r="H758" s="15" t="s">
        <v>7449</v>
      </c>
      <c r="I758" s="15"/>
      <c r="J758" s="15" t="s">
        <v>7450</v>
      </c>
      <c r="K758" s="15" t="s">
        <v>368</v>
      </c>
      <c r="L758" s="15" t="s">
        <v>6774</v>
      </c>
      <c r="M758" s="15" t="s">
        <v>596</v>
      </c>
      <c r="N758" s="15" t="s">
        <v>73</v>
      </c>
      <c r="O758" s="16" t="n">
        <v>0</v>
      </c>
      <c r="P758" s="16" t="n">
        <v>0</v>
      </c>
      <c r="Q758" s="16" t="n">
        <v>0</v>
      </c>
      <c r="R758" s="16" t="n">
        <v>0</v>
      </c>
      <c r="S758" s="16" t="n">
        <v>0</v>
      </c>
      <c r="T758" s="17" t="n">
        <f aca="false">AVERAGE(O758:Q758)</f>
        <v>0</v>
      </c>
      <c r="U758" s="18" t="str">
        <f aca="false">IF(T758&gt;=$H$3,"Eligible","Not Eligible")</f>
        <v>Not Eligible</v>
      </c>
      <c r="V758" s="19" t="n">
        <f aca="false">IF(T758&lt;$H$3,0,IFERROR(T758/SUMIF($T$5:$T$999,"&gt;="&amp;$H$3),0))</f>
        <v>0</v>
      </c>
      <c r="W758" s="15" t="str">
        <f aca="false">IF(T758=0,"Win-Back","Active")</f>
        <v>Win-Back</v>
      </c>
      <c r="X758" s="20" t="n">
        <f aca="false">IF(T758=0,0,IF(T758&gt;=$H$3,ROUND(T758*$D$3/SUMIF($T$5:$T$999,"&gt;="&amp;$H$3),0),ROUNDUP(T758*$D$3/SUMIF($T$5:$T$999,"&gt;="&amp;$H$3),0)))</f>
        <v>0</v>
      </c>
      <c r="Y758" s="21"/>
      <c r="Z758" s="16" t="str">
        <f aca="false">IF(X758=0,"",X758-Y758)</f>
        <v/>
      </c>
      <c r="AA758" s="22" t="str">
        <f aca="false">IFERROR(Y758/X758,"")</f>
        <v/>
      </c>
      <c r="AB758" s="16" t="n">
        <v>0</v>
      </c>
      <c r="AC758" s="21"/>
    </row>
    <row r="759" customFormat="false" ht="15" hidden="false" customHeight="true" outlineLevel="0" collapsed="false">
      <c r="A759" s="15" t="s">
        <v>7451</v>
      </c>
      <c r="B759" s="15" t="s">
        <v>7452</v>
      </c>
      <c r="C759" s="15" t="s">
        <v>7453</v>
      </c>
      <c r="D759" s="15" t="s">
        <v>7454</v>
      </c>
      <c r="E759" s="15" t="s">
        <v>7455</v>
      </c>
      <c r="F759" s="15" t="s">
        <v>7456</v>
      </c>
      <c r="G759" s="15" t="s">
        <v>7457</v>
      </c>
      <c r="H759" s="15" t="s">
        <v>7458</v>
      </c>
      <c r="I759" s="15"/>
      <c r="J759" s="15" t="s">
        <v>2688</v>
      </c>
      <c r="K759" s="15" t="s">
        <v>368</v>
      </c>
      <c r="L759" s="15" t="s">
        <v>2689</v>
      </c>
      <c r="M759" s="15" t="s">
        <v>7459</v>
      </c>
      <c r="N759" s="15" t="s">
        <v>73</v>
      </c>
      <c r="O759" s="16" t="n">
        <v>0</v>
      </c>
      <c r="P759" s="16" t="n">
        <v>0</v>
      </c>
      <c r="Q759" s="16" t="n">
        <v>0</v>
      </c>
      <c r="R759" s="16" t="n">
        <v>0</v>
      </c>
      <c r="S759" s="16" t="n">
        <v>0</v>
      </c>
      <c r="T759" s="17" t="n">
        <f aca="false">AVERAGE(O759:Q759)</f>
        <v>0</v>
      </c>
      <c r="U759" s="18" t="str">
        <f aca="false">IF(T759&gt;=$H$3,"Eligible","Not Eligible")</f>
        <v>Not Eligible</v>
      </c>
      <c r="V759" s="19" t="n">
        <f aca="false">IF(T759&lt;$H$3,0,IFERROR(T759/SUMIF($T$5:$T$999,"&gt;="&amp;$H$3),0))</f>
        <v>0</v>
      </c>
      <c r="W759" s="15" t="str">
        <f aca="false">IF(T759=0,"Win-Back","Active")</f>
        <v>Win-Back</v>
      </c>
      <c r="X759" s="20" t="n">
        <f aca="false">IF(T759=0,0,IF(T759&gt;=$H$3,ROUND(T759*$D$3/SUMIF($T$5:$T$999,"&gt;="&amp;$H$3),0),ROUNDUP(T759*$D$3/SUMIF($T$5:$T$999,"&gt;="&amp;$H$3),0)))</f>
        <v>0</v>
      </c>
      <c r="Y759" s="21"/>
      <c r="Z759" s="16" t="str">
        <f aca="false">IF(X759=0,"",X759-Y759)</f>
        <v/>
      </c>
      <c r="AA759" s="22" t="str">
        <f aca="false">IFERROR(Y759/X759,"")</f>
        <v/>
      </c>
      <c r="AB759" s="16" t="n">
        <v>0</v>
      </c>
      <c r="AC759" s="21"/>
    </row>
    <row r="760" customFormat="false" ht="15" hidden="false" customHeight="true" outlineLevel="0" collapsed="false">
      <c r="A760" s="15" t="s">
        <v>7460</v>
      </c>
      <c r="B760" s="15" t="s">
        <v>7461</v>
      </c>
      <c r="C760" s="15" t="s">
        <v>7462</v>
      </c>
      <c r="D760" s="15" t="s">
        <v>7463</v>
      </c>
      <c r="E760" s="15" t="s">
        <v>7464</v>
      </c>
      <c r="F760" s="15" t="s">
        <v>7465</v>
      </c>
      <c r="G760" s="15" t="s">
        <v>7466</v>
      </c>
      <c r="H760" s="15" t="s">
        <v>7467</v>
      </c>
      <c r="I760" s="15" t="s">
        <v>968</v>
      </c>
      <c r="J760" s="15" t="s">
        <v>3668</v>
      </c>
      <c r="K760" s="15" t="s">
        <v>3669</v>
      </c>
      <c r="L760" s="15" t="s">
        <v>4010</v>
      </c>
      <c r="M760" s="15" t="s">
        <v>7468</v>
      </c>
      <c r="N760" s="15" t="s">
        <v>73</v>
      </c>
      <c r="O760" s="16" t="n">
        <v>0</v>
      </c>
      <c r="P760" s="16" t="n">
        <v>0</v>
      </c>
      <c r="Q760" s="16" t="n">
        <v>0</v>
      </c>
      <c r="R760" s="16" t="n">
        <v>0</v>
      </c>
      <c r="S760" s="16" t="n">
        <v>0</v>
      </c>
      <c r="T760" s="17" t="n">
        <f aca="false">AVERAGE(O760:Q760)</f>
        <v>0</v>
      </c>
      <c r="U760" s="18" t="str">
        <f aca="false">IF(T760&gt;=$H$3,"Eligible","Not Eligible")</f>
        <v>Not Eligible</v>
      </c>
      <c r="V760" s="19" t="n">
        <f aca="false">IF(T760&lt;$H$3,0,IFERROR(T760/SUMIF($T$5:$T$999,"&gt;="&amp;$H$3),0))</f>
        <v>0</v>
      </c>
      <c r="W760" s="15" t="str">
        <f aca="false">IF(T760=0,"Win-Back","Active")</f>
        <v>Win-Back</v>
      </c>
      <c r="X760" s="20" t="n">
        <f aca="false">IF(T760=0,0,IF(T760&gt;=$H$3,ROUND(T760*$D$3/SUMIF($T$5:$T$999,"&gt;="&amp;$H$3),0),ROUNDUP(T760*$D$3/SUMIF($T$5:$T$999,"&gt;="&amp;$H$3),0)))</f>
        <v>0</v>
      </c>
      <c r="Y760" s="21"/>
      <c r="Z760" s="16" t="str">
        <f aca="false">IF(X760=0,"",X760-Y760)</f>
        <v/>
      </c>
      <c r="AA760" s="22" t="str">
        <f aca="false">IFERROR(Y760/X760,"")</f>
        <v/>
      </c>
      <c r="AB760" s="16" t="n">
        <v>0</v>
      </c>
      <c r="AC760" s="21"/>
    </row>
    <row r="761" customFormat="false" ht="15" hidden="false" customHeight="true" outlineLevel="0" collapsed="false">
      <c r="A761" s="15" t="s">
        <v>7469</v>
      </c>
      <c r="B761" s="15" t="s">
        <v>7470</v>
      </c>
      <c r="C761" s="15" t="s">
        <v>7471</v>
      </c>
      <c r="D761" s="15" t="s">
        <v>7472</v>
      </c>
      <c r="E761" s="15" t="s">
        <v>7473</v>
      </c>
      <c r="F761" s="15"/>
      <c r="G761" s="15"/>
      <c r="H761" s="15" t="s">
        <v>7474</v>
      </c>
      <c r="I761" s="15"/>
      <c r="J761" s="15" t="s">
        <v>7475</v>
      </c>
      <c r="K761" s="15" t="s">
        <v>2143</v>
      </c>
      <c r="L761" s="15" t="s">
        <v>7476</v>
      </c>
      <c r="M761" s="15" t="s">
        <v>4617</v>
      </c>
      <c r="N761" s="15" t="s">
        <v>73</v>
      </c>
      <c r="O761" s="16" t="n">
        <v>0</v>
      </c>
      <c r="P761" s="16" t="n">
        <v>0</v>
      </c>
      <c r="Q761" s="16" t="n">
        <v>0</v>
      </c>
      <c r="R761" s="16" t="n">
        <v>0</v>
      </c>
      <c r="S761" s="16" t="n">
        <v>0</v>
      </c>
      <c r="T761" s="17" t="n">
        <f aca="false">AVERAGE(O761:Q761)</f>
        <v>0</v>
      </c>
      <c r="U761" s="18" t="str">
        <f aca="false">IF(T761&gt;=$H$3,"Eligible","Not Eligible")</f>
        <v>Not Eligible</v>
      </c>
      <c r="V761" s="19" t="n">
        <f aca="false">IF(T761&lt;$H$3,0,IFERROR(T761/SUMIF($T$5:$T$999,"&gt;="&amp;$H$3),0))</f>
        <v>0</v>
      </c>
      <c r="W761" s="15" t="str">
        <f aca="false">IF(T761=0,"Win-Back","Active")</f>
        <v>Win-Back</v>
      </c>
      <c r="X761" s="20" t="n">
        <f aca="false">IF(T761=0,0,IF(T761&gt;=$H$3,ROUND(T761*$D$3/SUMIF($T$5:$T$999,"&gt;="&amp;$H$3),0),ROUNDUP(T761*$D$3/SUMIF($T$5:$T$999,"&gt;="&amp;$H$3),0)))</f>
        <v>0</v>
      </c>
      <c r="Y761" s="21"/>
      <c r="Z761" s="16" t="str">
        <f aca="false">IF(X761=0,"",X761-Y761)</f>
        <v/>
      </c>
      <c r="AA761" s="22" t="str">
        <f aca="false">IFERROR(Y761/X761,"")</f>
        <v/>
      </c>
      <c r="AB761" s="16" t="n">
        <v>0</v>
      </c>
      <c r="AC761" s="21"/>
    </row>
    <row r="762" customFormat="false" ht="15" hidden="false" customHeight="true" outlineLevel="0" collapsed="false">
      <c r="A762" s="15" t="s">
        <v>7477</v>
      </c>
      <c r="B762" s="15" t="s">
        <v>7478</v>
      </c>
      <c r="C762" s="15" t="s">
        <v>7479</v>
      </c>
      <c r="D762" s="15" t="s">
        <v>7480</v>
      </c>
      <c r="E762" s="15" t="s">
        <v>7481</v>
      </c>
      <c r="F762" s="15" t="s">
        <v>7482</v>
      </c>
      <c r="G762" s="15" t="s">
        <v>7483</v>
      </c>
      <c r="H762" s="15" t="s">
        <v>7484</v>
      </c>
      <c r="I762" s="15"/>
      <c r="J762" s="15" t="s">
        <v>379</v>
      </c>
      <c r="K762" s="15" t="s">
        <v>368</v>
      </c>
      <c r="L762" s="15" t="s">
        <v>380</v>
      </c>
      <c r="M762" s="15" t="s">
        <v>7485</v>
      </c>
      <c r="N762" s="15" t="s">
        <v>73</v>
      </c>
      <c r="O762" s="16" t="n">
        <v>0</v>
      </c>
      <c r="P762" s="16" t="n">
        <v>0</v>
      </c>
      <c r="Q762" s="16" t="n">
        <v>0</v>
      </c>
      <c r="R762" s="16" t="n">
        <v>0</v>
      </c>
      <c r="S762" s="16" t="n">
        <v>0</v>
      </c>
      <c r="T762" s="17" t="n">
        <f aca="false">AVERAGE(O762:Q762)</f>
        <v>0</v>
      </c>
      <c r="U762" s="18" t="str">
        <f aca="false">IF(T762&gt;=$H$3,"Eligible","Not Eligible")</f>
        <v>Not Eligible</v>
      </c>
      <c r="V762" s="19" t="n">
        <f aca="false">IF(T762&lt;$H$3,0,IFERROR(T762/SUMIF($T$5:$T$999,"&gt;="&amp;$H$3),0))</f>
        <v>0</v>
      </c>
      <c r="W762" s="15" t="str">
        <f aca="false">IF(T762=0,"Win-Back","Active")</f>
        <v>Win-Back</v>
      </c>
      <c r="X762" s="20" t="n">
        <f aca="false">IF(T762=0,0,IF(T762&gt;=$H$3,ROUND(T762*$D$3/SUMIF($T$5:$T$999,"&gt;="&amp;$H$3),0),ROUNDUP(T762*$D$3/SUMIF($T$5:$T$999,"&gt;="&amp;$H$3),0)))</f>
        <v>0</v>
      </c>
      <c r="Y762" s="21"/>
      <c r="Z762" s="16" t="str">
        <f aca="false">IF(X762=0,"",X762-Y762)</f>
        <v/>
      </c>
      <c r="AA762" s="22" t="str">
        <f aca="false">IFERROR(Y762/X762,"")</f>
        <v/>
      </c>
      <c r="AB762" s="16" t="n">
        <v>0</v>
      </c>
      <c r="AC762" s="21"/>
    </row>
    <row r="763" customFormat="false" ht="15" hidden="false" customHeight="true" outlineLevel="0" collapsed="false">
      <c r="A763" s="15" t="s">
        <v>7486</v>
      </c>
      <c r="B763" s="15" t="s">
        <v>7487</v>
      </c>
      <c r="C763" s="15" t="s">
        <v>7488</v>
      </c>
      <c r="D763" s="15" t="s">
        <v>7489</v>
      </c>
      <c r="E763" s="15" t="s">
        <v>7490</v>
      </c>
      <c r="F763" s="15" t="s">
        <v>7491</v>
      </c>
      <c r="G763" s="15" t="s">
        <v>7492</v>
      </c>
      <c r="H763" s="15" t="s">
        <v>7493</v>
      </c>
      <c r="I763" s="15"/>
      <c r="J763" s="15" t="s">
        <v>2878</v>
      </c>
      <c r="K763" s="15" t="s">
        <v>563</v>
      </c>
      <c r="L763" s="15" t="s">
        <v>7494</v>
      </c>
      <c r="M763" s="15" t="s">
        <v>7495</v>
      </c>
      <c r="N763" s="15" t="s">
        <v>73</v>
      </c>
      <c r="O763" s="16" t="n">
        <v>0</v>
      </c>
      <c r="P763" s="16" t="n">
        <v>0</v>
      </c>
      <c r="Q763" s="16" t="n">
        <v>0</v>
      </c>
      <c r="R763" s="16" t="n">
        <v>0</v>
      </c>
      <c r="S763" s="16" t="n">
        <v>0</v>
      </c>
      <c r="T763" s="17" t="n">
        <f aca="false">AVERAGE(O763:Q763)</f>
        <v>0</v>
      </c>
      <c r="U763" s="18" t="str">
        <f aca="false">IF(T763&gt;=$H$3,"Eligible","Not Eligible")</f>
        <v>Not Eligible</v>
      </c>
      <c r="V763" s="19" t="n">
        <f aca="false">IF(T763&lt;$H$3,0,IFERROR(T763/SUMIF($T$5:$T$999,"&gt;="&amp;$H$3),0))</f>
        <v>0</v>
      </c>
      <c r="W763" s="15" t="str">
        <f aca="false">IF(T763=0,"Win-Back","Active")</f>
        <v>Win-Back</v>
      </c>
      <c r="X763" s="20" t="n">
        <f aca="false">IF(T763=0,0,IF(T763&gt;=$H$3,ROUND(T763*$D$3/SUMIF($T$5:$T$999,"&gt;="&amp;$H$3),0),ROUNDUP(T763*$D$3/SUMIF($T$5:$T$999,"&gt;="&amp;$H$3),0)))</f>
        <v>0</v>
      </c>
      <c r="Y763" s="21"/>
      <c r="Z763" s="16" t="str">
        <f aca="false">IF(X763=0,"",X763-Y763)</f>
        <v/>
      </c>
      <c r="AA763" s="22" t="str">
        <f aca="false">IFERROR(Y763/X763,"")</f>
        <v/>
      </c>
      <c r="AB763" s="16" t="n">
        <v>0</v>
      </c>
      <c r="AC763" s="21"/>
    </row>
    <row r="764" customFormat="false" ht="15" hidden="false" customHeight="true" outlineLevel="0" collapsed="false">
      <c r="A764" s="15" t="s">
        <v>7496</v>
      </c>
      <c r="B764" s="15" t="s">
        <v>7497</v>
      </c>
      <c r="C764" s="15" t="s">
        <v>7498</v>
      </c>
      <c r="D764" s="15" t="s">
        <v>7499</v>
      </c>
      <c r="E764" s="15" t="s">
        <v>7500</v>
      </c>
      <c r="F764" s="15" t="s">
        <v>7501</v>
      </c>
      <c r="G764" s="15" t="s">
        <v>7502</v>
      </c>
      <c r="H764" s="15" t="s">
        <v>7503</v>
      </c>
      <c r="I764" s="15" t="s">
        <v>186</v>
      </c>
      <c r="J764" s="15" t="s">
        <v>7504</v>
      </c>
      <c r="K764" s="15" t="s">
        <v>2816</v>
      </c>
      <c r="L764" s="15" t="s">
        <v>7505</v>
      </c>
      <c r="M764" s="15" t="s">
        <v>7506</v>
      </c>
      <c r="N764" s="15" t="s">
        <v>73</v>
      </c>
      <c r="O764" s="16" t="n">
        <v>0</v>
      </c>
      <c r="P764" s="16" t="n">
        <v>0</v>
      </c>
      <c r="Q764" s="16" t="n">
        <v>0</v>
      </c>
      <c r="R764" s="16" t="n">
        <v>0</v>
      </c>
      <c r="S764" s="16" t="n">
        <v>0</v>
      </c>
      <c r="T764" s="17" t="n">
        <f aca="false">AVERAGE(O764:Q764)</f>
        <v>0</v>
      </c>
      <c r="U764" s="18" t="str">
        <f aca="false">IF(T764&gt;=$H$3,"Eligible","Not Eligible")</f>
        <v>Not Eligible</v>
      </c>
      <c r="V764" s="19" t="n">
        <f aca="false">IF(T764&lt;$H$3,0,IFERROR(T764/SUMIF($T$5:$T$999,"&gt;="&amp;$H$3),0))</f>
        <v>0</v>
      </c>
      <c r="W764" s="15" t="str">
        <f aca="false">IF(T764=0,"Win-Back","Active")</f>
        <v>Win-Back</v>
      </c>
      <c r="X764" s="20" t="n">
        <f aca="false">IF(T764=0,0,IF(T764&gt;=$H$3,ROUND(T764*$D$3/SUMIF($T$5:$T$999,"&gt;="&amp;$H$3),0),ROUNDUP(T764*$D$3/SUMIF($T$5:$T$999,"&gt;="&amp;$H$3),0)))</f>
        <v>0</v>
      </c>
      <c r="Y764" s="21"/>
      <c r="Z764" s="16" t="str">
        <f aca="false">IF(X764=0,"",X764-Y764)</f>
        <v/>
      </c>
      <c r="AA764" s="22" t="str">
        <f aca="false">IFERROR(Y764/X764,"")</f>
        <v/>
      </c>
      <c r="AB764" s="16" t="n">
        <v>0</v>
      </c>
      <c r="AC764" s="21"/>
    </row>
    <row r="765" customFormat="false" ht="15" hidden="false" customHeight="true" outlineLevel="0" collapsed="false">
      <c r="A765" s="15" t="s">
        <v>7507</v>
      </c>
      <c r="B765" s="15" t="s">
        <v>7508</v>
      </c>
      <c r="C765" s="15" t="s">
        <v>7509</v>
      </c>
      <c r="D765" s="15" t="s">
        <v>7510</v>
      </c>
      <c r="E765" s="15" t="s">
        <v>7511</v>
      </c>
      <c r="F765" s="15" t="s">
        <v>7512</v>
      </c>
      <c r="G765" s="15" t="s">
        <v>7513</v>
      </c>
      <c r="H765" s="15" t="s">
        <v>7514</v>
      </c>
      <c r="I765" s="15" t="s">
        <v>2130</v>
      </c>
      <c r="J765" s="15" t="s">
        <v>7515</v>
      </c>
      <c r="K765" s="15" t="s">
        <v>368</v>
      </c>
      <c r="L765" s="15" t="s">
        <v>7516</v>
      </c>
      <c r="M765" s="15" t="s">
        <v>7517</v>
      </c>
      <c r="N765" s="15" t="s">
        <v>73</v>
      </c>
      <c r="O765" s="16" t="n">
        <v>0</v>
      </c>
      <c r="P765" s="16" t="n">
        <v>0</v>
      </c>
      <c r="Q765" s="16" t="n">
        <v>0</v>
      </c>
      <c r="R765" s="16" t="n">
        <v>0</v>
      </c>
      <c r="S765" s="16" t="n">
        <v>0</v>
      </c>
      <c r="T765" s="17" t="n">
        <f aca="false">AVERAGE(O765:Q765)</f>
        <v>0</v>
      </c>
      <c r="U765" s="18" t="str">
        <f aca="false">IF(T765&gt;=$H$3,"Eligible","Not Eligible")</f>
        <v>Not Eligible</v>
      </c>
      <c r="V765" s="19" t="n">
        <f aca="false">IF(T765&lt;$H$3,0,IFERROR(T765/SUMIF($T$5:$T$999,"&gt;="&amp;$H$3),0))</f>
        <v>0</v>
      </c>
      <c r="W765" s="15" t="str">
        <f aca="false">IF(T765=0,"Win-Back","Active")</f>
        <v>Win-Back</v>
      </c>
      <c r="X765" s="20" t="n">
        <f aca="false">IF(T765=0,0,IF(T765&gt;=$H$3,ROUND(T765*$D$3/SUMIF($T$5:$T$999,"&gt;="&amp;$H$3),0),ROUNDUP(T765*$D$3/SUMIF($T$5:$T$999,"&gt;="&amp;$H$3),0)))</f>
        <v>0</v>
      </c>
      <c r="Y765" s="21"/>
      <c r="Z765" s="16" t="str">
        <f aca="false">IF(X765=0,"",X765-Y765)</f>
        <v/>
      </c>
      <c r="AA765" s="22" t="str">
        <f aca="false">IFERROR(Y765/X765,"")</f>
        <v/>
      </c>
      <c r="AB765" s="16" t="n">
        <v>0</v>
      </c>
      <c r="AC765" s="21"/>
    </row>
    <row r="766" customFormat="false" ht="15" hidden="false" customHeight="true" outlineLevel="0" collapsed="false">
      <c r="A766" s="15" t="s">
        <v>7518</v>
      </c>
      <c r="B766" s="15" t="s">
        <v>7519</v>
      </c>
      <c r="C766" s="15" t="s">
        <v>7520</v>
      </c>
      <c r="D766" s="15" t="s">
        <v>7521</v>
      </c>
      <c r="E766" s="15" t="s">
        <v>7522</v>
      </c>
      <c r="F766" s="15" t="s">
        <v>7523</v>
      </c>
      <c r="G766" s="15" t="s">
        <v>7524</v>
      </c>
      <c r="H766" s="15" t="s">
        <v>7525</v>
      </c>
      <c r="I766" s="15"/>
      <c r="J766" s="15" t="s">
        <v>7526</v>
      </c>
      <c r="K766" s="15" t="s">
        <v>70</v>
      </c>
      <c r="L766" s="15" t="s">
        <v>7527</v>
      </c>
      <c r="M766" s="15" t="s">
        <v>7528</v>
      </c>
      <c r="N766" s="15" t="s">
        <v>73</v>
      </c>
      <c r="O766" s="16" t="n">
        <v>0</v>
      </c>
      <c r="P766" s="16" t="n">
        <v>0</v>
      </c>
      <c r="Q766" s="16" t="n">
        <v>0</v>
      </c>
      <c r="R766" s="16" t="n">
        <v>0</v>
      </c>
      <c r="S766" s="16" t="n">
        <v>0</v>
      </c>
      <c r="T766" s="17" t="n">
        <f aca="false">AVERAGE(O766:Q766)</f>
        <v>0</v>
      </c>
      <c r="U766" s="18" t="str">
        <f aca="false">IF(T766&gt;=$H$3,"Eligible","Not Eligible")</f>
        <v>Not Eligible</v>
      </c>
      <c r="V766" s="19" t="n">
        <f aca="false">IF(T766&lt;$H$3,0,IFERROR(T766/SUMIF($T$5:$T$999,"&gt;="&amp;$H$3),0))</f>
        <v>0</v>
      </c>
      <c r="W766" s="15" t="str">
        <f aca="false">IF(T766=0,"Win-Back","Active")</f>
        <v>Win-Back</v>
      </c>
      <c r="X766" s="20" t="n">
        <f aca="false">IF(T766=0,0,IF(T766&gt;=$H$3,ROUND(T766*$D$3/SUMIF($T$5:$T$999,"&gt;="&amp;$H$3),0),ROUNDUP(T766*$D$3/SUMIF($T$5:$T$999,"&gt;="&amp;$H$3),0)))</f>
        <v>0</v>
      </c>
      <c r="Y766" s="21"/>
      <c r="Z766" s="16" t="str">
        <f aca="false">IF(X766=0,"",X766-Y766)</f>
        <v/>
      </c>
      <c r="AA766" s="22" t="str">
        <f aca="false">IFERROR(Y766/X766,"")</f>
        <v/>
      </c>
      <c r="AB766" s="16" t="n">
        <v>0</v>
      </c>
      <c r="AC766" s="21"/>
    </row>
    <row r="767" customFormat="false" ht="15" hidden="false" customHeight="true" outlineLevel="0" collapsed="false">
      <c r="A767" s="15" t="s">
        <v>7529</v>
      </c>
      <c r="B767" s="15" t="s">
        <v>7530</v>
      </c>
      <c r="C767" s="15" t="s">
        <v>7531</v>
      </c>
      <c r="D767" s="15" t="s">
        <v>7532</v>
      </c>
      <c r="E767" s="15" t="s">
        <v>7533</v>
      </c>
      <c r="F767" s="15" t="s">
        <v>7534</v>
      </c>
      <c r="G767" s="15" t="s">
        <v>7535</v>
      </c>
      <c r="H767" s="15" t="s">
        <v>7536</v>
      </c>
      <c r="I767" s="15"/>
      <c r="J767" s="15" t="s">
        <v>4487</v>
      </c>
      <c r="K767" s="15" t="s">
        <v>1255</v>
      </c>
      <c r="L767" s="15" t="s">
        <v>7537</v>
      </c>
      <c r="M767" s="15" t="s">
        <v>7538</v>
      </c>
      <c r="N767" s="15" t="s">
        <v>73</v>
      </c>
      <c r="O767" s="16" t="n">
        <v>0</v>
      </c>
      <c r="P767" s="16" t="n">
        <v>0</v>
      </c>
      <c r="Q767" s="16" t="n">
        <v>0</v>
      </c>
      <c r="R767" s="16" t="n">
        <v>0</v>
      </c>
      <c r="S767" s="16" t="n">
        <v>0</v>
      </c>
      <c r="T767" s="17" t="n">
        <f aca="false">AVERAGE(O767:Q767)</f>
        <v>0</v>
      </c>
      <c r="U767" s="18" t="str">
        <f aca="false">IF(T767&gt;=$H$3,"Eligible","Not Eligible")</f>
        <v>Not Eligible</v>
      </c>
      <c r="V767" s="19" t="n">
        <f aca="false">IF(T767&lt;$H$3,0,IFERROR(T767/SUMIF($T$5:$T$999,"&gt;="&amp;$H$3),0))</f>
        <v>0</v>
      </c>
      <c r="W767" s="15" t="str">
        <f aca="false">IF(T767=0,"Win-Back","Active")</f>
        <v>Win-Back</v>
      </c>
      <c r="X767" s="20" t="n">
        <f aca="false">IF(T767=0,0,IF(T767&gt;=$H$3,ROUND(T767*$D$3/SUMIF($T$5:$T$999,"&gt;="&amp;$H$3),0),ROUNDUP(T767*$D$3/SUMIF($T$5:$T$999,"&gt;="&amp;$H$3),0)))</f>
        <v>0</v>
      </c>
      <c r="Y767" s="21"/>
      <c r="Z767" s="16" t="str">
        <f aca="false">IF(X767=0,"",X767-Y767)</f>
        <v/>
      </c>
      <c r="AA767" s="22" t="str">
        <f aca="false">IFERROR(Y767/X767,"")</f>
        <v/>
      </c>
      <c r="AB767" s="16" t="n">
        <v>0</v>
      </c>
      <c r="AC767" s="21"/>
    </row>
    <row r="768" customFormat="false" ht="15" hidden="false" customHeight="true" outlineLevel="0" collapsed="false">
      <c r="A768" s="15" t="s">
        <v>7539</v>
      </c>
      <c r="B768" s="15" t="s">
        <v>7540</v>
      </c>
      <c r="C768" s="15" t="s">
        <v>7541</v>
      </c>
      <c r="D768" s="15" t="s">
        <v>7542</v>
      </c>
      <c r="E768" s="15" t="s">
        <v>7543</v>
      </c>
      <c r="F768" s="15" t="s">
        <v>7544</v>
      </c>
      <c r="G768" s="15" t="s">
        <v>7545</v>
      </c>
      <c r="H768" s="15" t="s">
        <v>7546</v>
      </c>
      <c r="I768" s="15" t="s">
        <v>2921</v>
      </c>
      <c r="J768" s="15" t="s">
        <v>4107</v>
      </c>
      <c r="K768" s="15" t="s">
        <v>2557</v>
      </c>
      <c r="L768" s="15" t="s">
        <v>7547</v>
      </c>
      <c r="M768" s="15" t="s">
        <v>7548</v>
      </c>
      <c r="N768" s="15" t="s">
        <v>73</v>
      </c>
      <c r="O768" s="16" t="n">
        <v>0</v>
      </c>
      <c r="P768" s="16" t="n">
        <v>0</v>
      </c>
      <c r="Q768" s="16" t="n">
        <v>0</v>
      </c>
      <c r="R768" s="16" t="n">
        <v>0</v>
      </c>
      <c r="S768" s="16" t="n">
        <v>0</v>
      </c>
      <c r="T768" s="17" t="n">
        <f aca="false">AVERAGE(O768:Q768)</f>
        <v>0</v>
      </c>
      <c r="U768" s="18" t="str">
        <f aca="false">IF(T768&gt;=$H$3,"Eligible","Not Eligible")</f>
        <v>Not Eligible</v>
      </c>
      <c r="V768" s="19" t="n">
        <f aca="false">IF(T768&lt;$H$3,0,IFERROR(T768/SUMIF($T$5:$T$999,"&gt;="&amp;$H$3),0))</f>
        <v>0</v>
      </c>
      <c r="W768" s="15" t="str">
        <f aca="false">IF(T768=0,"Win-Back","Active")</f>
        <v>Win-Back</v>
      </c>
      <c r="X768" s="20" t="n">
        <f aca="false">IF(T768=0,0,IF(T768&gt;=$H$3,ROUND(T768*$D$3/SUMIF($T$5:$T$999,"&gt;="&amp;$H$3),0),ROUNDUP(T768*$D$3/SUMIF($T$5:$T$999,"&gt;="&amp;$H$3),0)))</f>
        <v>0</v>
      </c>
      <c r="Y768" s="21"/>
      <c r="Z768" s="16" t="str">
        <f aca="false">IF(X768=0,"",X768-Y768)</f>
        <v/>
      </c>
      <c r="AA768" s="22" t="str">
        <f aca="false">IFERROR(Y768/X768,"")</f>
        <v/>
      </c>
      <c r="AB768" s="16" t="n">
        <v>0</v>
      </c>
      <c r="AC768" s="21"/>
    </row>
    <row r="769" customFormat="false" ht="15" hidden="false" customHeight="true" outlineLevel="0" collapsed="false">
      <c r="A769" s="15" t="s">
        <v>7549</v>
      </c>
      <c r="B769" s="15" t="s">
        <v>7550</v>
      </c>
      <c r="C769" s="15" t="s">
        <v>7551</v>
      </c>
      <c r="D769" s="15" t="s">
        <v>7552</v>
      </c>
      <c r="E769" s="15" t="s">
        <v>7553</v>
      </c>
      <c r="F769" s="15" t="s">
        <v>7554</v>
      </c>
      <c r="G769" s="15" t="s">
        <v>7555</v>
      </c>
      <c r="H769" s="15" t="s">
        <v>7556</v>
      </c>
      <c r="I769" s="15"/>
      <c r="J769" s="15" t="s">
        <v>7557</v>
      </c>
      <c r="K769" s="15" t="s">
        <v>678</v>
      </c>
      <c r="L769" s="15" t="s">
        <v>7558</v>
      </c>
      <c r="M769" s="15" t="s">
        <v>7559</v>
      </c>
      <c r="N769" s="15" t="s">
        <v>73</v>
      </c>
      <c r="O769" s="16" t="n">
        <v>0</v>
      </c>
      <c r="P769" s="16" t="n">
        <v>0</v>
      </c>
      <c r="Q769" s="16" t="n">
        <v>0</v>
      </c>
      <c r="R769" s="16" t="n">
        <v>0</v>
      </c>
      <c r="S769" s="16" t="n">
        <v>0</v>
      </c>
      <c r="T769" s="17" t="n">
        <f aca="false">AVERAGE(O769:Q769)</f>
        <v>0</v>
      </c>
      <c r="U769" s="18" t="str">
        <f aca="false">IF(T769&gt;=$H$3,"Eligible","Not Eligible")</f>
        <v>Not Eligible</v>
      </c>
      <c r="V769" s="19" t="n">
        <f aca="false">IF(T769&lt;$H$3,0,IFERROR(T769/SUMIF($T$5:$T$999,"&gt;="&amp;$H$3),0))</f>
        <v>0</v>
      </c>
      <c r="W769" s="15" t="str">
        <f aca="false">IF(T769=0,"Win-Back","Active")</f>
        <v>Win-Back</v>
      </c>
      <c r="X769" s="20" t="n">
        <f aca="false">IF(T769=0,0,IF(T769&gt;=$H$3,ROUND(T769*$D$3/SUMIF($T$5:$T$999,"&gt;="&amp;$H$3),0),ROUNDUP(T769*$D$3/SUMIF($T$5:$T$999,"&gt;="&amp;$H$3),0)))</f>
        <v>0</v>
      </c>
      <c r="Y769" s="21"/>
      <c r="Z769" s="16" t="str">
        <f aca="false">IF(X769=0,"",X769-Y769)</f>
        <v/>
      </c>
      <c r="AA769" s="22" t="str">
        <f aca="false">IFERROR(Y769/X769,"")</f>
        <v/>
      </c>
      <c r="AB769" s="16" t="n">
        <v>0</v>
      </c>
      <c r="AC769" s="21"/>
    </row>
    <row r="770" customFormat="false" ht="15" hidden="false" customHeight="true" outlineLevel="0" collapsed="false">
      <c r="A770" s="15" t="s">
        <v>7560</v>
      </c>
      <c r="B770" s="15" t="s">
        <v>7561</v>
      </c>
      <c r="C770" s="15" t="s">
        <v>7562</v>
      </c>
      <c r="D770" s="15" t="s">
        <v>7122</v>
      </c>
      <c r="E770" s="15" t="s">
        <v>7123</v>
      </c>
      <c r="F770" s="15" t="s">
        <v>7563</v>
      </c>
      <c r="G770" s="15" t="s">
        <v>7029</v>
      </c>
      <c r="H770" s="15" t="s">
        <v>7564</v>
      </c>
      <c r="I770" s="15"/>
      <c r="J770" s="15" t="s">
        <v>2861</v>
      </c>
      <c r="K770" s="15" t="s">
        <v>368</v>
      </c>
      <c r="L770" s="15" t="s">
        <v>2862</v>
      </c>
      <c r="M770" s="15" t="s">
        <v>7031</v>
      </c>
      <c r="N770" s="15" t="s">
        <v>73</v>
      </c>
      <c r="O770" s="16" t="n">
        <v>0</v>
      </c>
      <c r="P770" s="16" t="n">
        <v>0</v>
      </c>
      <c r="Q770" s="16" t="n">
        <v>0</v>
      </c>
      <c r="R770" s="16" t="n">
        <v>0</v>
      </c>
      <c r="S770" s="16" t="n">
        <v>0</v>
      </c>
      <c r="T770" s="17" t="n">
        <f aca="false">AVERAGE(O770:Q770)</f>
        <v>0</v>
      </c>
      <c r="U770" s="18" t="str">
        <f aca="false">IF(T770&gt;=$H$3,"Eligible","Not Eligible")</f>
        <v>Not Eligible</v>
      </c>
      <c r="V770" s="19" t="n">
        <f aca="false">IF(T770&lt;$H$3,0,IFERROR(T770/SUMIF($T$5:$T$999,"&gt;="&amp;$H$3),0))</f>
        <v>0</v>
      </c>
      <c r="W770" s="15" t="str">
        <f aca="false">IF(T770=0,"Win-Back","Active")</f>
        <v>Win-Back</v>
      </c>
      <c r="X770" s="20" t="n">
        <f aca="false">IF(T770=0,0,IF(T770&gt;=$H$3,ROUND(T770*$D$3/SUMIF($T$5:$T$999,"&gt;="&amp;$H$3),0),ROUNDUP(T770*$D$3/SUMIF($T$5:$T$999,"&gt;="&amp;$H$3),0)))</f>
        <v>0</v>
      </c>
      <c r="Y770" s="21"/>
      <c r="Z770" s="16" t="str">
        <f aca="false">IF(X770=0,"",X770-Y770)</f>
        <v/>
      </c>
      <c r="AA770" s="22" t="str">
        <f aca="false">IFERROR(Y770/X770,"")</f>
        <v/>
      </c>
      <c r="AB770" s="16" t="n">
        <v>0</v>
      </c>
      <c r="AC770" s="21"/>
    </row>
    <row r="771" customFormat="false" ht="15" hidden="false" customHeight="true" outlineLevel="0" collapsed="false">
      <c r="A771" s="15" t="s">
        <v>7565</v>
      </c>
      <c r="B771" s="15" t="s">
        <v>7566</v>
      </c>
      <c r="C771" s="15" t="s">
        <v>7567</v>
      </c>
      <c r="D771" s="15" t="s">
        <v>1518</v>
      </c>
      <c r="E771" s="15" t="s">
        <v>1519</v>
      </c>
      <c r="F771" s="15" t="s">
        <v>7568</v>
      </c>
      <c r="G771" s="15" t="s">
        <v>1521</v>
      </c>
      <c r="H771" s="15" t="s">
        <v>7569</v>
      </c>
      <c r="I771" s="15" t="s">
        <v>1997</v>
      </c>
      <c r="J771" s="15" t="s">
        <v>7366</v>
      </c>
      <c r="K771" s="15" t="s">
        <v>735</v>
      </c>
      <c r="L771" s="15" t="s">
        <v>7367</v>
      </c>
      <c r="M771" s="15" t="s">
        <v>1525</v>
      </c>
      <c r="N771" s="15" t="s">
        <v>73</v>
      </c>
      <c r="O771" s="16" t="n">
        <v>0</v>
      </c>
      <c r="P771" s="16" t="n">
        <v>0</v>
      </c>
      <c r="Q771" s="16" t="n">
        <v>0</v>
      </c>
      <c r="R771" s="16" t="n">
        <v>0</v>
      </c>
      <c r="S771" s="16" t="n">
        <v>0</v>
      </c>
      <c r="T771" s="17" t="n">
        <f aca="false">AVERAGE(O771:Q771)</f>
        <v>0</v>
      </c>
      <c r="U771" s="18" t="str">
        <f aca="false">IF(T771&gt;=$H$3,"Eligible","Not Eligible")</f>
        <v>Not Eligible</v>
      </c>
      <c r="V771" s="19" t="n">
        <f aca="false">IF(T771&lt;$H$3,0,IFERROR(T771/SUMIF($T$5:$T$999,"&gt;="&amp;$H$3),0))</f>
        <v>0</v>
      </c>
      <c r="W771" s="15" t="str">
        <f aca="false">IF(T771=0,"Win-Back","Active")</f>
        <v>Win-Back</v>
      </c>
      <c r="X771" s="20" t="n">
        <f aca="false">IF(T771=0,0,IF(T771&gt;=$H$3,ROUND(T771*$D$3/SUMIF($T$5:$T$999,"&gt;="&amp;$H$3),0),ROUNDUP(T771*$D$3/SUMIF($T$5:$T$999,"&gt;="&amp;$H$3),0)))</f>
        <v>0</v>
      </c>
      <c r="Y771" s="21"/>
      <c r="Z771" s="16" t="str">
        <f aca="false">IF(X771=0,"",X771-Y771)</f>
        <v/>
      </c>
      <c r="AA771" s="22" t="str">
        <f aca="false">IFERROR(Y771/X771,"")</f>
        <v/>
      </c>
      <c r="AB771" s="16" t="n">
        <v>0</v>
      </c>
      <c r="AC771" s="21"/>
    </row>
    <row r="772" customFormat="false" ht="15" hidden="false" customHeight="true" outlineLevel="0" collapsed="false">
      <c r="A772" s="15" t="s">
        <v>7570</v>
      </c>
      <c r="B772" s="15" t="s">
        <v>7571</v>
      </c>
      <c r="C772" s="15" t="s">
        <v>7572</v>
      </c>
      <c r="D772" s="15" t="s">
        <v>2125</v>
      </c>
      <c r="E772" s="15" t="s">
        <v>2126</v>
      </c>
      <c r="F772" s="15" t="s">
        <v>2127</v>
      </c>
      <c r="G772" s="15" t="s">
        <v>2128</v>
      </c>
      <c r="H772" s="15" t="s">
        <v>7573</v>
      </c>
      <c r="I772" s="15" t="s">
        <v>7574</v>
      </c>
      <c r="J772" s="15" t="s">
        <v>7575</v>
      </c>
      <c r="K772" s="15" t="s">
        <v>1255</v>
      </c>
      <c r="L772" s="15" t="s">
        <v>7576</v>
      </c>
      <c r="M772" s="15" t="s">
        <v>2133</v>
      </c>
      <c r="N772" s="15" t="s">
        <v>73</v>
      </c>
      <c r="O772" s="16" t="n">
        <v>0</v>
      </c>
      <c r="P772" s="16" t="n">
        <v>0</v>
      </c>
      <c r="Q772" s="16" t="n">
        <v>0</v>
      </c>
      <c r="R772" s="16" t="n">
        <v>0</v>
      </c>
      <c r="S772" s="16" t="n">
        <v>0</v>
      </c>
      <c r="T772" s="17" t="n">
        <f aca="false">AVERAGE(O772:Q772)</f>
        <v>0</v>
      </c>
      <c r="U772" s="18" t="str">
        <f aca="false">IF(T772&gt;=$H$3,"Eligible","Not Eligible")</f>
        <v>Not Eligible</v>
      </c>
      <c r="V772" s="19" t="n">
        <f aca="false">IF(T772&lt;$H$3,0,IFERROR(T772/SUMIF($T$5:$T$999,"&gt;="&amp;$H$3),0))</f>
        <v>0</v>
      </c>
      <c r="W772" s="15" t="str">
        <f aca="false">IF(T772=0,"Win-Back","Active")</f>
        <v>Win-Back</v>
      </c>
      <c r="X772" s="20" t="n">
        <f aca="false">IF(T772=0,0,IF(T772&gt;=$H$3,ROUND(T772*$D$3/SUMIF($T$5:$T$999,"&gt;="&amp;$H$3),0),ROUNDUP(T772*$D$3/SUMIF($T$5:$T$999,"&gt;="&amp;$H$3),0)))</f>
        <v>0</v>
      </c>
      <c r="Y772" s="21"/>
      <c r="Z772" s="16" t="str">
        <f aca="false">IF(X772=0,"",X772-Y772)</f>
        <v/>
      </c>
      <c r="AA772" s="22" t="str">
        <f aca="false">IFERROR(Y772/X772,"")</f>
        <v/>
      </c>
      <c r="AB772" s="16" t="n">
        <v>0</v>
      </c>
      <c r="AC772" s="21"/>
    </row>
    <row r="773" customFormat="false" ht="15" hidden="false" customHeight="true" outlineLevel="0" collapsed="false">
      <c r="A773" s="15" t="s">
        <v>7577</v>
      </c>
      <c r="B773" s="15" t="s">
        <v>7578</v>
      </c>
      <c r="C773" s="15" t="s">
        <v>7579</v>
      </c>
      <c r="D773" s="15" t="s">
        <v>7580</v>
      </c>
      <c r="E773" s="15" t="s">
        <v>4838</v>
      </c>
      <c r="F773" s="15" t="s">
        <v>7581</v>
      </c>
      <c r="G773" s="15" t="s">
        <v>4840</v>
      </c>
      <c r="H773" s="15" t="s">
        <v>7582</v>
      </c>
      <c r="I773" s="15"/>
      <c r="J773" s="15" t="s">
        <v>4842</v>
      </c>
      <c r="K773" s="15" t="s">
        <v>70</v>
      </c>
      <c r="L773" s="15" t="s">
        <v>7583</v>
      </c>
      <c r="M773" s="15" t="s">
        <v>4844</v>
      </c>
      <c r="N773" s="15" t="s">
        <v>73</v>
      </c>
      <c r="O773" s="16" t="n">
        <v>0</v>
      </c>
      <c r="P773" s="16" t="n">
        <v>0</v>
      </c>
      <c r="Q773" s="16" t="n">
        <v>0</v>
      </c>
      <c r="R773" s="16" t="n">
        <v>0</v>
      </c>
      <c r="S773" s="16" t="n">
        <v>0</v>
      </c>
      <c r="T773" s="17" t="n">
        <f aca="false">AVERAGE(O773:Q773)</f>
        <v>0</v>
      </c>
      <c r="U773" s="18" t="str">
        <f aca="false">IF(T773&gt;=$H$3,"Eligible","Not Eligible")</f>
        <v>Not Eligible</v>
      </c>
      <c r="V773" s="19" t="n">
        <f aca="false">IF(T773&lt;$H$3,0,IFERROR(T773/SUMIF($T$5:$T$999,"&gt;="&amp;$H$3),0))</f>
        <v>0</v>
      </c>
      <c r="W773" s="15" t="str">
        <f aca="false">IF(T773=0,"Win-Back","Active")</f>
        <v>Win-Back</v>
      </c>
      <c r="X773" s="20" t="n">
        <f aca="false">IF(T773=0,0,IF(T773&gt;=$H$3,ROUND(T773*$D$3/SUMIF($T$5:$T$999,"&gt;="&amp;$H$3),0),ROUNDUP(T773*$D$3/SUMIF($T$5:$T$999,"&gt;="&amp;$H$3),0)))</f>
        <v>0</v>
      </c>
      <c r="Y773" s="21"/>
      <c r="Z773" s="16" t="str">
        <f aca="false">IF(X773=0,"",X773-Y773)</f>
        <v/>
      </c>
      <c r="AA773" s="22" t="str">
        <f aca="false">IFERROR(Y773/X773,"")</f>
        <v/>
      </c>
      <c r="AB773" s="16" t="n">
        <v>0</v>
      </c>
      <c r="AC773" s="21"/>
    </row>
    <row r="774" customFormat="false" ht="15" hidden="false" customHeight="true" outlineLevel="0" collapsed="false">
      <c r="A774" s="15" t="s">
        <v>7584</v>
      </c>
      <c r="B774" s="15" t="s">
        <v>7585</v>
      </c>
      <c r="C774" s="15" t="s">
        <v>7586</v>
      </c>
      <c r="D774" s="15" t="s">
        <v>7587</v>
      </c>
      <c r="E774" s="15" t="s">
        <v>7588</v>
      </c>
      <c r="F774" s="15" t="s">
        <v>7589</v>
      </c>
      <c r="G774" s="15" t="s">
        <v>7590</v>
      </c>
      <c r="H774" s="15" t="s">
        <v>7591</v>
      </c>
      <c r="I774" s="15"/>
      <c r="J774" s="15" t="s">
        <v>7592</v>
      </c>
      <c r="K774" s="15" t="s">
        <v>70</v>
      </c>
      <c r="L774" s="15" t="s">
        <v>7593</v>
      </c>
      <c r="M774" s="15" t="s">
        <v>7594</v>
      </c>
      <c r="N774" s="15" t="s">
        <v>73</v>
      </c>
      <c r="O774" s="16" t="n">
        <v>0</v>
      </c>
      <c r="P774" s="16" t="n">
        <v>0</v>
      </c>
      <c r="Q774" s="16" t="n">
        <v>0</v>
      </c>
      <c r="R774" s="16" t="n">
        <v>0</v>
      </c>
      <c r="S774" s="16" t="n">
        <v>0</v>
      </c>
      <c r="T774" s="17" t="n">
        <f aca="false">AVERAGE(O774:Q774)</f>
        <v>0</v>
      </c>
      <c r="U774" s="18" t="str">
        <f aca="false">IF(T774&gt;=$H$3,"Eligible","Not Eligible")</f>
        <v>Not Eligible</v>
      </c>
      <c r="V774" s="19" t="n">
        <f aca="false">IF(T774&lt;$H$3,0,IFERROR(T774/SUMIF($T$5:$T$999,"&gt;="&amp;$H$3),0))</f>
        <v>0</v>
      </c>
      <c r="W774" s="15" t="str">
        <f aca="false">IF(T774=0,"Win-Back","Active")</f>
        <v>Win-Back</v>
      </c>
      <c r="X774" s="20" t="n">
        <f aca="false">IF(T774=0,0,IF(T774&gt;=$H$3,ROUND(T774*$D$3/SUMIF($T$5:$T$999,"&gt;="&amp;$H$3),0),ROUNDUP(T774*$D$3/SUMIF($T$5:$T$999,"&gt;="&amp;$H$3),0)))</f>
        <v>0</v>
      </c>
      <c r="Y774" s="21"/>
      <c r="Z774" s="16" t="str">
        <f aca="false">IF(X774=0,"",X774-Y774)</f>
        <v/>
      </c>
      <c r="AA774" s="22" t="str">
        <f aca="false">IFERROR(Y774/X774,"")</f>
        <v/>
      </c>
      <c r="AB774" s="16" t="n">
        <v>0</v>
      </c>
      <c r="AC774" s="21"/>
    </row>
    <row r="775" customFormat="false" ht="15" hidden="false" customHeight="true" outlineLevel="0" collapsed="false">
      <c r="A775" s="15" t="s">
        <v>7595</v>
      </c>
      <c r="B775" s="15" t="s">
        <v>7596</v>
      </c>
      <c r="C775" s="15" t="s">
        <v>7597</v>
      </c>
      <c r="D775" s="15" t="s">
        <v>7598</v>
      </c>
      <c r="E775" s="15" t="s">
        <v>7599</v>
      </c>
      <c r="F775" s="15" t="s">
        <v>7600</v>
      </c>
      <c r="G775" s="15" t="s">
        <v>7601</v>
      </c>
      <c r="H775" s="15" t="s">
        <v>7602</v>
      </c>
      <c r="I775" s="15" t="s">
        <v>7603</v>
      </c>
      <c r="J775" s="15" t="s">
        <v>4041</v>
      </c>
      <c r="K775" s="15" t="s">
        <v>368</v>
      </c>
      <c r="L775" s="15" t="s">
        <v>7604</v>
      </c>
      <c r="M775" s="15" t="s">
        <v>7605</v>
      </c>
      <c r="N775" s="15" t="s">
        <v>73</v>
      </c>
      <c r="O775" s="16" t="n">
        <v>0</v>
      </c>
      <c r="P775" s="16" t="n">
        <v>0</v>
      </c>
      <c r="Q775" s="16" t="n">
        <v>0</v>
      </c>
      <c r="R775" s="16" t="n">
        <v>0</v>
      </c>
      <c r="S775" s="16" t="n">
        <v>0</v>
      </c>
      <c r="T775" s="17" t="n">
        <f aca="false">AVERAGE(O775:Q775)</f>
        <v>0</v>
      </c>
      <c r="U775" s="18" t="str">
        <f aca="false">IF(T775&gt;=$H$3,"Eligible","Not Eligible")</f>
        <v>Not Eligible</v>
      </c>
      <c r="V775" s="19" t="n">
        <f aca="false">IF(T775&lt;$H$3,0,IFERROR(T775/SUMIF($T$5:$T$999,"&gt;="&amp;$H$3),0))</f>
        <v>0</v>
      </c>
      <c r="W775" s="15" t="str">
        <f aca="false">IF(T775=0,"Win-Back","Active")</f>
        <v>Win-Back</v>
      </c>
      <c r="X775" s="20" t="n">
        <f aca="false">IF(T775=0,0,IF(T775&gt;=$H$3,ROUND(T775*$D$3/SUMIF($T$5:$T$999,"&gt;="&amp;$H$3),0),ROUNDUP(T775*$D$3/SUMIF($T$5:$T$999,"&gt;="&amp;$H$3),0)))</f>
        <v>0</v>
      </c>
      <c r="Y775" s="21"/>
      <c r="Z775" s="16" t="str">
        <f aca="false">IF(X775=0,"",X775-Y775)</f>
        <v/>
      </c>
      <c r="AA775" s="22" t="str">
        <f aca="false">IFERROR(Y775/X775,"")</f>
        <v/>
      </c>
      <c r="AB775" s="16" t="n">
        <v>0</v>
      </c>
      <c r="AC775" s="21"/>
    </row>
    <row r="776" customFormat="false" ht="15" hidden="false" customHeight="true" outlineLevel="0" collapsed="false">
      <c r="A776" s="15" t="s">
        <v>7606</v>
      </c>
      <c r="B776" s="15" t="s">
        <v>7607</v>
      </c>
      <c r="C776" s="15" t="s">
        <v>7608</v>
      </c>
      <c r="D776" s="15" t="s">
        <v>7609</v>
      </c>
      <c r="E776" s="15" t="s">
        <v>7610</v>
      </c>
      <c r="F776" s="15" t="s">
        <v>7611</v>
      </c>
      <c r="G776" s="15" t="s">
        <v>7612</v>
      </c>
      <c r="H776" s="15" t="s">
        <v>7613</v>
      </c>
      <c r="I776" s="15" t="s">
        <v>1997</v>
      </c>
      <c r="J776" s="15" t="s">
        <v>7614</v>
      </c>
      <c r="K776" s="15" t="s">
        <v>368</v>
      </c>
      <c r="L776" s="15" t="s">
        <v>7615</v>
      </c>
      <c r="M776" s="15" t="s">
        <v>7616</v>
      </c>
      <c r="N776" s="15" t="s">
        <v>73</v>
      </c>
      <c r="O776" s="16" t="n">
        <v>0</v>
      </c>
      <c r="P776" s="16" t="n">
        <v>0</v>
      </c>
      <c r="Q776" s="16" t="n">
        <v>0</v>
      </c>
      <c r="R776" s="16" t="n">
        <v>0</v>
      </c>
      <c r="S776" s="16" t="n">
        <v>0</v>
      </c>
      <c r="T776" s="17" t="n">
        <f aca="false">AVERAGE(O776:Q776)</f>
        <v>0</v>
      </c>
      <c r="U776" s="18" t="str">
        <f aca="false">IF(T776&gt;=$H$3,"Eligible","Not Eligible")</f>
        <v>Not Eligible</v>
      </c>
      <c r="V776" s="19" t="n">
        <f aca="false">IF(T776&lt;$H$3,0,IFERROR(T776/SUMIF($T$5:$T$999,"&gt;="&amp;$H$3),0))</f>
        <v>0</v>
      </c>
      <c r="W776" s="15" t="str">
        <f aca="false">IF(T776=0,"Win-Back","Active")</f>
        <v>Win-Back</v>
      </c>
      <c r="X776" s="20" t="n">
        <f aca="false">IF(T776=0,0,IF(T776&gt;=$H$3,ROUND(T776*$D$3/SUMIF($T$5:$T$999,"&gt;="&amp;$H$3),0),ROUNDUP(T776*$D$3/SUMIF($T$5:$T$999,"&gt;="&amp;$H$3),0)))</f>
        <v>0</v>
      </c>
      <c r="Y776" s="21"/>
      <c r="Z776" s="16" t="str">
        <f aca="false">IF(X776=0,"",X776-Y776)</f>
        <v/>
      </c>
      <c r="AA776" s="22" t="str">
        <f aca="false">IFERROR(Y776/X776,"")</f>
        <v/>
      </c>
      <c r="AB776" s="16" t="n">
        <v>0</v>
      </c>
      <c r="AC776" s="21"/>
    </row>
    <row r="777" customFormat="false" ht="15" hidden="false" customHeight="true" outlineLevel="0" collapsed="false">
      <c r="A777" s="15"/>
      <c r="B777" s="15"/>
      <c r="C777" s="15" t="s">
        <v>7617</v>
      </c>
      <c r="D777" s="15" t="s">
        <v>7618</v>
      </c>
      <c r="E777" s="15" t="s">
        <v>7619</v>
      </c>
      <c r="F777" s="15"/>
      <c r="G777" s="15"/>
      <c r="H777" s="15" t="s">
        <v>7620</v>
      </c>
      <c r="I777" s="15"/>
      <c r="J777" s="15" t="s">
        <v>777</v>
      </c>
      <c r="K777" s="15" t="s">
        <v>70</v>
      </c>
      <c r="L777" s="15" t="s">
        <v>3711</v>
      </c>
      <c r="M777" s="15" t="s">
        <v>4617</v>
      </c>
      <c r="N777" s="15" t="s">
        <v>73</v>
      </c>
      <c r="O777" s="16" t="n">
        <v>0</v>
      </c>
      <c r="P777" s="16" t="n">
        <v>0</v>
      </c>
      <c r="Q777" s="16" t="n">
        <v>0</v>
      </c>
      <c r="R777" s="16" t="n">
        <v>0</v>
      </c>
      <c r="S777" s="16" t="n">
        <v>0</v>
      </c>
      <c r="T777" s="17" t="n">
        <f aca="false">AVERAGE(O777:Q777)</f>
        <v>0</v>
      </c>
      <c r="U777" s="18" t="str">
        <f aca="false">IF(T777&gt;=$H$3,"Eligible","Not Eligible")</f>
        <v>Not Eligible</v>
      </c>
      <c r="V777" s="19" t="n">
        <f aca="false">IF(T777&lt;$H$3,0,IFERROR(T777/SUMIF($T$5:$T$999,"&gt;="&amp;$H$3),0))</f>
        <v>0</v>
      </c>
      <c r="W777" s="15" t="str">
        <f aca="false">IF(T777=0,"Win-Back","Active")</f>
        <v>Win-Back</v>
      </c>
      <c r="X777" s="20" t="n">
        <f aca="false">IF(T777=0,0,IF(T777&gt;=$H$3,ROUND(T777*$D$3/SUMIF($T$5:$T$999,"&gt;="&amp;$H$3),0),ROUNDUP(T777*$D$3/SUMIF($T$5:$T$999,"&gt;="&amp;$H$3),0)))</f>
        <v>0</v>
      </c>
      <c r="Y777" s="21"/>
      <c r="Z777" s="16" t="str">
        <f aca="false">IF(X777=0,"",X777-Y777)</f>
        <v/>
      </c>
      <c r="AA777" s="22" t="str">
        <f aca="false">IFERROR(Y777/X777,"")</f>
        <v/>
      </c>
      <c r="AB777" s="16" t="n">
        <v>0</v>
      </c>
      <c r="AC777" s="21"/>
    </row>
    <row r="778" customFormat="false" ht="15" hidden="false" customHeight="true" outlineLevel="0" collapsed="false">
      <c r="A778" s="15" t="s">
        <v>7621</v>
      </c>
      <c r="B778" s="15" t="s">
        <v>7622</v>
      </c>
      <c r="C778" s="15" t="s">
        <v>7623</v>
      </c>
      <c r="D778" s="15" t="s">
        <v>7624</v>
      </c>
      <c r="E778" s="15" t="s">
        <v>7625</v>
      </c>
      <c r="F778" s="15" t="s">
        <v>6990</v>
      </c>
      <c r="G778" s="15" t="s">
        <v>6991</v>
      </c>
      <c r="H778" s="15" t="s">
        <v>7626</v>
      </c>
      <c r="I778" s="15" t="s">
        <v>7627</v>
      </c>
      <c r="J778" s="15" t="s">
        <v>777</v>
      </c>
      <c r="K778" s="15" t="s">
        <v>70</v>
      </c>
      <c r="L778" s="15" t="s">
        <v>1761</v>
      </c>
      <c r="M778" s="15" t="s">
        <v>6993</v>
      </c>
      <c r="N778" s="15" t="s">
        <v>73</v>
      </c>
      <c r="O778" s="16" t="n">
        <v>0</v>
      </c>
      <c r="P778" s="16" t="n">
        <v>0</v>
      </c>
      <c r="Q778" s="16" t="n">
        <v>0</v>
      </c>
      <c r="R778" s="16" t="n">
        <v>0</v>
      </c>
      <c r="S778" s="16" t="n">
        <v>0</v>
      </c>
      <c r="T778" s="17" t="n">
        <f aca="false">AVERAGE(O778:Q778)</f>
        <v>0</v>
      </c>
      <c r="U778" s="18" t="str">
        <f aca="false">IF(T778&gt;=$H$3,"Eligible","Not Eligible")</f>
        <v>Not Eligible</v>
      </c>
      <c r="V778" s="19" t="n">
        <f aca="false">IF(T778&lt;$H$3,0,IFERROR(T778/SUMIF($T$5:$T$999,"&gt;="&amp;$H$3),0))</f>
        <v>0</v>
      </c>
      <c r="W778" s="15" t="str">
        <f aca="false">IF(T778=0,"Win-Back","Active")</f>
        <v>Win-Back</v>
      </c>
      <c r="X778" s="20" t="n">
        <f aca="false">IF(T778=0,0,IF(T778&gt;=$H$3,ROUND(T778*$D$3/SUMIF($T$5:$T$999,"&gt;="&amp;$H$3),0),ROUNDUP(T778*$D$3/SUMIF($T$5:$T$999,"&gt;="&amp;$H$3),0)))</f>
        <v>0</v>
      </c>
      <c r="Y778" s="21"/>
      <c r="Z778" s="16" t="str">
        <f aca="false">IF(X778=0,"",X778-Y778)</f>
        <v/>
      </c>
      <c r="AA778" s="22" t="str">
        <f aca="false">IFERROR(Y778/X778,"")</f>
        <v/>
      </c>
      <c r="AB778" s="16" t="n">
        <v>0</v>
      </c>
      <c r="AC778" s="21"/>
    </row>
    <row r="779" customFormat="false" ht="15" hidden="false" customHeight="true" outlineLevel="0" collapsed="false">
      <c r="A779" s="15" t="s">
        <v>7628</v>
      </c>
      <c r="B779" s="15" t="s">
        <v>7629</v>
      </c>
      <c r="C779" s="15" t="s">
        <v>7630</v>
      </c>
      <c r="D779" s="15" t="s">
        <v>7631</v>
      </c>
      <c r="E779" s="15" t="s">
        <v>7632</v>
      </c>
      <c r="F779" s="15" t="s">
        <v>7633</v>
      </c>
      <c r="G779" s="15" t="s">
        <v>7634</v>
      </c>
      <c r="H779" s="15" t="s">
        <v>7635</v>
      </c>
      <c r="I779" s="15"/>
      <c r="J779" s="15" t="s">
        <v>7636</v>
      </c>
      <c r="K779" s="15" t="s">
        <v>368</v>
      </c>
      <c r="L779" s="15" t="s">
        <v>7637</v>
      </c>
      <c r="M779" s="15" t="s">
        <v>7638</v>
      </c>
      <c r="N779" s="15" t="s">
        <v>73</v>
      </c>
      <c r="O779" s="16" t="n">
        <v>0</v>
      </c>
      <c r="P779" s="16" t="n">
        <v>0</v>
      </c>
      <c r="Q779" s="16" t="n">
        <v>0</v>
      </c>
      <c r="R779" s="16" t="n">
        <v>0</v>
      </c>
      <c r="S779" s="16" t="n">
        <v>0</v>
      </c>
      <c r="T779" s="17" t="n">
        <f aca="false">AVERAGE(O779:Q779)</f>
        <v>0</v>
      </c>
      <c r="U779" s="18" t="str">
        <f aca="false">IF(T779&gt;=$H$3,"Eligible","Not Eligible")</f>
        <v>Not Eligible</v>
      </c>
      <c r="V779" s="19" t="n">
        <f aca="false">IF(T779&lt;$H$3,0,IFERROR(T779/SUMIF($T$5:$T$999,"&gt;="&amp;$H$3),0))</f>
        <v>0</v>
      </c>
      <c r="W779" s="15" t="str">
        <f aca="false">IF(T779=0,"Win-Back","Active")</f>
        <v>Win-Back</v>
      </c>
      <c r="X779" s="20" t="n">
        <f aca="false">IF(T779=0,0,IF(T779&gt;=$H$3,ROUND(T779*$D$3/SUMIF($T$5:$T$999,"&gt;="&amp;$H$3),0),ROUNDUP(T779*$D$3/SUMIF($T$5:$T$999,"&gt;="&amp;$H$3),0)))</f>
        <v>0</v>
      </c>
      <c r="Y779" s="21"/>
      <c r="Z779" s="16" t="str">
        <f aca="false">IF(X779=0,"",X779-Y779)</f>
        <v/>
      </c>
      <c r="AA779" s="22" t="str">
        <f aca="false">IFERROR(Y779/X779,"")</f>
        <v/>
      </c>
      <c r="AB779" s="16" t="n">
        <v>0</v>
      </c>
      <c r="AC779" s="21"/>
    </row>
    <row r="780" customFormat="false" ht="15" hidden="false" customHeight="true" outlineLevel="0" collapsed="false">
      <c r="A780" s="15" t="s">
        <v>7639</v>
      </c>
      <c r="B780" s="15" t="s">
        <v>7640</v>
      </c>
      <c r="C780" s="15" t="s">
        <v>7641</v>
      </c>
      <c r="D780" s="15" t="s">
        <v>7642</v>
      </c>
      <c r="E780" s="15" t="s">
        <v>7643</v>
      </c>
      <c r="F780" s="15" t="s">
        <v>7644</v>
      </c>
      <c r="G780" s="15" t="s">
        <v>7645</v>
      </c>
      <c r="H780" s="15" t="s">
        <v>7646</v>
      </c>
      <c r="I780" s="15"/>
      <c r="J780" s="15" t="s">
        <v>7647</v>
      </c>
      <c r="K780" s="15" t="s">
        <v>368</v>
      </c>
      <c r="L780" s="15" t="s">
        <v>7648</v>
      </c>
      <c r="M780" s="15" t="s">
        <v>7649</v>
      </c>
      <c r="N780" s="15" t="s">
        <v>73</v>
      </c>
      <c r="O780" s="16" t="n">
        <v>0</v>
      </c>
      <c r="P780" s="16" t="n">
        <v>0</v>
      </c>
      <c r="Q780" s="16" t="n">
        <v>0</v>
      </c>
      <c r="R780" s="16" t="n">
        <v>0</v>
      </c>
      <c r="S780" s="16" t="n">
        <v>0</v>
      </c>
      <c r="T780" s="17" t="n">
        <f aca="false">AVERAGE(O780:Q780)</f>
        <v>0</v>
      </c>
      <c r="U780" s="18" t="str">
        <f aca="false">IF(T780&gt;=$H$3,"Eligible","Not Eligible")</f>
        <v>Not Eligible</v>
      </c>
      <c r="V780" s="19" t="n">
        <f aca="false">IF(T780&lt;$H$3,0,IFERROR(T780/SUMIF($T$5:$T$999,"&gt;="&amp;$H$3),0))</f>
        <v>0</v>
      </c>
      <c r="W780" s="15" t="str">
        <f aca="false">IF(T780=0,"Win-Back","Active")</f>
        <v>Win-Back</v>
      </c>
      <c r="X780" s="20" t="n">
        <f aca="false">IF(T780=0,0,IF(T780&gt;=$H$3,ROUND(T780*$D$3/SUMIF($T$5:$T$999,"&gt;="&amp;$H$3),0),ROUNDUP(T780*$D$3/SUMIF($T$5:$T$999,"&gt;="&amp;$H$3),0)))</f>
        <v>0</v>
      </c>
      <c r="Y780" s="21"/>
      <c r="Z780" s="16" t="str">
        <f aca="false">IF(X780=0,"",X780-Y780)</f>
        <v/>
      </c>
      <c r="AA780" s="22" t="str">
        <f aca="false">IFERROR(Y780/X780,"")</f>
        <v/>
      </c>
      <c r="AB780" s="16" t="n">
        <v>0</v>
      </c>
      <c r="AC780" s="21"/>
    </row>
    <row r="781" customFormat="false" ht="15" hidden="false" customHeight="true" outlineLevel="0" collapsed="false">
      <c r="A781" s="15" t="s">
        <v>7650</v>
      </c>
      <c r="B781" s="15" t="s">
        <v>7651</v>
      </c>
      <c r="C781" s="15" t="s">
        <v>7652</v>
      </c>
      <c r="D781" s="15" t="s">
        <v>7653</v>
      </c>
      <c r="E781" s="15" t="s">
        <v>7211</v>
      </c>
      <c r="F781" s="15" t="s">
        <v>7654</v>
      </c>
      <c r="G781" s="15" t="s">
        <v>7213</v>
      </c>
      <c r="H781" s="15" t="s">
        <v>7655</v>
      </c>
      <c r="I781" s="15" t="s">
        <v>4760</v>
      </c>
      <c r="J781" s="15" t="s">
        <v>7656</v>
      </c>
      <c r="K781" s="15" t="s">
        <v>368</v>
      </c>
      <c r="L781" s="15" t="s">
        <v>7216</v>
      </c>
      <c r="M781" s="15" t="s">
        <v>7217</v>
      </c>
      <c r="N781" s="15" t="s">
        <v>73</v>
      </c>
      <c r="O781" s="16" t="n">
        <v>0</v>
      </c>
      <c r="P781" s="16" t="n">
        <v>0</v>
      </c>
      <c r="Q781" s="16" t="n">
        <v>0</v>
      </c>
      <c r="R781" s="16" t="n">
        <v>0</v>
      </c>
      <c r="S781" s="16" t="n">
        <v>0</v>
      </c>
      <c r="T781" s="17" t="n">
        <f aca="false">AVERAGE(O781:Q781)</f>
        <v>0</v>
      </c>
      <c r="U781" s="18" t="str">
        <f aca="false">IF(T781&gt;=$H$3,"Eligible","Not Eligible")</f>
        <v>Not Eligible</v>
      </c>
      <c r="V781" s="19" t="n">
        <f aca="false">IF(T781&lt;$H$3,0,IFERROR(T781/SUMIF($T$5:$T$999,"&gt;="&amp;$H$3),0))</f>
        <v>0</v>
      </c>
      <c r="W781" s="15" t="str">
        <f aca="false">IF(T781=0,"Win-Back","Active")</f>
        <v>Win-Back</v>
      </c>
      <c r="X781" s="20" t="n">
        <f aca="false">IF(T781=0,0,IF(T781&gt;=$H$3,ROUND(T781*$D$3/SUMIF($T$5:$T$999,"&gt;="&amp;$H$3),0),ROUNDUP(T781*$D$3/SUMIF($T$5:$T$999,"&gt;="&amp;$H$3),0)))</f>
        <v>0</v>
      </c>
      <c r="Y781" s="21"/>
      <c r="Z781" s="16" t="str">
        <f aca="false">IF(X781=0,"",X781-Y781)</f>
        <v/>
      </c>
      <c r="AA781" s="22" t="str">
        <f aca="false">IFERROR(Y781/X781,"")</f>
        <v/>
      </c>
      <c r="AB781" s="16" t="n">
        <v>0</v>
      </c>
      <c r="AC781" s="21"/>
    </row>
    <row r="782" customFormat="false" ht="15" hidden="false" customHeight="true" outlineLevel="0" collapsed="false">
      <c r="A782" s="15" t="s">
        <v>7657</v>
      </c>
      <c r="B782" s="15" t="s">
        <v>7658</v>
      </c>
      <c r="C782" s="15" t="s">
        <v>7659</v>
      </c>
      <c r="D782" s="15" t="s">
        <v>7660</v>
      </c>
      <c r="E782" s="15" t="s">
        <v>7661</v>
      </c>
      <c r="F782" s="15" t="s">
        <v>1242</v>
      </c>
      <c r="G782" s="15" t="s">
        <v>7662</v>
      </c>
      <c r="H782" s="15" t="s">
        <v>7663</v>
      </c>
      <c r="I782" s="15" t="s">
        <v>3667</v>
      </c>
      <c r="J782" s="15" t="s">
        <v>82</v>
      </c>
      <c r="K782" s="15" t="s">
        <v>47</v>
      </c>
      <c r="L782" s="15" t="s">
        <v>93</v>
      </c>
      <c r="M782" s="15" t="s">
        <v>7664</v>
      </c>
      <c r="N782" s="15" t="s">
        <v>73</v>
      </c>
      <c r="O782" s="16" t="n">
        <v>0</v>
      </c>
      <c r="P782" s="16" t="n">
        <v>0</v>
      </c>
      <c r="Q782" s="16" t="n">
        <v>0</v>
      </c>
      <c r="R782" s="16" t="n">
        <v>0</v>
      </c>
      <c r="S782" s="16" t="n">
        <v>0</v>
      </c>
      <c r="T782" s="17" t="n">
        <f aca="false">AVERAGE(O782:Q782)</f>
        <v>0</v>
      </c>
      <c r="U782" s="18" t="str">
        <f aca="false">IF(T782&gt;=$H$3,"Eligible","Not Eligible")</f>
        <v>Not Eligible</v>
      </c>
      <c r="V782" s="19" t="n">
        <f aca="false">IF(T782&lt;$H$3,0,IFERROR(T782/SUMIF($T$5:$T$999,"&gt;="&amp;$H$3),0))</f>
        <v>0</v>
      </c>
      <c r="W782" s="15" t="str">
        <f aca="false">IF(T782=0,"Win-Back","Active")</f>
        <v>Win-Back</v>
      </c>
      <c r="X782" s="20" t="n">
        <f aca="false">IF(T782=0,0,IF(T782&gt;=$H$3,ROUND(T782*$D$3/SUMIF($T$5:$T$999,"&gt;="&amp;$H$3),0),ROUNDUP(T782*$D$3/SUMIF($T$5:$T$999,"&gt;="&amp;$H$3),0)))</f>
        <v>0</v>
      </c>
      <c r="Y782" s="21"/>
      <c r="Z782" s="16" t="str">
        <f aca="false">IF(X782=0,"",X782-Y782)</f>
        <v/>
      </c>
      <c r="AA782" s="22" t="str">
        <f aca="false">IFERROR(Y782/X782,"")</f>
        <v/>
      </c>
      <c r="AB782" s="16" t="n">
        <v>0</v>
      </c>
      <c r="AC782" s="21"/>
    </row>
    <row r="783" customFormat="false" ht="15" hidden="false" customHeight="true" outlineLevel="0" collapsed="false">
      <c r="A783" s="15"/>
      <c r="B783" s="15"/>
      <c r="C783" s="15" t="s">
        <v>7665</v>
      </c>
      <c r="D783" s="15" t="s">
        <v>7666</v>
      </c>
      <c r="E783" s="15" t="s">
        <v>7667</v>
      </c>
      <c r="F783" s="15"/>
      <c r="G783" s="15"/>
      <c r="H783" s="15" t="s">
        <v>7668</v>
      </c>
      <c r="I783" s="15"/>
      <c r="J783" s="15" t="s">
        <v>7669</v>
      </c>
      <c r="K783" s="15" t="s">
        <v>615</v>
      </c>
      <c r="L783" s="15" t="s">
        <v>7670</v>
      </c>
      <c r="M783" s="15" t="s">
        <v>4617</v>
      </c>
      <c r="N783" s="15" t="s">
        <v>73</v>
      </c>
      <c r="O783" s="16" t="n">
        <v>0</v>
      </c>
      <c r="P783" s="16" t="n">
        <v>0</v>
      </c>
      <c r="Q783" s="16" t="n">
        <v>0</v>
      </c>
      <c r="R783" s="16" t="n">
        <v>0</v>
      </c>
      <c r="S783" s="16" t="n">
        <v>0</v>
      </c>
      <c r="T783" s="17" t="n">
        <f aca="false">AVERAGE(O783:Q783)</f>
        <v>0</v>
      </c>
      <c r="U783" s="18" t="str">
        <f aca="false">IF(T783&gt;=$H$3,"Eligible","Not Eligible")</f>
        <v>Not Eligible</v>
      </c>
      <c r="V783" s="19" t="n">
        <f aca="false">IF(T783&lt;$H$3,0,IFERROR(T783/SUMIF($T$5:$T$999,"&gt;="&amp;$H$3),0))</f>
        <v>0</v>
      </c>
      <c r="W783" s="15" t="str">
        <f aca="false">IF(T783=0,"Win-Back","Active")</f>
        <v>Win-Back</v>
      </c>
      <c r="X783" s="20" t="n">
        <f aca="false">IF(T783=0,0,IF(T783&gt;=$H$3,ROUND(T783*$D$3/SUMIF($T$5:$T$999,"&gt;="&amp;$H$3),0),ROUNDUP(T783*$D$3/SUMIF($T$5:$T$999,"&gt;="&amp;$H$3),0)))</f>
        <v>0</v>
      </c>
      <c r="Y783" s="21"/>
      <c r="Z783" s="16" t="str">
        <f aca="false">IF(X783=0,"",X783-Y783)</f>
        <v/>
      </c>
      <c r="AA783" s="22" t="str">
        <f aca="false">IFERROR(Y783/X783,"")</f>
        <v/>
      </c>
      <c r="AB783" s="16" t="n">
        <v>0</v>
      </c>
      <c r="AC783" s="21"/>
    </row>
    <row r="784" customFormat="false" ht="15" hidden="false" customHeight="true" outlineLevel="0" collapsed="false">
      <c r="A784" s="15" t="s">
        <v>7671</v>
      </c>
      <c r="B784" s="15" t="s">
        <v>7672</v>
      </c>
      <c r="C784" s="15" t="s">
        <v>7673</v>
      </c>
      <c r="D784" s="15" t="s">
        <v>7674</v>
      </c>
      <c r="E784" s="15" t="s">
        <v>7675</v>
      </c>
      <c r="F784" s="15" t="s">
        <v>7676</v>
      </c>
      <c r="G784" s="15" t="s">
        <v>7677</v>
      </c>
      <c r="H784" s="15" t="s">
        <v>7678</v>
      </c>
      <c r="I784" s="15"/>
      <c r="J784" s="15" t="s">
        <v>1064</v>
      </c>
      <c r="K784" s="15" t="s">
        <v>368</v>
      </c>
      <c r="L784" s="15" t="s">
        <v>1065</v>
      </c>
      <c r="M784" s="15" t="s">
        <v>7679</v>
      </c>
      <c r="N784" s="15" t="s">
        <v>73</v>
      </c>
      <c r="O784" s="16" t="n">
        <v>0</v>
      </c>
      <c r="P784" s="16" t="n">
        <v>0</v>
      </c>
      <c r="Q784" s="16" t="n">
        <v>0</v>
      </c>
      <c r="R784" s="16" t="n">
        <v>0</v>
      </c>
      <c r="S784" s="16" t="n">
        <v>0</v>
      </c>
      <c r="T784" s="17" t="n">
        <f aca="false">AVERAGE(O784:Q784)</f>
        <v>0</v>
      </c>
      <c r="U784" s="18" t="str">
        <f aca="false">IF(T784&gt;=$H$3,"Eligible","Not Eligible")</f>
        <v>Not Eligible</v>
      </c>
      <c r="V784" s="19" t="n">
        <f aca="false">IF(T784&lt;$H$3,0,IFERROR(T784/SUMIF($T$5:$T$999,"&gt;="&amp;$H$3),0))</f>
        <v>0</v>
      </c>
      <c r="W784" s="15" t="str">
        <f aca="false">IF(T784=0,"Win-Back","Active")</f>
        <v>Win-Back</v>
      </c>
      <c r="X784" s="20" t="n">
        <f aca="false">IF(T784=0,0,IF(T784&gt;=$H$3,ROUND(T784*$D$3/SUMIF($T$5:$T$999,"&gt;="&amp;$H$3),0),ROUNDUP(T784*$D$3/SUMIF($T$5:$T$999,"&gt;="&amp;$H$3),0)))</f>
        <v>0</v>
      </c>
      <c r="Y784" s="21" t="n">
        <v>1</v>
      </c>
      <c r="Z784" s="16" t="str">
        <f aca="false">IF(X784=0,"",X784-Y784)</f>
        <v/>
      </c>
      <c r="AA784" s="22" t="str">
        <f aca="false">IFERROR(Y784/X784,"")</f>
        <v/>
      </c>
      <c r="AB784" s="16" t="n">
        <v>0</v>
      </c>
      <c r="AC784" s="21"/>
    </row>
    <row r="785" customFormat="false" ht="15" hidden="false" customHeight="true" outlineLevel="0" collapsed="false">
      <c r="A785" s="15" t="s">
        <v>7680</v>
      </c>
      <c r="B785" s="15" t="s">
        <v>7681</v>
      </c>
      <c r="C785" s="15" t="s">
        <v>7682</v>
      </c>
      <c r="D785" s="15" t="s">
        <v>7683</v>
      </c>
      <c r="E785" s="15" t="s">
        <v>7684</v>
      </c>
      <c r="F785" s="15" t="s">
        <v>7685</v>
      </c>
      <c r="G785" s="15" t="s">
        <v>7686</v>
      </c>
      <c r="H785" s="15" t="s">
        <v>7687</v>
      </c>
      <c r="I785" s="15" t="s">
        <v>7688</v>
      </c>
      <c r="J785" s="15" t="s">
        <v>991</v>
      </c>
      <c r="K785" s="15" t="s">
        <v>368</v>
      </c>
      <c r="L785" s="15" t="s">
        <v>6199</v>
      </c>
      <c r="M785" s="15" t="s">
        <v>7689</v>
      </c>
      <c r="N785" s="15" t="s">
        <v>73</v>
      </c>
      <c r="O785" s="16" t="n">
        <v>0</v>
      </c>
      <c r="P785" s="16" t="n">
        <v>0</v>
      </c>
      <c r="Q785" s="16" t="n">
        <v>0</v>
      </c>
      <c r="R785" s="16" t="n">
        <v>0</v>
      </c>
      <c r="S785" s="16" t="n">
        <v>0</v>
      </c>
      <c r="T785" s="17" t="n">
        <f aca="false">AVERAGE(O785:Q785)</f>
        <v>0</v>
      </c>
      <c r="U785" s="18" t="str">
        <f aca="false">IF(T785&gt;=$H$3,"Eligible","Not Eligible")</f>
        <v>Not Eligible</v>
      </c>
      <c r="V785" s="19" t="n">
        <f aca="false">IF(T785&lt;$H$3,0,IFERROR(T785/SUMIF($T$5:$T$999,"&gt;="&amp;$H$3),0))</f>
        <v>0</v>
      </c>
      <c r="W785" s="15" t="str">
        <f aca="false">IF(T785=0,"Win-Back","Active")</f>
        <v>Win-Back</v>
      </c>
      <c r="X785" s="20" t="n">
        <f aca="false">IF(T785=0,0,IF(T785&gt;=$H$3,ROUND(T785*$D$3/SUMIF($T$5:$T$999,"&gt;="&amp;$H$3),0),ROUNDUP(T785*$D$3/SUMIF($T$5:$T$999,"&gt;="&amp;$H$3),0)))</f>
        <v>0</v>
      </c>
      <c r="Y785" s="21"/>
      <c r="Z785" s="16" t="str">
        <f aca="false">IF(X785=0,"",X785-Y785)</f>
        <v/>
      </c>
      <c r="AA785" s="22" t="str">
        <f aca="false">IFERROR(Y785/X785,"")</f>
        <v/>
      </c>
      <c r="AB785" s="16" t="n">
        <v>0</v>
      </c>
      <c r="AC785" s="21"/>
    </row>
    <row r="786" customFormat="false" ht="15" hidden="false" customHeight="true" outlineLevel="0" collapsed="false">
      <c r="A786" s="15" t="s">
        <v>7690</v>
      </c>
      <c r="B786" s="15" t="s">
        <v>7691</v>
      </c>
      <c r="C786" s="15" t="s">
        <v>7692</v>
      </c>
      <c r="D786" s="15" t="s">
        <v>7693</v>
      </c>
      <c r="E786" s="15" t="s">
        <v>7694</v>
      </c>
      <c r="F786" s="15" t="s">
        <v>7695</v>
      </c>
      <c r="G786" s="15" t="s">
        <v>7696</v>
      </c>
      <c r="H786" s="15" t="s">
        <v>7697</v>
      </c>
      <c r="I786" s="15" t="s">
        <v>3461</v>
      </c>
      <c r="J786" s="15" t="s">
        <v>7698</v>
      </c>
      <c r="K786" s="15" t="s">
        <v>864</v>
      </c>
      <c r="L786" s="15" t="s">
        <v>6868</v>
      </c>
      <c r="M786" s="15" t="s">
        <v>7699</v>
      </c>
      <c r="N786" s="15" t="s">
        <v>73</v>
      </c>
      <c r="O786" s="16" t="n">
        <v>0</v>
      </c>
      <c r="P786" s="16" t="n">
        <v>0</v>
      </c>
      <c r="Q786" s="16" t="n">
        <v>0</v>
      </c>
      <c r="R786" s="16" t="n">
        <v>0</v>
      </c>
      <c r="S786" s="16" t="n">
        <v>0</v>
      </c>
      <c r="T786" s="17" t="n">
        <f aca="false">AVERAGE(O786:Q786)</f>
        <v>0</v>
      </c>
      <c r="U786" s="18" t="str">
        <f aca="false">IF(T786&gt;=$H$3,"Eligible","Not Eligible")</f>
        <v>Not Eligible</v>
      </c>
      <c r="V786" s="19" t="n">
        <f aca="false">IF(T786&lt;$H$3,0,IFERROR(T786/SUMIF($T$5:$T$999,"&gt;="&amp;$H$3),0))</f>
        <v>0</v>
      </c>
      <c r="W786" s="15" t="str">
        <f aca="false">IF(T786=0,"Win-Back","Active")</f>
        <v>Win-Back</v>
      </c>
      <c r="X786" s="20" t="n">
        <f aca="false">IF(T786=0,0,IF(T786&gt;=$H$3,ROUND(T786*$D$3/SUMIF($T$5:$T$999,"&gt;="&amp;$H$3),0),ROUNDUP(T786*$D$3/SUMIF($T$5:$T$999,"&gt;="&amp;$H$3),0)))</f>
        <v>0</v>
      </c>
      <c r="Y786" s="21"/>
      <c r="Z786" s="16" t="str">
        <f aca="false">IF(X786=0,"",X786-Y786)</f>
        <v/>
      </c>
      <c r="AA786" s="22" t="str">
        <f aca="false">IFERROR(Y786/X786,"")</f>
        <v/>
      </c>
      <c r="AB786" s="16" t="n">
        <v>0</v>
      </c>
      <c r="AC786" s="21"/>
    </row>
    <row r="787" customFormat="false" ht="15" hidden="false" customHeight="true" outlineLevel="0" collapsed="false">
      <c r="A787" s="15" t="s">
        <v>7700</v>
      </c>
      <c r="B787" s="15" t="s">
        <v>7701</v>
      </c>
      <c r="C787" s="15" t="s">
        <v>7702</v>
      </c>
      <c r="D787" s="15" t="s">
        <v>7703</v>
      </c>
      <c r="E787" s="15" t="s">
        <v>7704</v>
      </c>
      <c r="F787" s="15" t="s">
        <v>7705</v>
      </c>
      <c r="G787" s="15" t="s">
        <v>7706</v>
      </c>
      <c r="H787" s="15" t="s">
        <v>7707</v>
      </c>
      <c r="I787" s="15" t="s">
        <v>5720</v>
      </c>
      <c r="J787" s="15" t="s">
        <v>1771</v>
      </c>
      <c r="K787" s="15" t="s">
        <v>864</v>
      </c>
      <c r="L787" s="15" t="s">
        <v>4141</v>
      </c>
      <c r="M787" s="15" t="s">
        <v>7708</v>
      </c>
      <c r="N787" s="15" t="s">
        <v>73</v>
      </c>
      <c r="O787" s="16" t="n">
        <v>0</v>
      </c>
      <c r="P787" s="16" t="n">
        <v>0</v>
      </c>
      <c r="Q787" s="16" t="n">
        <v>0</v>
      </c>
      <c r="R787" s="16" t="n">
        <v>0</v>
      </c>
      <c r="S787" s="16" t="n">
        <v>0</v>
      </c>
      <c r="T787" s="17" t="n">
        <f aca="false">AVERAGE(O787:Q787)</f>
        <v>0</v>
      </c>
      <c r="U787" s="18" t="str">
        <f aca="false">IF(T787&gt;=$H$3,"Eligible","Not Eligible")</f>
        <v>Not Eligible</v>
      </c>
      <c r="V787" s="19" t="n">
        <f aca="false">IF(T787&lt;$H$3,0,IFERROR(T787/SUMIF($T$5:$T$999,"&gt;="&amp;$H$3),0))</f>
        <v>0</v>
      </c>
      <c r="W787" s="15" t="str">
        <f aca="false">IF(T787=0,"Win-Back","Active")</f>
        <v>Win-Back</v>
      </c>
      <c r="X787" s="20" t="n">
        <f aca="false">IF(T787=0,0,IF(T787&gt;=$H$3,ROUND(T787*$D$3/SUMIF($T$5:$T$999,"&gt;="&amp;$H$3),0),ROUNDUP(T787*$D$3/SUMIF($T$5:$T$999,"&gt;="&amp;$H$3),0)))</f>
        <v>0</v>
      </c>
      <c r="Y787" s="21"/>
      <c r="Z787" s="16" t="str">
        <f aca="false">IF(X787=0,"",X787-Y787)</f>
        <v/>
      </c>
      <c r="AA787" s="22" t="str">
        <f aca="false">IFERROR(Y787/X787,"")</f>
        <v/>
      </c>
      <c r="AB787" s="16" t="n">
        <v>0</v>
      </c>
      <c r="AC787" s="21"/>
    </row>
    <row r="788" customFormat="false" ht="15" hidden="false" customHeight="true" outlineLevel="0" collapsed="false">
      <c r="A788" s="15" t="s">
        <v>7709</v>
      </c>
      <c r="B788" s="15" t="s">
        <v>7710</v>
      </c>
      <c r="C788" s="15" t="s">
        <v>7711</v>
      </c>
      <c r="D788" s="15" t="s">
        <v>7712</v>
      </c>
      <c r="E788" s="15" t="s">
        <v>7713</v>
      </c>
      <c r="F788" s="15" t="s">
        <v>7714</v>
      </c>
      <c r="G788" s="15" t="s">
        <v>7715</v>
      </c>
      <c r="H788" s="15" t="s">
        <v>7716</v>
      </c>
      <c r="I788" s="15" t="s">
        <v>7717</v>
      </c>
      <c r="J788" s="15" t="s">
        <v>367</v>
      </c>
      <c r="K788" s="15" t="s">
        <v>368</v>
      </c>
      <c r="L788" s="15" t="s">
        <v>7718</v>
      </c>
      <c r="M788" s="15" t="s">
        <v>7719</v>
      </c>
      <c r="N788" s="15" t="s">
        <v>73</v>
      </c>
      <c r="O788" s="16" t="n">
        <v>0</v>
      </c>
      <c r="P788" s="16" t="n">
        <v>0</v>
      </c>
      <c r="Q788" s="16" t="n">
        <v>0</v>
      </c>
      <c r="R788" s="16" t="n">
        <v>0</v>
      </c>
      <c r="S788" s="16" t="n">
        <v>0</v>
      </c>
      <c r="T788" s="17" t="n">
        <f aca="false">AVERAGE(O788:Q788)</f>
        <v>0</v>
      </c>
      <c r="U788" s="18" t="str">
        <f aca="false">IF(T788&gt;=$H$3,"Eligible","Not Eligible")</f>
        <v>Not Eligible</v>
      </c>
      <c r="V788" s="19" t="n">
        <f aca="false">IF(T788&lt;$H$3,0,IFERROR(T788/SUMIF($T$5:$T$999,"&gt;="&amp;$H$3),0))</f>
        <v>0</v>
      </c>
      <c r="W788" s="15" t="str">
        <f aca="false">IF(T788=0,"Win-Back","Active")</f>
        <v>Win-Back</v>
      </c>
      <c r="X788" s="20" t="n">
        <f aca="false">IF(T788=0,0,IF(T788&gt;=$H$3,ROUND(T788*$D$3/SUMIF($T$5:$T$999,"&gt;="&amp;$H$3),0),ROUNDUP(T788*$D$3/SUMIF($T$5:$T$999,"&gt;="&amp;$H$3),0)))</f>
        <v>0</v>
      </c>
      <c r="Y788" s="21"/>
      <c r="Z788" s="16" t="str">
        <f aca="false">IF(X788=0,"",X788-Y788)</f>
        <v/>
      </c>
      <c r="AA788" s="22" t="str">
        <f aca="false">IFERROR(Y788/X788,"")</f>
        <v/>
      </c>
      <c r="AB788" s="16" t="n">
        <v>0</v>
      </c>
      <c r="AC788" s="21"/>
    </row>
    <row r="789" customFormat="false" ht="15" hidden="false" customHeight="true" outlineLevel="0" collapsed="false">
      <c r="A789" s="15" t="s">
        <v>7720</v>
      </c>
      <c r="B789" s="15" t="s">
        <v>7721</v>
      </c>
      <c r="C789" s="15" t="s">
        <v>7722</v>
      </c>
      <c r="D789" s="15" t="s">
        <v>7723</v>
      </c>
      <c r="E789" s="15" t="s">
        <v>7724</v>
      </c>
      <c r="F789" s="15"/>
      <c r="G789" s="15" t="s">
        <v>7725</v>
      </c>
      <c r="H789" s="15" t="s">
        <v>7726</v>
      </c>
      <c r="I789" s="15"/>
      <c r="J789" s="15" t="s">
        <v>1053</v>
      </c>
      <c r="K789" s="15" t="s">
        <v>47</v>
      </c>
      <c r="L789" s="15" t="s">
        <v>7727</v>
      </c>
      <c r="M789" s="15" t="s">
        <v>7728</v>
      </c>
      <c r="N789" s="15" t="s">
        <v>73</v>
      </c>
      <c r="O789" s="16" t="n">
        <v>0</v>
      </c>
      <c r="P789" s="16" t="n">
        <v>0</v>
      </c>
      <c r="Q789" s="16" t="n">
        <v>0</v>
      </c>
      <c r="R789" s="16" t="n">
        <v>0</v>
      </c>
      <c r="S789" s="16" t="n">
        <v>0</v>
      </c>
      <c r="T789" s="17" t="n">
        <f aca="false">AVERAGE(O789:Q789)</f>
        <v>0</v>
      </c>
      <c r="U789" s="18" t="str">
        <f aca="false">IF(T789&gt;=$H$3,"Eligible","Not Eligible")</f>
        <v>Not Eligible</v>
      </c>
      <c r="V789" s="19" t="n">
        <f aca="false">IF(T789&lt;$H$3,0,IFERROR(T789/SUMIF($T$5:$T$999,"&gt;="&amp;$H$3),0))</f>
        <v>0</v>
      </c>
      <c r="W789" s="15" t="str">
        <f aca="false">IF(T789=0,"Win-Back","Active")</f>
        <v>Win-Back</v>
      </c>
      <c r="X789" s="20" t="n">
        <f aca="false">IF(T789=0,0,IF(T789&gt;=$H$3,ROUND(T789*$D$3/SUMIF($T$5:$T$999,"&gt;="&amp;$H$3),0),ROUNDUP(T789*$D$3/SUMIF($T$5:$T$999,"&gt;="&amp;$H$3),0)))</f>
        <v>0</v>
      </c>
      <c r="Y789" s="21"/>
      <c r="Z789" s="16" t="str">
        <f aca="false">IF(X789=0,"",X789-Y789)</f>
        <v/>
      </c>
      <c r="AA789" s="22" t="str">
        <f aca="false">IFERROR(Y789/X789,"")</f>
        <v/>
      </c>
      <c r="AB789" s="16" t="n">
        <v>0</v>
      </c>
      <c r="AC789" s="21"/>
    </row>
    <row r="790" customFormat="false" ht="15" hidden="false" customHeight="true" outlineLevel="0" collapsed="false">
      <c r="A790" s="15" t="s">
        <v>7729</v>
      </c>
      <c r="B790" s="15" t="s">
        <v>7730</v>
      </c>
      <c r="C790" s="15" t="s">
        <v>7731</v>
      </c>
      <c r="D790" s="15" t="s">
        <v>7732</v>
      </c>
      <c r="E790" s="15" t="s">
        <v>7733</v>
      </c>
      <c r="F790" s="15" t="s">
        <v>7734</v>
      </c>
      <c r="G790" s="15" t="s">
        <v>7735</v>
      </c>
      <c r="H790" s="15" t="s">
        <v>7736</v>
      </c>
      <c r="I790" s="15"/>
      <c r="J790" s="15" t="s">
        <v>7737</v>
      </c>
      <c r="K790" s="15" t="s">
        <v>864</v>
      </c>
      <c r="L790" s="15" t="s">
        <v>1772</v>
      </c>
      <c r="M790" s="15" t="s">
        <v>7738</v>
      </c>
      <c r="N790" s="15" t="s">
        <v>73</v>
      </c>
      <c r="O790" s="16" t="n">
        <v>0</v>
      </c>
      <c r="P790" s="16" t="n">
        <v>0</v>
      </c>
      <c r="Q790" s="16" t="n">
        <v>0</v>
      </c>
      <c r="R790" s="16" t="n">
        <v>0</v>
      </c>
      <c r="S790" s="16" t="n">
        <v>0</v>
      </c>
      <c r="T790" s="17" t="n">
        <f aca="false">AVERAGE(O790:Q790)</f>
        <v>0</v>
      </c>
      <c r="U790" s="18" t="str">
        <f aca="false">IF(T790&gt;=$H$3,"Eligible","Not Eligible")</f>
        <v>Not Eligible</v>
      </c>
      <c r="V790" s="19" t="n">
        <f aca="false">IF(T790&lt;$H$3,0,IFERROR(T790/SUMIF($T$5:$T$999,"&gt;="&amp;$H$3),0))</f>
        <v>0</v>
      </c>
      <c r="W790" s="15" t="str">
        <f aca="false">IF(T790=0,"Win-Back","Active")</f>
        <v>Win-Back</v>
      </c>
      <c r="X790" s="20" t="n">
        <f aca="false">IF(T790=0,0,IF(T790&gt;=$H$3,ROUND(T790*$D$3/SUMIF($T$5:$T$999,"&gt;="&amp;$H$3),0),ROUNDUP(T790*$D$3/SUMIF($T$5:$T$999,"&gt;="&amp;$H$3),0)))</f>
        <v>0</v>
      </c>
      <c r="Y790" s="21"/>
      <c r="Z790" s="16" t="str">
        <f aca="false">IF(X790=0,"",X790-Y790)</f>
        <v/>
      </c>
      <c r="AA790" s="22" t="str">
        <f aca="false">IFERROR(Y790/X790,"")</f>
        <v/>
      </c>
      <c r="AB790" s="16" t="n">
        <v>0</v>
      </c>
      <c r="AC790" s="21"/>
    </row>
    <row r="791" customFormat="false" ht="15" hidden="false" customHeight="true" outlineLevel="0" collapsed="false">
      <c r="A791" s="15" t="s">
        <v>7739</v>
      </c>
      <c r="B791" s="15" t="s">
        <v>7740</v>
      </c>
      <c r="C791" s="15" t="s">
        <v>7741</v>
      </c>
      <c r="D791" s="15" t="s">
        <v>7742</v>
      </c>
      <c r="E791" s="15" t="s">
        <v>7743</v>
      </c>
      <c r="F791" s="15" t="s">
        <v>7744</v>
      </c>
      <c r="G791" s="15" t="s">
        <v>7745</v>
      </c>
      <c r="H791" s="15" t="s">
        <v>7746</v>
      </c>
      <c r="I791" s="15" t="s">
        <v>7747</v>
      </c>
      <c r="J791" s="15" t="s">
        <v>7748</v>
      </c>
      <c r="K791" s="15" t="s">
        <v>70</v>
      </c>
      <c r="L791" s="15" t="s">
        <v>7749</v>
      </c>
      <c r="M791" s="15" t="s">
        <v>7750</v>
      </c>
      <c r="N791" s="15" t="s">
        <v>73</v>
      </c>
      <c r="O791" s="16" t="n">
        <v>0</v>
      </c>
      <c r="P791" s="16" t="n">
        <v>0</v>
      </c>
      <c r="Q791" s="16" t="n">
        <v>0</v>
      </c>
      <c r="R791" s="16" t="n">
        <v>0</v>
      </c>
      <c r="S791" s="16" t="n">
        <v>0</v>
      </c>
      <c r="T791" s="17" t="n">
        <f aca="false">AVERAGE(O791:Q791)</f>
        <v>0</v>
      </c>
      <c r="U791" s="18" t="str">
        <f aca="false">IF(T791&gt;=$H$3,"Eligible","Not Eligible")</f>
        <v>Not Eligible</v>
      </c>
      <c r="V791" s="19" t="n">
        <f aca="false">IF(T791&lt;$H$3,0,IFERROR(T791/SUMIF($T$5:$T$999,"&gt;="&amp;$H$3),0))</f>
        <v>0</v>
      </c>
      <c r="W791" s="15" t="str">
        <f aca="false">IF(T791=0,"Win-Back","Active")</f>
        <v>Win-Back</v>
      </c>
      <c r="X791" s="20" t="n">
        <f aca="false">IF(T791=0,0,IF(T791&gt;=$H$3,ROUND(T791*$D$3/SUMIF($T$5:$T$999,"&gt;="&amp;$H$3),0),ROUNDUP(T791*$D$3/SUMIF($T$5:$T$999,"&gt;="&amp;$H$3),0)))</f>
        <v>0</v>
      </c>
      <c r="Y791" s="21" t="n">
        <v>1</v>
      </c>
      <c r="Z791" s="16" t="str">
        <f aca="false">IF(X791=0,"",X791-Y791)</f>
        <v/>
      </c>
      <c r="AA791" s="22" t="str">
        <f aca="false">IFERROR(Y791/X791,"")</f>
        <v/>
      </c>
      <c r="AB791" s="16" t="n">
        <v>0</v>
      </c>
      <c r="AC791" s="21"/>
    </row>
    <row r="792" customFormat="false" ht="15" hidden="false" customHeight="true" outlineLevel="0" collapsed="false">
      <c r="A792" s="15" t="s">
        <v>7751</v>
      </c>
      <c r="B792" s="15" t="s">
        <v>7752</v>
      </c>
      <c r="C792" s="15" t="s">
        <v>7753</v>
      </c>
      <c r="D792" s="15" t="s">
        <v>7754</v>
      </c>
      <c r="E792" s="15" t="s">
        <v>7755</v>
      </c>
      <c r="F792" s="15" t="s">
        <v>7756</v>
      </c>
      <c r="G792" s="15" t="s">
        <v>7757</v>
      </c>
      <c r="H792" s="15" t="s">
        <v>7758</v>
      </c>
      <c r="I792" s="15"/>
      <c r="J792" s="15" t="s">
        <v>7759</v>
      </c>
      <c r="K792" s="15" t="s">
        <v>70</v>
      </c>
      <c r="L792" s="15" t="s">
        <v>7760</v>
      </c>
      <c r="M792" s="15" t="s">
        <v>7761</v>
      </c>
      <c r="N792" s="15" t="s">
        <v>73</v>
      </c>
      <c r="O792" s="16" t="n">
        <v>0</v>
      </c>
      <c r="P792" s="16" t="n">
        <v>0</v>
      </c>
      <c r="Q792" s="16" t="n">
        <v>0</v>
      </c>
      <c r="R792" s="16" t="n">
        <v>0</v>
      </c>
      <c r="S792" s="16" t="n">
        <v>0</v>
      </c>
      <c r="T792" s="17" t="n">
        <f aca="false">AVERAGE(O792:Q792)</f>
        <v>0</v>
      </c>
      <c r="U792" s="18" t="str">
        <f aca="false">IF(T792&gt;=$H$3,"Eligible","Not Eligible")</f>
        <v>Not Eligible</v>
      </c>
      <c r="V792" s="19" t="n">
        <f aca="false">IF(T792&lt;$H$3,0,IFERROR(T792/SUMIF($T$5:$T$999,"&gt;="&amp;$H$3),0))</f>
        <v>0</v>
      </c>
      <c r="W792" s="15" t="str">
        <f aca="false">IF(T792=0,"Win-Back","Active")</f>
        <v>Win-Back</v>
      </c>
      <c r="X792" s="20" t="n">
        <f aca="false">IF(T792=0,0,IF(T792&gt;=$H$3,ROUND(T792*$D$3/SUMIF($T$5:$T$999,"&gt;="&amp;$H$3),0),ROUNDUP(T792*$D$3/SUMIF($T$5:$T$999,"&gt;="&amp;$H$3),0)))</f>
        <v>0</v>
      </c>
      <c r="Y792" s="21"/>
      <c r="Z792" s="16" t="str">
        <f aca="false">IF(X792=0,"",X792-Y792)</f>
        <v/>
      </c>
      <c r="AA792" s="22" t="str">
        <f aca="false">IFERROR(Y792/X792,"")</f>
        <v/>
      </c>
      <c r="AB792" s="16" t="n">
        <v>0</v>
      </c>
      <c r="AC792" s="21"/>
    </row>
    <row r="793" customFormat="false" ht="15" hidden="false" customHeight="true" outlineLevel="0" collapsed="false">
      <c r="A793" s="15" t="s">
        <v>7762</v>
      </c>
      <c r="B793" s="15" t="s">
        <v>7763</v>
      </c>
      <c r="C793" s="15" t="s">
        <v>7764</v>
      </c>
      <c r="D793" s="15" t="s">
        <v>7765</v>
      </c>
      <c r="E793" s="15" t="s">
        <v>7766</v>
      </c>
      <c r="F793" s="15" t="s">
        <v>7767</v>
      </c>
      <c r="G793" s="15" t="s">
        <v>7768</v>
      </c>
      <c r="H793" s="15" t="s">
        <v>7769</v>
      </c>
      <c r="I793" s="15" t="s">
        <v>7770</v>
      </c>
      <c r="J793" s="15" t="s">
        <v>2367</v>
      </c>
      <c r="K793" s="15" t="s">
        <v>368</v>
      </c>
      <c r="L793" s="15" t="s">
        <v>2368</v>
      </c>
      <c r="M793" s="15" t="s">
        <v>7771</v>
      </c>
      <c r="N793" s="15" t="s">
        <v>73</v>
      </c>
      <c r="O793" s="16" t="n">
        <v>0</v>
      </c>
      <c r="P793" s="16" t="n">
        <v>0</v>
      </c>
      <c r="Q793" s="16" t="n">
        <v>0</v>
      </c>
      <c r="R793" s="16" t="n">
        <v>0</v>
      </c>
      <c r="S793" s="16" t="n">
        <v>0</v>
      </c>
      <c r="T793" s="17" t="n">
        <f aca="false">AVERAGE(O793:Q793)</f>
        <v>0</v>
      </c>
      <c r="U793" s="18" t="str">
        <f aca="false">IF(T793&gt;=$H$3,"Eligible","Not Eligible")</f>
        <v>Not Eligible</v>
      </c>
      <c r="V793" s="19" t="n">
        <f aca="false">IF(T793&lt;$H$3,0,IFERROR(T793/SUMIF($T$5:$T$999,"&gt;="&amp;$H$3),0))</f>
        <v>0</v>
      </c>
      <c r="W793" s="15" t="str">
        <f aca="false">IF(T793=0,"Win-Back","Active")</f>
        <v>Win-Back</v>
      </c>
      <c r="X793" s="20" t="n">
        <f aca="false">IF(T793=0,0,IF(T793&gt;=$H$3,ROUND(T793*$D$3/SUMIF($T$5:$T$999,"&gt;="&amp;$H$3),0),ROUNDUP(T793*$D$3/SUMIF($T$5:$T$999,"&gt;="&amp;$H$3),0)))</f>
        <v>0</v>
      </c>
      <c r="Y793" s="21"/>
      <c r="Z793" s="16" t="str">
        <f aca="false">IF(X793=0,"",X793-Y793)</f>
        <v/>
      </c>
      <c r="AA793" s="22" t="str">
        <f aca="false">IFERROR(Y793/X793,"")</f>
        <v/>
      </c>
      <c r="AB793" s="16" t="n">
        <v>0</v>
      </c>
      <c r="AC793" s="21"/>
    </row>
    <row r="794" customFormat="false" ht="15" hidden="false" customHeight="true" outlineLevel="0" collapsed="false">
      <c r="A794" s="15" t="s">
        <v>7772</v>
      </c>
      <c r="B794" s="15" t="s">
        <v>7773</v>
      </c>
      <c r="C794" s="15" t="s">
        <v>7774</v>
      </c>
      <c r="D794" s="15" t="s">
        <v>7775</v>
      </c>
      <c r="E794" s="15" t="s">
        <v>7776</v>
      </c>
      <c r="F794" s="15" t="s">
        <v>7777</v>
      </c>
      <c r="G794" s="15" t="s">
        <v>7778</v>
      </c>
      <c r="H794" s="15" t="s">
        <v>7779</v>
      </c>
      <c r="I794" s="15"/>
      <c r="J794" s="15" t="s">
        <v>6154</v>
      </c>
      <c r="K794" s="15" t="s">
        <v>368</v>
      </c>
      <c r="L794" s="15" t="s">
        <v>7780</v>
      </c>
      <c r="M794" s="15" t="s">
        <v>7781</v>
      </c>
      <c r="N794" s="15" t="s">
        <v>73</v>
      </c>
      <c r="O794" s="16" t="n">
        <v>0</v>
      </c>
      <c r="P794" s="16" t="n">
        <v>0</v>
      </c>
      <c r="Q794" s="16" t="n">
        <v>0</v>
      </c>
      <c r="R794" s="16" t="n">
        <v>0</v>
      </c>
      <c r="S794" s="16" t="n">
        <v>0</v>
      </c>
      <c r="T794" s="17" t="n">
        <f aca="false">AVERAGE(O794:Q794)</f>
        <v>0</v>
      </c>
      <c r="U794" s="18" t="str">
        <f aca="false">IF(T794&gt;=$H$3,"Eligible","Not Eligible")</f>
        <v>Not Eligible</v>
      </c>
      <c r="V794" s="19" t="n">
        <f aca="false">IF(T794&lt;$H$3,0,IFERROR(T794/SUMIF($T$5:$T$999,"&gt;="&amp;$H$3),0))</f>
        <v>0</v>
      </c>
      <c r="W794" s="15" t="str">
        <f aca="false">IF(T794=0,"Win-Back","Active")</f>
        <v>Win-Back</v>
      </c>
      <c r="X794" s="20" t="n">
        <f aca="false">IF(T794=0,0,IF(T794&gt;=$H$3,ROUND(T794*$D$3/SUMIF($T$5:$T$999,"&gt;="&amp;$H$3),0),ROUNDUP(T794*$D$3/SUMIF($T$5:$T$999,"&gt;="&amp;$H$3),0)))</f>
        <v>0</v>
      </c>
      <c r="Y794" s="21"/>
      <c r="Z794" s="16" t="str">
        <f aca="false">IF(X794=0,"",X794-Y794)</f>
        <v/>
      </c>
      <c r="AA794" s="22" t="str">
        <f aca="false">IFERROR(Y794/X794,"")</f>
        <v/>
      </c>
      <c r="AB794" s="16" t="n">
        <v>0</v>
      </c>
      <c r="AC794" s="21"/>
    </row>
    <row r="795" customFormat="false" ht="15" hidden="false" customHeight="true" outlineLevel="0" collapsed="false">
      <c r="A795" s="15" t="s">
        <v>7782</v>
      </c>
      <c r="B795" s="15" t="s">
        <v>7783</v>
      </c>
      <c r="C795" s="15" t="s">
        <v>7784</v>
      </c>
      <c r="D795" s="15" t="s">
        <v>6204</v>
      </c>
      <c r="E795" s="15" t="s">
        <v>6688</v>
      </c>
      <c r="F795" s="15" t="s">
        <v>6206</v>
      </c>
      <c r="G795" s="15" t="s">
        <v>6207</v>
      </c>
      <c r="H795" s="15" t="s">
        <v>7785</v>
      </c>
      <c r="I795" s="15" t="s">
        <v>148</v>
      </c>
      <c r="J795" s="15" t="s">
        <v>2688</v>
      </c>
      <c r="K795" s="15" t="s">
        <v>368</v>
      </c>
      <c r="L795" s="15" t="s">
        <v>2689</v>
      </c>
      <c r="M795" s="15" t="s">
        <v>6210</v>
      </c>
      <c r="N795" s="15" t="s">
        <v>73</v>
      </c>
      <c r="O795" s="16" t="n">
        <v>0</v>
      </c>
      <c r="P795" s="16" t="n">
        <v>0</v>
      </c>
      <c r="Q795" s="16" t="n">
        <v>0</v>
      </c>
      <c r="R795" s="16" t="n">
        <v>0</v>
      </c>
      <c r="S795" s="16" t="n">
        <v>0</v>
      </c>
      <c r="T795" s="17" t="n">
        <f aca="false">AVERAGE(O795:Q795)</f>
        <v>0</v>
      </c>
      <c r="U795" s="18" t="str">
        <f aca="false">IF(T795&gt;=$H$3,"Eligible","Not Eligible")</f>
        <v>Not Eligible</v>
      </c>
      <c r="V795" s="19" t="n">
        <f aca="false">IF(T795&lt;$H$3,0,IFERROR(T795/SUMIF($T$5:$T$999,"&gt;="&amp;$H$3),0))</f>
        <v>0</v>
      </c>
      <c r="W795" s="15" t="str">
        <f aca="false">IF(T795=0,"Win-Back","Active")</f>
        <v>Win-Back</v>
      </c>
      <c r="X795" s="20" t="n">
        <f aca="false">IF(T795=0,0,IF(T795&gt;=$H$3,ROUND(T795*$D$3/SUMIF($T$5:$T$999,"&gt;="&amp;$H$3),0),ROUNDUP(T795*$D$3/SUMIF($T$5:$T$999,"&gt;="&amp;$H$3),0)))</f>
        <v>0</v>
      </c>
      <c r="Y795" s="21"/>
      <c r="Z795" s="16" t="str">
        <f aca="false">IF(X795=0,"",X795-Y795)</f>
        <v/>
      </c>
      <c r="AA795" s="22" t="str">
        <f aca="false">IFERROR(Y795/X795,"")</f>
        <v/>
      </c>
      <c r="AB795" s="16" t="n">
        <v>0</v>
      </c>
      <c r="AC795" s="21"/>
    </row>
    <row r="796" customFormat="false" ht="15" hidden="false" customHeight="true" outlineLevel="0" collapsed="false">
      <c r="A796" s="15" t="s">
        <v>7786</v>
      </c>
      <c r="B796" s="15" t="s">
        <v>7787</v>
      </c>
      <c r="C796" s="15" t="s">
        <v>7788</v>
      </c>
      <c r="D796" s="15" t="s">
        <v>7789</v>
      </c>
      <c r="E796" s="15" t="s">
        <v>7790</v>
      </c>
      <c r="F796" s="15" t="s">
        <v>7791</v>
      </c>
      <c r="G796" s="15" t="s">
        <v>7792</v>
      </c>
      <c r="H796" s="15" t="s">
        <v>7793</v>
      </c>
      <c r="I796" s="15"/>
      <c r="J796" s="15" t="s">
        <v>777</v>
      </c>
      <c r="K796" s="15" t="s">
        <v>70</v>
      </c>
      <c r="L796" s="15" t="s">
        <v>2390</v>
      </c>
      <c r="M796" s="15" t="s">
        <v>7794</v>
      </c>
      <c r="N796" s="15" t="s">
        <v>73</v>
      </c>
      <c r="O796" s="16" t="n">
        <v>0</v>
      </c>
      <c r="P796" s="16" t="n">
        <v>0</v>
      </c>
      <c r="Q796" s="16" t="n">
        <v>0</v>
      </c>
      <c r="R796" s="16" t="n">
        <v>0</v>
      </c>
      <c r="S796" s="16" t="n">
        <v>0</v>
      </c>
      <c r="T796" s="17" t="n">
        <f aca="false">AVERAGE(O796:Q796)</f>
        <v>0</v>
      </c>
      <c r="U796" s="18" t="str">
        <f aca="false">IF(T796&gt;=$H$3,"Eligible","Not Eligible")</f>
        <v>Not Eligible</v>
      </c>
      <c r="V796" s="19" t="n">
        <f aca="false">IF(T796&lt;$H$3,0,IFERROR(T796/SUMIF($T$5:$T$999,"&gt;="&amp;$H$3),0))</f>
        <v>0</v>
      </c>
      <c r="W796" s="15" t="str">
        <f aca="false">IF(T796=0,"Win-Back","Active")</f>
        <v>Win-Back</v>
      </c>
      <c r="X796" s="20" t="n">
        <f aca="false">IF(T796=0,0,IF(T796&gt;=$H$3,ROUND(T796*$D$3/SUMIF($T$5:$T$999,"&gt;="&amp;$H$3),0),ROUNDUP(T796*$D$3/SUMIF($T$5:$T$999,"&gt;="&amp;$H$3),0)))</f>
        <v>0</v>
      </c>
      <c r="Y796" s="21"/>
      <c r="Z796" s="16" t="str">
        <f aca="false">IF(X796=0,"",X796-Y796)</f>
        <v/>
      </c>
      <c r="AA796" s="22" t="str">
        <f aca="false">IFERROR(Y796/X796,"")</f>
        <v/>
      </c>
      <c r="AB796" s="16" t="n">
        <v>0</v>
      </c>
      <c r="AC796" s="21"/>
    </row>
    <row r="797" customFormat="false" ht="15" hidden="false" customHeight="true" outlineLevel="0" collapsed="false">
      <c r="A797" s="15" t="s">
        <v>7795</v>
      </c>
      <c r="B797" s="15" t="s">
        <v>7796</v>
      </c>
      <c r="C797" s="15" t="s">
        <v>7797</v>
      </c>
      <c r="D797" s="15" t="s">
        <v>7798</v>
      </c>
      <c r="E797" s="15" t="s">
        <v>7799</v>
      </c>
      <c r="F797" s="15" t="s">
        <v>7800</v>
      </c>
      <c r="G797" s="15" t="s">
        <v>7801</v>
      </c>
      <c r="H797" s="15" t="s">
        <v>7802</v>
      </c>
      <c r="I797" s="15"/>
      <c r="J797" s="15" t="s">
        <v>7803</v>
      </c>
      <c r="K797" s="15" t="s">
        <v>1139</v>
      </c>
      <c r="L797" s="15" t="s">
        <v>7804</v>
      </c>
      <c r="M797" s="15" t="s">
        <v>7805</v>
      </c>
      <c r="N797" s="15" t="s">
        <v>73</v>
      </c>
      <c r="O797" s="16" t="n">
        <v>0</v>
      </c>
      <c r="P797" s="16" t="n">
        <v>0</v>
      </c>
      <c r="Q797" s="16" t="n">
        <v>0</v>
      </c>
      <c r="R797" s="16" t="n">
        <v>0</v>
      </c>
      <c r="S797" s="16" t="n">
        <v>0</v>
      </c>
      <c r="T797" s="17" t="n">
        <f aca="false">AVERAGE(O797:Q797)</f>
        <v>0</v>
      </c>
      <c r="U797" s="18" t="str">
        <f aca="false">IF(T797&gt;=$H$3,"Eligible","Not Eligible")</f>
        <v>Not Eligible</v>
      </c>
      <c r="V797" s="19" t="n">
        <f aca="false">IF(T797&lt;$H$3,0,IFERROR(T797/SUMIF($T$5:$T$999,"&gt;="&amp;$H$3),0))</f>
        <v>0</v>
      </c>
      <c r="W797" s="15" t="str">
        <f aca="false">IF(T797=0,"Win-Back","Active")</f>
        <v>Win-Back</v>
      </c>
      <c r="X797" s="20" t="n">
        <f aca="false">IF(T797=0,0,IF(T797&gt;=$H$3,ROUND(T797*$D$3/SUMIF($T$5:$T$999,"&gt;="&amp;$H$3),0),ROUNDUP(T797*$D$3/SUMIF($T$5:$T$999,"&gt;="&amp;$H$3),0)))</f>
        <v>0</v>
      </c>
      <c r="Y797" s="21"/>
      <c r="Z797" s="16" t="str">
        <f aca="false">IF(X797=0,"",X797-Y797)</f>
        <v/>
      </c>
      <c r="AA797" s="22" t="str">
        <f aca="false">IFERROR(Y797/X797,"")</f>
        <v/>
      </c>
      <c r="AB797" s="16" t="n">
        <v>0</v>
      </c>
      <c r="AC797" s="21"/>
    </row>
    <row r="798" customFormat="false" ht="15" hidden="false" customHeight="true" outlineLevel="0" collapsed="false">
      <c r="A798" s="15" t="s">
        <v>7806</v>
      </c>
      <c r="B798" s="15" t="s">
        <v>7807</v>
      </c>
      <c r="C798" s="15" t="s">
        <v>7808</v>
      </c>
      <c r="D798" s="15" t="s">
        <v>7809</v>
      </c>
      <c r="E798" s="15" t="s">
        <v>7810</v>
      </c>
      <c r="F798" s="15" t="s">
        <v>7811</v>
      </c>
      <c r="G798" s="15" t="s">
        <v>7812</v>
      </c>
      <c r="H798" s="15" t="s">
        <v>7813</v>
      </c>
      <c r="I798" s="15" t="s">
        <v>7814</v>
      </c>
      <c r="J798" s="15" t="s">
        <v>7815</v>
      </c>
      <c r="K798" s="15" t="s">
        <v>6683</v>
      </c>
      <c r="L798" s="15" t="s">
        <v>7816</v>
      </c>
      <c r="M798" s="15" t="s">
        <v>7817</v>
      </c>
      <c r="N798" s="15" t="s">
        <v>73</v>
      </c>
      <c r="O798" s="16" t="n">
        <v>0</v>
      </c>
      <c r="P798" s="16" t="n">
        <v>0</v>
      </c>
      <c r="Q798" s="16" t="n">
        <v>0</v>
      </c>
      <c r="R798" s="16" t="n">
        <v>0</v>
      </c>
      <c r="S798" s="16" t="n">
        <v>0</v>
      </c>
      <c r="T798" s="17" t="n">
        <f aca="false">AVERAGE(O798:Q798)</f>
        <v>0</v>
      </c>
      <c r="U798" s="18" t="str">
        <f aca="false">IF(T798&gt;=$H$3,"Eligible","Not Eligible")</f>
        <v>Not Eligible</v>
      </c>
      <c r="V798" s="19" t="n">
        <f aca="false">IF(T798&lt;$H$3,0,IFERROR(T798/SUMIF($T$5:$T$999,"&gt;="&amp;$H$3),0))</f>
        <v>0</v>
      </c>
      <c r="W798" s="15" t="str">
        <f aca="false">IF(T798=0,"Win-Back","Active")</f>
        <v>Win-Back</v>
      </c>
      <c r="X798" s="20" t="n">
        <f aca="false">IF(T798=0,0,IF(T798&gt;=$H$3,ROUND(T798*$D$3/SUMIF($T$5:$T$999,"&gt;="&amp;$H$3),0),ROUNDUP(T798*$D$3/SUMIF($T$5:$T$999,"&gt;="&amp;$H$3),0)))</f>
        <v>0</v>
      </c>
      <c r="Y798" s="21"/>
      <c r="Z798" s="16" t="str">
        <f aca="false">IF(X798=0,"",X798-Y798)</f>
        <v/>
      </c>
      <c r="AA798" s="22" t="str">
        <f aca="false">IFERROR(Y798/X798,"")</f>
        <v/>
      </c>
      <c r="AB798" s="16" t="n">
        <v>0</v>
      </c>
      <c r="AC798" s="21"/>
    </row>
    <row r="799" customFormat="false" ht="15" hidden="false" customHeight="true" outlineLevel="0" collapsed="false">
      <c r="A799" s="15" t="s">
        <v>7818</v>
      </c>
      <c r="B799" s="15" t="s">
        <v>7819</v>
      </c>
      <c r="C799" s="15" t="s">
        <v>7820</v>
      </c>
      <c r="D799" s="15" t="s">
        <v>7821</v>
      </c>
      <c r="E799" s="15" t="s">
        <v>7822</v>
      </c>
      <c r="F799" s="15" t="s">
        <v>5890</v>
      </c>
      <c r="G799" s="15" t="s">
        <v>5891</v>
      </c>
      <c r="H799" s="15" t="s">
        <v>7823</v>
      </c>
      <c r="I799" s="15" t="s">
        <v>6483</v>
      </c>
      <c r="J799" s="15" t="s">
        <v>594</v>
      </c>
      <c r="K799" s="15" t="s">
        <v>368</v>
      </c>
      <c r="L799" s="15" t="s">
        <v>6709</v>
      </c>
      <c r="M799" s="15" t="s">
        <v>7265</v>
      </c>
      <c r="N799" s="15" t="s">
        <v>73</v>
      </c>
      <c r="O799" s="16" t="n">
        <v>0</v>
      </c>
      <c r="P799" s="16" t="n">
        <v>0</v>
      </c>
      <c r="Q799" s="16" t="n">
        <v>0</v>
      </c>
      <c r="R799" s="16" t="n">
        <v>0</v>
      </c>
      <c r="S799" s="16" t="n">
        <v>0</v>
      </c>
      <c r="T799" s="17" t="n">
        <f aca="false">AVERAGE(O799:Q799)</f>
        <v>0</v>
      </c>
      <c r="U799" s="18" t="str">
        <f aca="false">IF(T799&gt;=$H$3,"Eligible","Not Eligible")</f>
        <v>Not Eligible</v>
      </c>
      <c r="V799" s="19" t="n">
        <f aca="false">IF(T799&lt;$H$3,0,IFERROR(T799/SUMIF($T$5:$T$999,"&gt;="&amp;$H$3),0))</f>
        <v>0</v>
      </c>
      <c r="W799" s="15" t="str">
        <f aca="false">IF(T799=0,"Win-Back","Active")</f>
        <v>Win-Back</v>
      </c>
      <c r="X799" s="20" t="n">
        <f aca="false">IF(T799=0,0,IF(T799&gt;=$H$3,ROUND(T799*$D$3/SUMIF($T$5:$T$999,"&gt;="&amp;$H$3),0),ROUNDUP(T799*$D$3/SUMIF($T$5:$T$999,"&gt;="&amp;$H$3),0)))</f>
        <v>0</v>
      </c>
      <c r="Y799" s="21"/>
      <c r="Z799" s="16" t="str">
        <f aca="false">IF(X799=0,"",X799-Y799)</f>
        <v/>
      </c>
      <c r="AA799" s="22" t="str">
        <f aca="false">IFERROR(Y799/X799,"")</f>
        <v/>
      </c>
      <c r="AB799" s="16" t="n">
        <v>0</v>
      </c>
      <c r="AC799" s="21"/>
    </row>
    <row r="800" customFormat="false" ht="15" hidden="false" customHeight="true" outlineLevel="0" collapsed="false">
      <c r="A800" s="15" t="s">
        <v>7824</v>
      </c>
      <c r="B800" s="15" t="s">
        <v>7825</v>
      </c>
      <c r="C800" s="15" t="s">
        <v>7826</v>
      </c>
      <c r="D800" s="15" t="s">
        <v>7827</v>
      </c>
      <c r="E800" s="15" t="s">
        <v>7828</v>
      </c>
      <c r="F800" s="15" t="s">
        <v>7829</v>
      </c>
      <c r="G800" s="15" t="s">
        <v>7830</v>
      </c>
      <c r="H800" s="15" t="s">
        <v>7831</v>
      </c>
      <c r="I800" s="15"/>
      <c r="J800" s="15" t="s">
        <v>7832</v>
      </c>
      <c r="K800" s="15" t="s">
        <v>615</v>
      </c>
      <c r="L800" s="15" t="s">
        <v>7833</v>
      </c>
      <c r="M800" s="15" t="s">
        <v>7834</v>
      </c>
      <c r="N800" s="15" t="s">
        <v>73</v>
      </c>
      <c r="O800" s="16" t="n">
        <v>0</v>
      </c>
      <c r="P800" s="16" t="n">
        <v>0</v>
      </c>
      <c r="Q800" s="16" t="n">
        <v>0</v>
      </c>
      <c r="R800" s="16" t="n">
        <v>0</v>
      </c>
      <c r="S800" s="16" t="n">
        <v>0</v>
      </c>
      <c r="T800" s="17" t="n">
        <f aca="false">AVERAGE(O800:Q800)</f>
        <v>0</v>
      </c>
      <c r="U800" s="18" t="str">
        <f aca="false">IF(T800&gt;=$H$3,"Eligible","Not Eligible")</f>
        <v>Not Eligible</v>
      </c>
      <c r="V800" s="19" t="n">
        <f aca="false">IF(T800&lt;$H$3,0,IFERROR(T800/SUMIF($T$5:$T$999,"&gt;="&amp;$H$3),0))</f>
        <v>0</v>
      </c>
      <c r="W800" s="15" t="str">
        <f aca="false">IF(T800=0,"Win-Back","Active")</f>
        <v>Win-Back</v>
      </c>
      <c r="X800" s="20" t="n">
        <f aca="false">IF(T800=0,0,IF(T800&gt;=$H$3,ROUND(T800*$D$3/SUMIF($T$5:$T$999,"&gt;="&amp;$H$3),0),ROUNDUP(T800*$D$3/SUMIF($T$5:$T$999,"&gt;="&amp;$H$3),0)))</f>
        <v>0</v>
      </c>
      <c r="Y800" s="21"/>
      <c r="Z800" s="16" t="str">
        <f aca="false">IF(X800=0,"",X800-Y800)</f>
        <v/>
      </c>
      <c r="AA800" s="22" t="str">
        <f aca="false">IFERROR(Y800/X800,"")</f>
        <v/>
      </c>
      <c r="AB800" s="16" t="n">
        <v>0</v>
      </c>
      <c r="AC800" s="21"/>
    </row>
    <row r="801" customFormat="false" ht="15" hidden="false" customHeight="true" outlineLevel="0" collapsed="false">
      <c r="A801" s="15" t="s">
        <v>7835</v>
      </c>
      <c r="B801" s="15" t="s">
        <v>7836</v>
      </c>
      <c r="C801" s="15" t="s">
        <v>7837</v>
      </c>
      <c r="D801" s="15" t="s">
        <v>7838</v>
      </c>
      <c r="E801" s="15" t="s">
        <v>7839</v>
      </c>
      <c r="F801" s="15" t="s">
        <v>7840</v>
      </c>
      <c r="G801" s="15" t="s">
        <v>7841</v>
      </c>
      <c r="H801" s="15" t="s">
        <v>7842</v>
      </c>
      <c r="I801" s="15"/>
      <c r="J801" s="15" t="s">
        <v>7843</v>
      </c>
      <c r="K801" s="15" t="s">
        <v>563</v>
      </c>
      <c r="L801" s="15" t="s">
        <v>7844</v>
      </c>
      <c r="M801" s="15" t="s">
        <v>7845</v>
      </c>
      <c r="N801" s="15" t="s">
        <v>73</v>
      </c>
      <c r="O801" s="16" t="n">
        <v>0</v>
      </c>
      <c r="P801" s="16" t="n">
        <v>0</v>
      </c>
      <c r="Q801" s="16" t="n">
        <v>0</v>
      </c>
      <c r="R801" s="16" t="n">
        <v>0</v>
      </c>
      <c r="S801" s="16" t="n">
        <v>0</v>
      </c>
      <c r="T801" s="17" t="n">
        <f aca="false">AVERAGE(O801:Q801)</f>
        <v>0</v>
      </c>
      <c r="U801" s="18" t="str">
        <f aca="false">IF(T801&gt;=$H$3,"Eligible","Not Eligible")</f>
        <v>Not Eligible</v>
      </c>
      <c r="V801" s="19" t="n">
        <f aca="false">IF(T801&lt;$H$3,0,IFERROR(T801/SUMIF($T$5:$T$999,"&gt;="&amp;$H$3),0))</f>
        <v>0</v>
      </c>
      <c r="W801" s="15" t="str">
        <f aca="false">IF(T801=0,"Win-Back","Active")</f>
        <v>Win-Back</v>
      </c>
      <c r="X801" s="20" t="n">
        <f aca="false">IF(T801=0,0,IF(T801&gt;=$H$3,ROUND(T801*$D$3/SUMIF($T$5:$T$999,"&gt;="&amp;$H$3),0),ROUNDUP(T801*$D$3/SUMIF($T$5:$T$999,"&gt;="&amp;$H$3),0)))</f>
        <v>0</v>
      </c>
      <c r="Y801" s="21"/>
      <c r="Z801" s="16" t="str">
        <f aca="false">IF(X801=0,"",X801-Y801)</f>
        <v/>
      </c>
      <c r="AA801" s="22" t="str">
        <f aca="false">IFERROR(Y801/X801,"")</f>
        <v/>
      </c>
      <c r="AB801" s="16" t="n">
        <v>0</v>
      </c>
      <c r="AC801" s="21"/>
    </row>
    <row r="802" customFormat="false" ht="15" hidden="false" customHeight="true" outlineLevel="0" collapsed="false">
      <c r="A802" s="15"/>
      <c r="B802" s="15"/>
      <c r="C802" s="15" t="s">
        <v>7846</v>
      </c>
      <c r="D802" s="15" t="s">
        <v>7847</v>
      </c>
      <c r="E802" s="15" t="s">
        <v>7848</v>
      </c>
      <c r="F802" s="15"/>
      <c r="G802" s="15"/>
      <c r="H802" s="15" t="s">
        <v>7849</v>
      </c>
      <c r="I802" s="15" t="s">
        <v>6051</v>
      </c>
      <c r="J802" s="15" t="s">
        <v>7850</v>
      </c>
      <c r="K802" s="15" t="s">
        <v>368</v>
      </c>
      <c r="L802" s="15" t="s">
        <v>7851</v>
      </c>
      <c r="M802" s="15" t="s">
        <v>4617</v>
      </c>
      <c r="N802" s="15" t="s">
        <v>73</v>
      </c>
      <c r="O802" s="16" t="n">
        <v>0</v>
      </c>
      <c r="P802" s="16" t="n">
        <v>0</v>
      </c>
      <c r="Q802" s="16" t="n">
        <v>0</v>
      </c>
      <c r="R802" s="16" t="n">
        <v>0</v>
      </c>
      <c r="S802" s="16" t="n">
        <v>0</v>
      </c>
      <c r="T802" s="17" t="n">
        <f aca="false">AVERAGE(O802:Q802)</f>
        <v>0</v>
      </c>
      <c r="U802" s="18" t="str">
        <f aca="false">IF(T802&gt;=$H$3,"Eligible","Not Eligible")</f>
        <v>Not Eligible</v>
      </c>
      <c r="V802" s="19" t="n">
        <f aca="false">IF(T802&lt;$H$3,0,IFERROR(T802/SUMIF($T$5:$T$999,"&gt;="&amp;$H$3),0))</f>
        <v>0</v>
      </c>
      <c r="W802" s="15" t="str">
        <f aca="false">IF(T802=0,"Win-Back","Active")</f>
        <v>Win-Back</v>
      </c>
      <c r="X802" s="20" t="n">
        <f aca="false">IF(T802=0,0,IF(T802&gt;=$H$3,ROUND(T802*$D$3/SUMIF($T$5:$T$999,"&gt;="&amp;$H$3),0),ROUNDUP(T802*$D$3/SUMIF($T$5:$T$999,"&gt;="&amp;$H$3),0)))</f>
        <v>0</v>
      </c>
      <c r="Y802" s="21"/>
      <c r="Z802" s="16" t="str">
        <f aca="false">IF(X802=0,"",X802-Y802)</f>
        <v/>
      </c>
      <c r="AA802" s="22" t="str">
        <f aca="false">IFERROR(Y802/X802,"")</f>
        <v/>
      </c>
      <c r="AB802" s="16" t="n">
        <v>0</v>
      </c>
      <c r="AC802" s="21"/>
    </row>
    <row r="803" customFormat="false" ht="15" hidden="false" customHeight="true" outlineLevel="0" collapsed="false">
      <c r="A803" s="15" t="s">
        <v>7852</v>
      </c>
      <c r="B803" s="15" t="s">
        <v>7853</v>
      </c>
      <c r="C803" s="15" t="s">
        <v>7854</v>
      </c>
      <c r="D803" s="15" t="s">
        <v>7855</v>
      </c>
      <c r="E803" s="15" t="s">
        <v>7856</v>
      </c>
      <c r="F803" s="15" t="s">
        <v>7857</v>
      </c>
      <c r="G803" s="15" t="s">
        <v>7858</v>
      </c>
      <c r="H803" s="15" t="s">
        <v>7859</v>
      </c>
      <c r="I803" s="15"/>
      <c r="J803" s="15" t="s">
        <v>46</v>
      </c>
      <c r="K803" s="15" t="s">
        <v>47</v>
      </c>
      <c r="L803" s="15" t="s">
        <v>7860</v>
      </c>
      <c r="M803" s="15" t="s">
        <v>7861</v>
      </c>
      <c r="N803" s="15" t="s">
        <v>73</v>
      </c>
      <c r="O803" s="16" t="n">
        <v>0</v>
      </c>
      <c r="P803" s="16" t="n">
        <v>0</v>
      </c>
      <c r="Q803" s="16" t="n">
        <v>0</v>
      </c>
      <c r="R803" s="16" t="n">
        <v>0</v>
      </c>
      <c r="S803" s="16" t="n">
        <v>0</v>
      </c>
      <c r="T803" s="17" t="n">
        <f aca="false">AVERAGE(O803:Q803)</f>
        <v>0</v>
      </c>
      <c r="U803" s="18" t="str">
        <f aca="false">IF(T803&gt;=$H$3,"Eligible","Not Eligible")</f>
        <v>Not Eligible</v>
      </c>
      <c r="V803" s="19" t="n">
        <f aca="false">IF(T803&lt;$H$3,0,IFERROR(T803/SUMIF($T$5:$T$999,"&gt;="&amp;$H$3),0))</f>
        <v>0</v>
      </c>
      <c r="W803" s="15" t="str">
        <f aca="false">IF(T803=0,"Win-Back","Active")</f>
        <v>Win-Back</v>
      </c>
      <c r="X803" s="20" t="n">
        <f aca="false">IF(T803=0,0,IF(T803&gt;=$H$3,ROUND(T803*$D$3/SUMIF($T$5:$T$999,"&gt;="&amp;$H$3),0),ROUNDUP(T803*$D$3/SUMIF($T$5:$T$999,"&gt;="&amp;$H$3),0)))</f>
        <v>0</v>
      </c>
      <c r="Y803" s="21"/>
      <c r="Z803" s="16" t="str">
        <f aca="false">IF(X803=0,"",X803-Y803)</f>
        <v/>
      </c>
      <c r="AA803" s="22" t="str">
        <f aca="false">IFERROR(Y803/X803,"")</f>
        <v/>
      </c>
      <c r="AB803" s="16" t="n">
        <v>0</v>
      </c>
      <c r="AC803" s="21"/>
    </row>
    <row r="804" customFormat="false" ht="15" hidden="false" customHeight="true" outlineLevel="0" collapsed="false">
      <c r="A804" s="15" t="s">
        <v>7862</v>
      </c>
      <c r="B804" s="15" t="s">
        <v>7863</v>
      </c>
      <c r="C804" s="15" t="s">
        <v>7864</v>
      </c>
      <c r="D804" s="15" t="s">
        <v>7865</v>
      </c>
      <c r="E804" s="15" t="s">
        <v>7866</v>
      </c>
      <c r="F804" s="15" t="s">
        <v>7867</v>
      </c>
      <c r="G804" s="15" t="s">
        <v>7868</v>
      </c>
      <c r="H804" s="15" t="s">
        <v>7869</v>
      </c>
      <c r="I804" s="15" t="s">
        <v>148</v>
      </c>
      <c r="J804" s="15" t="s">
        <v>7870</v>
      </c>
      <c r="K804" s="15" t="s">
        <v>615</v>
      </c>
      <c r="L804" s="15" t="s">
        <v>7871</v>
      </c>
      <c r="M804" s="15" t="s">
        <v>7872</v>
      </c>
      <c r="N804" s="15" t="s">
        <v>73</v>
      </c>
      <c r="O804" s="16" t="n">
        <v>0</v>
      </c>
      <c r="P804" s="16" t="n">
        <v>0</v>
      </c>
      <c r="Q804" s="16" t="n">
        <v>0</v>
      </c>
      <c r="R804" s="16" t="n">
        <v>0</v>
      </c>
      <c r="S804" s="16" t="n">
        <v>0</v>
      </c>
      <c r="T804" s="17" t="n">
        <f aca="false">AVERAGE(O804:Q804)</f>
        <v>0</v>
      </c>
      <c r="U804" s="18" t="str">
        <f aca="false">IF(T804&gt;=$H$3,"Eligible","Not Eligible")</f>
        <v>Not Eligible</v>
      </c>
      <c r="V804" s="19" t="n">
        <f aca="false">IF(T804&lt;$H$3,0,IFERROR(T804/SUMIF($T$5:$T$999,"&gt;="&amp;$H$3),0))</f>
        <v>0</v>
      </c>
      <c r="W804" s="15" t="str">
        <f aca="false">IF(T804=0,"Win-Back","Active")</f>
        <v>Win-Back</v>
      </c>
      <c r="X804" s="20" t="n">
        <f aca="false">IF(T804=0,0,IF(T804&gt;=$H$3,ROUND(T804*$D$3/SUMIF($T$5:$T$999,"&gt;="&amp;$H$3),0),ROUNDUP(T804*$D$3/SUMIF($T$5:$T$999,"&gt;="&amp;$H$3),0)))</f>
        <v>0</v>
      </c>
      <c r="Y804" s="21"/>
      <c r="Z804" s="16" t="str">
        <f aca="false">IF(X804=0,"",X804-Y804)</f>
        <v/>
      </c>
      <c r="AA804" s="22" t="str">
        <f aca="false">IFERROR(Y804/X804,"")</f>
        <v/>
      </c>
      <c r="AB804" s="16" t="n">
        <v>0</v>
      </c>
      <c r="AC804" s="21"/>
    </row>
    <row r="805" customFormat="false" ht="15" hidden="false" customHeight="true" outlineLevel="0" collapsed="false">
      <c r="A805" s="15" t="s">
        <v>7873</v>
      </c>
      <c r="B805" s="15" t="s">
        <v>7874</v>
      </c>
      <c r="C805" s="15" t="s">
        <v>7875</v>
      </c>
      <c r="D805" s="15" t="s">
        <v>7876</v>
      </c>
      <c r="E805" s="15" t="s">
        <v>7877</v>
      </c>
      <c r="F805" s="15" t="s">
        <v>7878</v>
      </c>
      <c r="G805" s="15" t="s">
        <v>7879</v>
      </c>
      <c r="H805" s="15" t="s">
        <v>7880</v>
      </c>
      <c r="I805" s="15"/>
      <c r="J805" s="15" t="s">
        <v>3668</v>
      </c>
      <c r="K805" s="15" t="s">
        <v>3669</v>
      </c>
      <c r="L805" s="15" t="s">
        <v>7881</v>
      </c>
      <c r="M805" s="15" t="s">
        <v>7882</v>
      </c>
      <c r="N805" s="15" t="s">
        <v>73</v>
      </c>
      <c r="O805" s="16" t="n">
        <v>0</v>
      </c>
      <c r="P805" s="16" t="n">
        <v>0</v>
      </c>
      <c r="Q805" s="16" t="n">
        <v>0</v>
      </c>
      <c r="R805" s="16" t="n">
        <v>0</v>
      </c>
      <c r="S805" s="16" t="n">
        <v>0</v>
      </c>
      <c r="T805" s="17" t="n">
        <f aca="false">AVERAGE(O805:Q805)</f>
        <v>0</v>
      </c>
      <c r="U805" s="18" t="str">
        <f aca="false">IF(T805&gt;=$H$3,"Eligible","Not Eligible")</f>
        <v>Not Eligible</v>
      </c>
      <c r="V805" s="19" t="n">
        <f aca="false">IF(T805&lt;$H$3,0,IFERROR(T805/SUMIF($T$5:$T$999,"&gt;="&amp;$H$3),0))</f>
        <v>0</v>
      </c>
      <c r="W805" s="15" t="str">
        <f aca="false">IF(T805=0,"Win-Back","Active")</f>
        <v>Win-Back</v>
      </c>
      <c r="X805" s="20" t="n">
        <f aca="false">IF(T805=0,0,IF(T805&gt;=$H$3,ROUND(T805*$D$3/SUMIF($T$5:$T$999,"&gt;="&amp;$H$3),0),ROUNDUP(T805*$D$3/SUMIF($T$5:$T$999,"&gt;="&amp;$H$3),0)))</f>
        <v>0</v>
      </c>
      <c r="Y805" s="21"/>
      <c r="Z805" s="16" t="str">
        <f aca="false">IF(X805=0,"",X805-Y805)</f>
        <v/>
      </c>
      <c r="AA805" s="22" t="str">
        <f aca="false">IFERROR(Y805/X805,"")</f>
        <v/>
      </c>
      <c r="AB805" s="16" t="n">
        <v>0</v>
      </c>
      <c r="AC805" s="21"/>
    </row>
    <row r="806" customFormat="false" ht="15" hidden="false" customHeight="true" outlineLevel="0" collapsed="false">
      <c r="A806" s="15" t="s">
        <v>7883</v>
      </c>
      <c r="B806" s="15" t="s">
        <v>7884</v>
      </c>
      <c r="C806" s="15" t="s">
        <v>7885</v>
      </c>
      <c r="D806" s="15" t="s">
        <v>7886</v>
      </c>
      <c r="E806" s="15" t="s">
        <v>7887</v>
      </c>
      <c r="F806" s="15" t="s">
        <v>7888</v>
      </c>
      <c r="G806" s="15" t="s">
        <v>7889</v>
      </c>
      <c r="H806" s="15" t="s">
        <v>7890</v>
      </c>
      <c r="I806" s="15"/>
      <c r="J806" s="15" t="s">
        <v>1965</v>
      </c>
      <c r="K806" s="15" t="s">
        <v>368</v>
      </c>
      <c r="L806" s="15" t="s">
        <v>1966</v>
      </c>
      <c r="M806" s="15" t="s">
        <v>7891</v>
      </c>
      <c r="N806" s="15" t="s">
        <v>73</v>
      </c>
      <c r="O806" s="16" t="n">
        <v>0</v>
      </c>
      <c r="P806" s="16" t="n">
        <v>0</v>
      </c>
      <c r="Q806" s="16" t="n">
        <v>0</v>
      </c>
      <c r="R806" s="16" t="n">
        <v>0</v>
      </c>
      <c r="S806" s="16" t="n">
        <v>0</v>
      </c>
      <c r="T806" s="17" t="n">
        <f aca="false">AVERAGE(O806:Q806)</f>
        <v>0</v>
      </c>
      <c r="U806" s="18" t="str">
        <f aca="false">IF(T806&gt;=$H$3,"Eligible","Not Eligible")</f>
        <v>Not Eligible</v>
      </c>
      <c r="V806" s="19" t="n">
        <f aca="false">IF(T806&lt;$H$3,0,IFERROR(T806/SUMIF($T$5:$T$999,"&gt;="&amp;$H$3),0))</f>
        <v>0</v>
      </c>
      <c r="W806" s="15" t="str">
        <f aca="false">IF(T806=0,"Win-Back","Active")</f>
        <v>Win-Back</v>
      </c>
      <c r="X806" s="20" t="n">
        <f aca="false">IF(T806=0,0,IF(T806&gt;=$H$3,ROUND(T806*$D$3/SUMIF($T$5:$T$999,"&gt;="&amp;$H$3),0),ROUNDUP(T806*$D$3/SUMIF($T$5:$T$999,"&gt;="&amp;$H$3),0)))</f>
        <v>0</v>
      </c>
      <c r="Y806" s="21"/>
      <c r="Z806" s="16" t="str">
        <f aca="false">IF(X806=0,"",X806-Y806)</f>
        <v/>
      </c>
      <c r="AA806" s="22" t="str">
        <f aca="false">IFERROR(Y806/X806,"")</f>
        <v/>
      </c>
      <c r="AB806" s="16" t="n">
        <v>0</v>
      </c>
      <c r="AC806" s="21"/>
    </row>
    <row r="807" customFormat="false" ht="15" hidden="false" customHeight="true" outlineLevel="0" collapsed="false">
      <c r="A807" s="15" t="s">
        <v>7892</v>
      </c>
      <c r="B807" s="15" t="s">
        <v>7893</v>
      </c>
      <c r="C807" s="15" t="s">
        <v>7894</v>
      </c>
      <c r="D807" s="15" t="s">
        <v>7895</v>
      </c>
      <c r="E807" s="15" t="s">
        <v>7896</v>
      </c>
      <c r="F807" s="15" t="s">
        <v>7897</v>
      </c>
      <c r="G807" s="15" t="s">
        <v>7898</v>
      </c>
      <c r="H807" s="15" t="s">
        <v>7899</v>
      </c>
      <c r="I807" s="15"/>
      <c r="J807" s="15" t="s">
        <v>46</v>
      </c>
      <c r="K807" s="15" t="s">
        <v>47</v>
      </c>
      <c r="L807" s="15" t="s">
        <v>7900</v>
      </c>
      <c r="M807" s="15" t="s">
        <v>7901</v>
      </c>
      <c r="N807" s="15" t="s">
        <v>73</v>
      </c>
      <c r="O807" s="16" t="n">
        <v>0</v>
      </c>
      <c r="P807" s="16" t="n">
        <v>0</v>
      </c>
      <c r="Q807" s="16" t="n">
        <v>0</v>
      </c>
      <c r="R807" s="16" t="n">
        <v>0</v>
      </c>
      <c r="S807" s="16" t="n">
        <v>0</v>
      </c>
      <c r="T807" s="17" t="n">
        <f aca="false">AVERAGE(O807:Q807)</f>
        <v>0</v>
      </c>
      <c r="U807" s="18" t="str">
        <f aca="false">IF(T807&gt;=$H$3,"Eligible","Not Eligible")</f>
        <v>Not Eligible</v>
      </c>
      <c r="V807" s="19" t="n">
        <f aca="false">IF(T807&lt;$H$3,0,IFERROR(T807/SUMIF($T$5:$T$999,"&gt;="&amp;$H$3),0))</f>
        <v>0</v>
      </c>
      <c r="W807" s="15" t="str">
        <f aca="false">IF(T807=0,"Win-Back","Active")</f>
        <v>Win-Back</v>
      </c>
      <c r="X807" s="20" t="n">
        <f aca="false">IF(T807=0,0,IF(T807&gt;=$H$3,ROUND(T807*$D$3/SUMIF($T$5:$T$999,"&gt;="&amp;$H$3),0),ROUNDUP(T807*$D$3/SUMIF($T$5:$T$999,"&gt;="&amp;$H$3),0)))</f>
        <v>0</v>
      </c>
      <c r="Y807" s="21"/>
      <c r="Z807" s="16" t="str">
        <f aca="false">IF(X807=0,"",X807-Y807)</f>
        <v/>
      </c>
      <c r="AA807" s="22" t="str">
        <f aca="false">IFERROR(Y807/X807,"")</f>
        <v/>
      </c>
      <c r="AB807" s="16" t="n">
        <v>0</v>
      </c>
      <c r="AC807" s="21"/>
    </row>
    <row r="808" customFormat="false" ht="15" hidden="false" customHeight="true" outlineLevel="0" collapsed="false">
      <c r="A808" s="15" t="s">
        <v>7902</v>
      </c>
      <c r="B808" s="15" t="s">
        <v>7903</v>
      </c>
      <c r="C808" s="15" t="s">
        <v>7904</v>
      </c>
      <c r="D808" s="15" t="s">
        <v>7905</v>
      </c>
      <c r="E808" s="15" t="s">
        <v>7906</v>
      </c>
      <c r="F808" s="15" t="s">
        <v>7907</v>
      </c>
      <c r="G808" s="15" t="s">
        <v>7908</v>
      </c>
      <c r="H808" s="15" t="s">
        <v>7909</v>
      </c>
      <c r="I808" s="15" t="s">
        <v>968</v>
      </c>
      <c r="J808" s="15" t="s">
        <v>2688</v>
      </c>
      <c r="K808" s="15" t="s">
        <v>368</v>
      </c>
      <c r="L808" s="15" t="s">
        <v>2689</v>
      </c>
      <c r="M808" s="15" t="s">
        <v>7910</v>
      </c>
      <c r="N808" s="15" t="s">
        <v>73</v>
      </c>
      <c r="O808" s="16" t="n">
        <v>0</v>
      </c>
      <c r="P808" s="16" t="n">
        <v>0</v>
      </c>
      <c r="Q808" s="16" t="n">
        <v>0</v>
      </c>
      <c r="R808" s="16" t="n">
        <v>0</v>
      </c>
      <c r="S808" s="16" t="n">
        <v>0</v>
      </c>
      <c r="T808" s="17" t="n">
        <f aca="false">AVERAGE(O808:Q808)</f>
        <v>0</v>
      </c>
      <c r="U808" s="18" t="str">
        <f aca="false">IF(T808&gt;=$H$3,"Eligible","Not Eligible")</f>
        <v>Not Eligible</v>
      </c>
      <c r="V808" s="19" t="n">
        <f aca="false">IF(T808&lt;$H$3,0,IFERROR(T808/SUMIF($T$5:$T$999,"&gt;="&amp;$H$3),0))</f>
        <v>0</v>
      </c>
      <c r="W808" s="15" t="str">
        <f aca="false">IF(T808=0,"Win-Back","Active")</f>
        <v>Win-Back</v>
      </c>
      <c r="X808" s="20" t="n">
        <f aca="false">IF(T808=0,0,IF(T808&gt;=$H$3,ROUND(T808*$D$3/SUMIF($T$5:$T$999,"&gt;="&amp;$H$3),0),ROUNDUP(T808*$D$3/SUMIF($T$5:$T$999,"&gt;="&amp;$H$3),0)))</f>
        <v>0</v>
      </c>
      <c r="Y808" s="21"/>
      <c r="Z808" s="16" t="str">
        <f aca="false">IF(X808=0,"",X808-Y808)</f>
        <v/>
      </c>
      <c r="AA808" s="22" t="str">
        <f aca="false">IFERROR(Y808/X808,"")</f>
        <v/>
      </c>
      <c r="AB808" s="16" t="n">
        <v>0</v>
      </c>
      <c r="AC808" s="21"/>
    </row>
    <row r="809" customFormat="false" ht="15" hidden="false" customHeight="true" outlineLevel="0" collapsed="false">
      <c r="A809" s="15" t="s">
        <v>7911</v>
      </c>
      <c r="B809" s="15" t="s">
        <v>7912</v>
      </c>
      <c r="C809" s="15" t="s">
        <v>7913</v>
      </c>
      <c r="D809" s="15" t="s">
        <v>7914</v>
      </c>
      <c r="E809" s="15" t="s">
        <v>7915</v>
      </c>
      <c r="F809" s="15" t="s">
        <v>7916</v>
      </c>
      <c r="G809" s="15" t="s">
        <v>7917</v>
      </c>
      <c r="H809" s="15" t="s">
        <v>7918</v>
      </c>
      <c r="I809" s="15"/>
      <c r="J809" s="15" t="s">
        <v>6878</v>
      </c>
      <c r="K809" s="15" t="s">
        <v>70</v>
      </c>
      <c r="L809" s="15" t="s">
        <v>7919</v>
      </c>
      <c r="M809" s="15" t="s">
        <v>7920</v>
      </c>
      <c r="N809" s="15" t="s">
        <v>73</v>
      </c>
      <c r="O809" s="16" t="n">
        <v>0</v>
      </c>
      <c r="P809" s="16" t="n">
        <v>0</v>
      </c>
      <c r="Q809" s="16" t="n">
        <v>0</v>
      </c>
      <c r="R809" s="16" t="n">
        <v>0</v>
      </c>
      <c r="S809" s="16" t="n">
        <v>0</v>
      </c>
      <c r="T809" s="17" t="n">
        <f aca="false">AVERAGE(O809:Q809)</f>
        <v>0</v>
      </c>
      <c r="U809" s="18" t="str">
        <f aca="false">IF(T809&gt;=$H$3,"Eligible","Not Eligible")</f>
        <v>Not Eligible</v>
      </c>
      <c r="V809" s="19" t="n">
        <f aca="false">IF(T809&lt;$H$3,0,IFERROR(T809/SUMIF($T$5:$T$999,"&gt;="&amp;$H$3),0))</f>
        <v>0</v>
      </c>
      <c r="W809" s="15" t="str">
        <f aca="false">IF(T809=0,"Win-Back","Active")</f>
        <v>Win-Back</v>
      </c>
      <c r="X809" s="20" t="n">
        <f aca="false">IF(T809=0,0,IF(T809&gt;=$H$3,ROUND(T809*$D$3/SUMIF($T$5:$T$999,"&gt;="&amp;$H$3),0),ROUNDUP(T809*$D$3/SUMIF($T$5:$T$999,"&gt;="&amp;$H$3),0)))</f>
        <v>0</v>
      </c>
      <c r="Y809" s="21"/>
      <c r="Z809" s="16" t="str">
        <f aca="false">IF(X809=0,"",X809-Y809)</f>
        <v/>
      </c>
      <c r="AA809" s="22" t="str">
        <f aca="false">IFERROR(Y809/X809,"")</f>
        <v/>
      </c>
      <c r="AB809" s="16" t="n">
        <v>0</v>
      </c>
      <c r="AC809" s="21"/>
    </row>
    <row r="810" customFormat="false" ht="15" hidden="false" customHeight="true" outlineLevel="0" collapsed="false">
      <c r="A810" s="15" t="s">
        <v>7921</v>
      </c>
      <c r="B810" s="15" t="s">
        <v>7922</v>
      </c>
      <c r="C810" s="15" t="s">
        <v>7923</v>
      </c>
      <c r="D810" s="15" t="s">
        <v>7924</v>
      </c>
      <c r="E810" s="15" t="s">
        <v>7925</v>
      </c>
      <c r="F810" s="15" t="s">
        <v>7926</v>
      </c>
      <c r="G810" s="15" t="s">
        <v>7927</v>
      </c>
      <c r="H810" s="15" t="s">
        <v>7928</v>
      </c>
      <c r="I810" s="15"/>
      <c r="J810" s="15" t="s">
        <v>7929</v>
      </c>
      <c r="K810" s="15" t="s">
        <v>368</v>
      </c>
      <c r="L810" s="15" t="s">
        <v>7930</v>
      </c>
      <c r="M810" s="15" t="s">
        <v>7931</v>
      </c>
      <c r="N810" s="15" t="s">
        <v>73</v>
      </c>
      <c r="O810" s="16" t="n">
        <v>0</v>
      </c>
      <c r="P810" s="16" t="n">
        <v>0</v>
      </c>
      <c r="Q810" s="16" t="n">
        <v>0</v>
      </c>
      <c r="R810" s="16" t="n">
        <v>0</v>
      </c>
      <c r="S810" s="16" t="n">
        <v>0</v>
      </c>
      <c r="T810" s="17" t="n">
        <f aca="false">AVERAGE(O810:Q810)</f>
        <v>0</v>
      </c>
      <c r="U810" s="18" t="str">
        <f aca="false">IF(T810&gt;=$H$3,"Eligible","Not Eligible")</f>
        <v>Not Eligible</v>
      </c>
      <c r="V810" s="19" t="n">
        <f aca="false">IF(T810&lt;$H$3,0,IFERROR(T810/SUMIF($T$5:$T$999,"&gt;="&amp;$H$3),0))</f>
        <v>0</v>
      </c>
      <c r="W810" s="15" t="str">
        <f aca="false">IF(T810=0,"Win-Back","Active")</f>
        <v>Win-Back</v>
      </c>
      <c r="X810" s="20" t="n">
        <f aca="false">IF(T810=0,0,IF(T810&gt;=$H$3,ROUND(T810*$D$3/SUMIF($T$5:$T$999,"&gt;="&amp;$H$3),0),ROUNDUP(T810*$D$3/SUMIF($T$5:$T$999,"&gt;="&amp;$H$3),0)))</f>
        <v>0</v>
      </c>
      <c r="Y810" s="21"/>
      <c r="Z810" s="16" t="str">
        <f aca="false">IF(X810=0,"",X810-Y810)</f>
        <v/>
      </c>
      <c r="AA810" s="22" t="str">
        <f aca="false">IFERROR(Y810/X810,"")</f>
        <v/>
      </c>
      <c r="AB810" s="16" t="n">
        <v>0</v>
      </c>
      <c r="AC810" s="21"/>
    </row>
    <row r="811" customFormat="false" ht="15" hidden="false" customHeight="true" outlineLevel="0" collapsed="false">
      <c r="A811" s="15" t="s">
        <v>7932</v>
      </c>
      <c r="B811" s="15" t="s">
        <v>7933</v>
      </c>
      <c r="C811" s="15" t="s">
        <v>7934</v>
      </c>
      <c r="D811" s="15" t="s">
        <v>7935</v>
      </c>
      <c r="E811" s="15" t="s">
        <v>7936</v>
      </c>
      <c r="F811" s="15" t="s">
        <v>3470</v>
      </c>
      <c r="G811" s="15" t="s">
        <v>7937</v>
      </c>
      <c r="H811" s="15" t="s">
        <v>7938</v>
      </c>
      <c r="I811" s="15" t="s">
        <v>1739</v>
      </c>
      <c r="J811" s="15" t="s">
        <v>3377</v>
      </c>
      <c r="K811" s="15" t="s">
        <v>615</v>
      </c>
      <c r="L811" s="15" t="s">
        <v>3752</v>
      </c>
      <c r="M811" s="15" t="s">
        <v>7939</v>
      </c>
      <c r="N811" s="15" t="s">
        <v>73</v>
      </c>
      <c r="O811" s="16" t="n">
        <v>0</v>
      </c>
      <c r="P811" s="16" t="n">
        <v>0</v>
      </c>
      <c r="Q811" s="16" t="n">
        <v>0</v>
      </c>
      <c r="R811" s="16" t="n">
        <v>0</v>
      </c>
      <c r="S811" s="16" t="n">
        <v>0</v>
      </c>
      <c r="T811" s="17" t="n">
        <f aca="false">AVERAGE(O811:Q811)</f>
        <v>0</v>
      </c>
      <c r="U811" s="18" t="str">
        <f aca="false">IF(T811&gt;=$H$3,"Eligible","Not Eligible")</f>
        <v>Not Eligible</v>
      </c>
      <c r="V811" s="19" t="n">
        <f aca="false">IF(T811&lt;$H$3,0,IFERROR(T811/SUMIF($T$5:$T$999,"&gt;="&amp;$H$3),0))</f>
        <v>0</v>
      </c>
      <c r="W811" s="15" t="str">
        <f aca="false">IF(T811=0,"Win-Back","Active")</f>
        <v>Win-Back</v>
      </c>
      <c r="X811" s="20" t="n">
        <f aca="false">IF(T811=0,0,IF(T811&gt;=$H$3,ROUND(T811*$D$3/SUMIF($T$5:$T$999,"&gt;="&amp;$H$3),0),ROUNDUP(T811*$D$3/SUMIF($T$5:$T$999,"&gt;="&amp;$H$3),0)))</f>
        <v>0</v>
      </c>
      <c r="Y811" s="21"/>
      <c r="Z811" s="16" t="str">
        <f aca="false">IF(X811=0,"",X811-Y811)</f>
        <v/>
      </c>
      <c r="AA811" s="22" t="str">
        <f aca="false">IFERROR(Y811/X811,"")</f>
        <v/>
      </c>
      <c r="AB811" s="16" t="n">
        <v>0</v>
      </c>
      <c r="AC811" s="21"/>
    </row>
    <row r="812" customFormat="false" ht="15" hidden="false" customHeight="true" outlineLevel="0" collapsed="false">
      <c r="A812" s="15" t="s">
        <v>7940</v>
      </c>
      <c r="B812" s="15" t="s">
        <v>7941</v>
      </c>
      <c r="C812" s="15" t="s">
        <v>7942</v>
      </c>
      <c r="D812" s="15" t="s">
        <v>7943</v>
      </c>
      <c r="E812" s="15" t="s">
        <v>7944</v>
      </c>
      <c r="F812" s="15" t="s">
        <v>7945</v>
      </c>
      <c r="G812" s="15" t="s">
        <v>7946</v>
      </c>
      <c r="H812" s="15" t="s">
        <v>7947</v>
      </c>
      <c r="I812" s="15"/>
      <c r="J812" s="15" t="s">
        <v>1623</v>
      </c>
      <c r="K812" s="15" t="s">
        <v>615</v>
      </c>
      <c r="L812" s="15" t="s">
        <v>7948</v>
      </c>
      <c r="M812" s="15" t="s">
        <v>7949</v>
      </c>
      <c r="N812" s="15" t="s">
        <v>73</v>
      </c>
      <c r="O812" s="16" t="n">
        <v>0</v>
      </c>
      <c r="P812" s="16" t="n">
        <v>0</v>
      </c>
      <c r="Q812" s="16" t="n">
        <v>0</v>
      </c>
      <c r="R812" s="16" t="n">
        <v>0</v>
      </c>
      <c r="S812" s="16" t="n">
        <v>0</v>
      </c>
      <c r="T812" s="17" t="n">
        <f aca="false">AVERAGE(O812:Q812)</f>
        <v>0</v>
      </c>
      <c r="U812" s="18" t="str">
        <f aca="false">IF(T812&gt;=$H$3,"Eligible","Not Eligible")</f>
        <v>Not Eligible</v>
      </c>
      <c r="V812" s="19" t="n">
        <f aca="false">IF(T812&lt;$H$3,0,IFERROR(T812/SUMIF($T$5:$T$999,"&gt;="&amp;$H$3),0))</f>
        <v>0</v>
      </c>
      <c r="W812" s="15" t="str">
        <f aca="false">IF(T812=0,"Win-Back","Active")</f>
        <v>Win-Back</v>
      </c>
      <c r="X812" s="20" t="n">
        <f aca="false">IF(T812=0,0,IF(T812&gt;=$H$3,ROUND(T812*$D$3/SUMIF($T$5:$T$999,"&gt;="&amp;$H$3),0),ROUNDUP(T812*$D$3/SUMIF($T$5:$T$999,"&gt;="&amp;$H$3),0)))</f>
        <v>0</v>
      </c>
      <c r="Y812" s="21"/>
      <c r="Z812" s="16" t="str">
        <f aca="false">IF(X812=0,"",X812-Y812)</f>
        <v/>
      </c>
      <c r="AA812" s="22" t="str">
        <f aca="false">IFERROR(Y812/X812,"")</f>
        <v/>
      </c>
      <c r="AB812" s="16" t="n">
        <v>0</v>
      </c>
      <c r="AC812" s="21"/>
    </row>
    <row r="813" customFormat="false" ht="15" hidden="false" customHeight="true" outlineLevel="0" collapsed="false">
      <c r="A813" s="15" t="s">
        <v>7950</v>
      </c>
      <c r="B813" s="15" t="s">
        <v>7951</v>
      </c>
      <c r="C813" s="15" t="s">
        <v>7952</v>
      </c>
      <c r="D813" s="15" t="s">
        <v>7953</v>
      </c>
      <c r="E813" s="15" t="s">
        <v>7954</v>
      </c>
      <c r="F813" s="15" t="s">
        <v>7955</v>
      </c>
      <c r="G813" s="15" t="s">
        <v>7956</v>
      </c>
      <c r="H813" s="15" t="s">
        <v>7957</v>
      </c>
      <c r="I813" s="15"/>
      <c r="J813" s="15" t="s">
        <v>46</v>
      </c>
      <c r="K813" s="15" t="s">
        <v>47</v>
      </c>
      <c r="L813" s="15" t="s">
        <v>223</v>
      </c>
      <c r="M813" s="15" t="s">
        <v>7958</v>
      </c>
      <c r="N813" s="15" t="s">
        <v>73</v>
      </c>
      <c r="O813" s="16" t="n">
        <v>0</v>
      </c>
      <c r="P813" s="16" t="n">
        <v>0</v>
      </c>
      <c r="Q813" s="16" t="n">
        <v>0</v>
      </c>
      <c r="R813" s="16" t="n">
        <v>0</v>
      </c>
      <c r="S813" s="16" t="n">
        <v>0</v>
      </c>
      <c r="T813" s="17" t="n">
        <f aca="false">AVERAGE(O813:Q813)</f>
        <v>0</v>
      </c>
      <c r="U813" s="18" t="str">
        <f aca="false">IF(T813&gt;=$H$3,"Eligible","Not Eligible")</f>
        <v>Not Eligible</v>
      </c>
      <c r="V813" s="19" t="n">
        <f aca="false">IF(T813&lt;$H$3,0,IFERROR(T813/SUMIF($T$5:$T$999,"&gt;="&amp;$H$3),0))</f>
        <v>0</v>
      </c>
      <c r="W813" s="15" t="str">
        <f aca="false">IF(T813=0,"Win-Back","Active")</f>
        <v>Win-Back</v>
      </c>
      <c r="X813" s="20" t="n">
        <f aca="false">IF(T813=0,0,IF(T813&gt;=$H$3,ROUND(T813*$D$3/SUMIF($T$5:$T$999,"&gt;="&amp;$H$3),0),ROUNDUP(T813*$D$3/SUMIF($T$5:$T$999,"&gt;="&amp;$H$3),0)))</f>
        <v>0</v>
      </c>
      <c r="Y813" s="21"/>
      <c r="Z813" s="16" t="str">
        <f aca="false">IF(X813=0,"",X813-Y813)</f>
        <v/>
      </c>
      <c r="AA813" s="22" t="str">
        <f aca="false">IFERROR(Y813/X813,"")</f>
        <v/>
      </c>
      <c r="AB813" s="16" t="n">
        <v>0</v>
      </c>
      <c r="AC813" s="21"/>
    </row>
    <row r="814" customFormat="false" ht="15" hidden="false" customHeight="true" outlineLevel="0" collapsed="false">
      <c r="A814" s="15"/>
      <c r="B814" s="15"/>
      <c r="C814" s="15" t="s">
        <v>7959</v>
      </c>
      <c r="D814" s="15" t="s">
        <v>7960</v>
      </c>
      <c r="E814" s="15" t="s">
        <v>7961</v>
      </c>
      <c r="F814" s="15"/>
      <c r="G814" s="15"/>
      <c r="H814" s="15" t="s">
        <v>7962</v>
      </c>
      <c r="I814" s="15"/>
      <c r="J814" s="15" t="s">
        <v>7963</v>
      </c>
      <c r="K814" s="15" t="s">
        <v>2143</v>
      </c>
      <c r="L814" s="15" t="s">
        <v>7964</v>
      </c>
      <c r="M814" s="15" t="s">
        <v>4617</v>
      </c>
      <c r="N814" s="15" t="s">
        <v>73</v>
      </c>
      <c r="O814" s="16" t="n">
        <v>0</v>
      </c>
      <c r="P814" s="16" t="n">
        <v>0</v>
      </c>
      <c r="Q814" s="16" t="n">
        <v>0</v>
      </c>
      <c r="R814" s="16" t="n">
        <v>0</v>
      </c>
      <c r="S814" s="16" t="n">
        <v>0</v>
      </c>
      <c r="T814" s="17" t="n">
        <f aca="false">AVERAGE(O814:Q814)</f>
        <v>0</v>
      </c>
      <c r="U814" s="18" t="str">
        <f aca="false">IF(T814&gt;=$H$3,"Eligible","Not Eligible")</f>
        <v>Not Eligible</v>
      </c>
      <c r="V814" s="19" t="n">
        <f aca="false">IF(T814&lt;$H$3,0,IFERROR(T814/SUMIF($T$5:$T$999,"&gt;="&amp;$H$3),0))</f>
        <v>0</v>
      </c>
      <c r="W814" s="15" t="str">
        <f aca="false">IF(T814=0,"Win-Back","Active")</f>
        <v>Win-Back</v>
      </c>
      <c r="X814" s="20" t="n">
        <f aca="false">IF(T814=0,0,IF(T814&gt;=$H$3,ROUND(T814*$D$3/SUMIF($T$5:$T$999,"&gt;="&amp;$H$3),0),ROUNDUP(T814*$D$3/SUMIF($T$5:$T$999,"&gt;="&amp;$H$3),0)))</f>
        <v>0</v>
      </c>
      <c r="Y814" s="21"/>
      <c r="Z814" s="16" t="str">
        <f aca="false">IF(X814=0,"",X814-Y814)</f>
        <v/>
      </c>
      <c r="AA814" s="22" t="str">
        <f aca="false">IFERROR(Y814/X814,"")</f>
        <v/>
      </c>
      <c r="AB814" s="16" t="n">
        <v>0</v>
      </c>
      <c r="AC814" s="21"/>
    </row>
    <row r="815" customFormat="false" ht="15" hidden="false" customHeight="true" outlineLevel="0" collapsed="false">
      <c r="A815" s="15" t="s">
        <v>7965</v>
      </c>
      <c r="B815" s="15" t="s">
        <v>7966</v>
      </c>
      <c r="C815" s="15" t="s">
        <v>7967</v>
      </c>
      <c r="D815" s="15" t="s">
        <v>7968</v>
      </c>
      <c r="E815" s="15" t="s">
        <v>7969</v>
      </c>
      <c r="F815" s="15" t="s">
        <v>7970</v>
      </c>
      <c r="G815" s="15" t="s">
        <v>7971</v>
      </c>
      <c r="H815" s="15" t="s">
        <v>7972</v>
      </c>
      <c r="I815" s="15"/>
      <c r="J815" s="15" t="s">
        <v>7144</v>
      </c>
      <c r="K815" s="15" t="s">
        <v>368</v>
      </c>
      <c r="L815" s="15" t="s">
        <v>7145</v>
      </c>
      <c r="M815" s="15" t="s">
        <v>7973</v>
      </c>
      <c r="N815" s="15" t="s">
        <v>73</v>
      </c>
      <c r="O815" s="16" t="n">
        <v>0</v>
      </c>
      <c r="P815" s="16" t="n">
        <v>0</v>
      </c>
      <c r="Q815" s="16" t="n">
        <v>0</v>
      </c>
      <c r="R815" s="16" t="n">
        <v>0</v>
      </c>
      <c r="S815" s="16" t="n">
        <v>0</v>
      </c>
      <c r="T815" s="17" t="n">
        <f aca="false">AVERAGE(O815:Q815)</f>
        <v>0</v>
      </c>
      <c r="U815" s="18" t="str">
        <f aca="false">IF(T815&gt;=$H$3,"Eligible","Not Eligible")</f>
        <v>Not Eligible</v>
      </c>
      <c r="V815" s="19" t="n">
        <f aca="false">IF(T815&lt;$H$3,0,IFERROR(T815/SUMIF($T$5:$T$999,"&gt;="&amp;$H$3),0))</f>
        <v>0</v>
      </c>
      <c r="W815" s="15" t="str">
        <f aca="false">IF(T815=0,"Win-Back","Active")</f>
        <v>Win-Back</v>
      </c>
      <c r="X815" s="20" t="n">
        <f aca="false">IF(T815=0,0,IF(T815&gt;=$H$3,ROUND(T815*$D$3/SUMIF($T$5:$T$999,"&gt;="&amp;$H$3),0),ROUNDUP(T815*$D$3/SUMIF($T$5:$T$999,"&gt;="&amp;$H$3),0)))</f>
        <v>0</v>
      </c>
      <c r="Y815" s="21"/>
      <c r="Z815" s="16" t="str">
        <f aca="false">IF(X815=0,"",X815-Y815)</f>
        <v/>
      </c>
      <c r="AA815" s="22" t="str">
        <f aca="false">IFERROR(Y815/X815,"")</f>
        <v/>
      </c>
      <c r="AB815" s="16" t="n">
        <v>0</v>
      </c>
      <c r="AC815" s="21"/>
    </row>
    <row r="816" customFormat="false" ht="15" hidden="false" customHeight="true" outlineLevel="0" collapsed="false">
      <c r="A816" s="15" t="s">
        <v>7974</v>
      </c>
      <c r="B816" s="15" t="s">
        <v>7975</v>
      </c>
      <c r="C816" s="15" t="s">
        <v>7976</v>
      </c>
      <c r="D816" s="15" t="s">
        <v>7977</v>
      </c>
      <c r="E816" s="15" t="s">
        <v>7978</v>
      </c>
      <c r="F816" s="15" t="s">
        <v>7979</v>
      </c>
      <c r="G816" s="15" t="s">
        <v>7980</v>
      </c>
      <c r="H816" s="15" t="s">
        <v>7981</v>
      </c>
      <c r="I816" s="15"/>
      <c r="J816" s="15" t="s">
        <v>7982</v>
      </c>
      <c r="K816" s="15" t="s">
        <v>70</v>
      </c>
      <c r="L816" s="15" t="s">
        <v>7983</v>
      </c>
      <c r="M816" s="15" t="s">
        <v>7984</v>
      </c>
      <c r="N816" s="15" t="s">
        <v>73</v>
      </c>
      <c r="O816" s="16" t="n">
        <v>0</v>
      </c>
      <c r="P816" s="16" t="n">
        <v>0</v>
      </c>
      <c r="Q816" s="16" t="n">
        <v>0</v>
      </c>
      <c r="R816" s="16" t="n">
        <v>0</v>
      </c>
      <c r="S816" s="16" t="n">
        <v>0</v>
      </c>
      <c r="T816" s="17" t="n">
        <f aca="false">AVERAGE(O816:Q816)</f>
        <v>0</v>
      </c>
      <c r="U816" s="18" t="str">
        <f aca="false">IF(T816&gt;=$H$3,"Eligible","Not Eligible")</f>
        <v>Not Eligible</v>
      </c>
      <c r="V816" s="19" t="n">
        <f aca="false">IF(T816&lt;$H$3,0,IFERROR(T816/SUMIF($T$5:$T$999,"&gt;="&amp;$H$3),0))</f>
        <v>0</v>
      </c>
      <c r="W816" s="15" t="str">
        <f aca="false">IF(T816=0,"Win-Back","Active")</f>
        <v>Win-Back</v>
      </c>
      <c r="X816" s="20" t="n">
        <f aca="false">IF(T816=0,0,IF(T816&gt;=$H$3,ROUND(T816*$D$3/SUMIF($T$5:$T$999,"&gt;="&amp;$H$3),0),ROUNDUP(T816*$D$3/SUMIF($T$5:$T$999,"&gt;="&amp;$H$3),0)))</f>
        <v>0</v>
      </c>
      <c r="Y816" s="21"/>
      <c r="Z816" s="16" t="str">
        <f aca="false">IF(X816=0,"",X816-Y816)</f>
        <v/>
      </c>
      <c r="AA816" s="22" t="str">
        <f aca="false">IFERROR(Y816/X816,"")</f>
        <v/>
      </c>
      <c r="AB816" s="16" t="n">
        <v>0</v>
      </c>
      <c r="AC816" s="21"/>
    </row>
    <row r="817" customFormat="false" ht="15" hidden="false" customHeight="true" outlineLevel="0" collapsed="false">
      <c r="A817" s="15" t="s">
        <v>7985</v>
      </c>
      <c r="B817" s="15" t="s">
        <v>7986</v>
      </c>
      <c r="C817" s="15" t="s">
        <v>7987</v>
      </c>
      <c r="D817" s="15" t="s">
        <v>7988</v>
      </c>
      <c r="E817" s="15" t="s">
        <v>7989</v>
      </c>
      <c r="F817" s="15" t="s">
        <v>7990</v>
      </c>
      <c r="G817" s="15" t="s">
        <v>7991</v>
      </c>
      <c r="H817" s="15" t="s">
        <v>7992</v>
      </c>
      <c r="I817" s="15" t="s">
        <v>331</v>
      </c>
      <c r="J817" s="15" t="s">
        <v>3377</v>
      </c>
      <c r="K817" s="15" t="s">
        <v>615</v>
      </c>
      <c r="L817" s="15" t="s">
        <v>3752</v>
      </c>
      <c r="M817" s="15" t="s">
        <v>7993</v>
      </c>
      <c r="N817" s="15" t="s">
        <v>73</v>
      </c>
      <c r="O817" s="16" t="n">
        <v>0</v>
      </c>
      <c r="P817" s="16" t="n">
        <v>0</v>
      </c>
      <c r="Q817" s="16" t="n">
        <v>0</v>
      </c>
      <c r="R817" s="16" t="n">
        <v>0</v>
      </c>
      <c r="S817" s="16" t="n">
        <v>0</v>
      </c>
      <c r="T817" s="17" t="n">
        <f aca="false">AVERAGE(O817:Q817)</f>
        <v>0</v>
      </c>
      <c r="U817" s="18" t="str">
        <f aca="false">IF(T817&gt;=$H$3,"Eligible","Not Eligible")</f>
        <v>Not Eligible</v>
      </c>
      <c r="V817" s="19" t="n">
        <f aca="false">IF(T817&lt;$H$3,0,IFERROR(T817/SUMIF($T$5:$T$999,"&gt;="&amp;$H$3),0))</f>
        <v>0</v>
      </c>
      <c r="W817" s="15" t="str">
        <f aca="false">IF(T817=0,"Win-Back","Active")</f>
        <v>Win-Back</v>
      </c>
      <c r="X817" s="20" t="n">
        <f aca="false">IF(T817=0,0,IF(T817&gt;=$H$3,ROUND(T817*$D$3/SUMIF($T$5:$T$999,"&gt;="&amp;$H$3),0),ROUNDUP(T817*$D$3/SUMIF($T$5:$T$999,"&gt;="&amp;$H$3),0)))</f>
        <v>0</v>
      </c>
      <c r="Y817" s="21"/>
      <c r="Z817" s="16" t="str">
        <f aca="false">IF(X817=0,"",X817-Y817)</f>
        <v/>
      </c>
      <c r="AA817" s="22" t="str">
        <f aca="false">IFERROR(Y817/X817,"")</f>
        <v/>
      </c>
      <c r="AB817" s="16" t="n">
        <v>0</v>
      </c>
      <c r="AC817" s="21"/>
    </row>
    <row r="818" customFormat="false" ht="15" hidden="false" customHeight="true" outlineLevel="0" collapsed="false">
      <c r="A818" s="15" t="s">
        <v>7994</v>
      </c>
      <c r="B818" s="15" t="s">
        <v>7995</v>
      </c>
      <c r="C818" s="15" t="s">
        <v>7996</v>
      </c>
      <c r="D818" s="15" t="s">
        <v>7997</v>
      </c>
      <c r="E818" s="15" t="s">
        <v>7998</v>
      </c>
      <c r="F818" s="15" t="s">
        <v>7999</v>
      </c>
      <c r="G818" s="15" t="s">
        <v>8000</v>
      </c>
      <c r="H818" s="15" t="s">
        <v>8001</v>
      </c>
      <c r="I818" s="15"/>
      <c r="J818" s="15" t="s">
        <v>2085</v>
      </c>
      <c r="K818" s="15" t="s">
        <v>47</v>
      </c>
      <c r="L818" s="15" t="s">
        <v>8002</v>
      </c>
      <c r="M818" s="15" t="s">
        <v>8003</v>
      </c>
      <c r="N818" s="15" t="s">
        <v>73</v>
      </c>
      <c r="O818" s="16" t="n">
        <v>0</v>
      </c>
      <c r="P818" s="16" t="n">
        <v>0</v>
      </c>
      <c r="Q818" s="16" t="n">
        <v>0</v>
      </c>
      <c r="R818" s="16" t="n">
        <v>0</v>
      </c>
      <c r="S818" s="16" t="n">
        <v>0</v>
      </c>
      <c r="T818" s="17" t="n">
        <f aca="false">AVERAGE(O818:Q818)</f>
        <v>0</v>
      </c>
      <c r="U818" s="18" t="str">
        <f aca="false">IF(T818&gt;=$H$3,"Eligible","Not Eligible")</f>
        <v>Not Eligible</v>
      </c>
      <c r="V818" s="19" t="n">
        <f aca="false">IF(T818&lt;$H$3,0,IFERROR(T818/SUMIF($T$5:$T$999,"&gt;="&amp;$H$3),0))</f>
        <v>0</v>
      </c>
      <c r="W818" s="15" t="str">
        <f aca="false">IF(T818=0,"Win-Back","Active")</f>
        <v>Win-Back</v>
      </c>
      <c r="X818" s="20" t="n">
        <f aca="false">IF(T818=0,0,IF(T818&gt;=$H$3,ROUND(T818*$D$3/SUMIF($T$5:$T$999,"&gt;="&amp;$H$3),0),ROUNDUP(T818*$D$3/SUMIF($T$5:$T$999,"&gt;="&amp;$H$3),0)))</f>
        <v>0</v>
      </c>
      <c r="Y818" s="21"/>
      <c r="Z818" s="16" t="str">
        <f aca="false">IF(X818=0,"",X818-Y818)</f>
        <v/>
      </c>
      <c r="AA818" s="22" t="str">
        <f aca="false">IFERROR(Y818/X818,"")</f>
        <v/>
      </c>
      <c r="AB818" s="16" t="n">
        <v>0</v>
      </c>
      <c r="AC818" s="21"/>
    </row>
    <row r="819" customFormat="false" ht="15" hidden="false" customHeight="true" outlineLevel="0" collapsed="false">
      <c r="A819" s="15" t="s">
        <v>8004</v>
      </c>
      <c r="B819" s="15" t="s">
        <v>8005</v>
      </c>
      <c r="C819" s="15" t="s">
        <v>8006</v>
      </c>
      <c r="D819" s="15" t="s">
        <v>8007</v>
      </c>
      <c r="E819" s="15" t="s">
        <v>8008</v>
      </c>
      <c r="F819" s="15" t="s">
        <v>8009</v>
      </c>
      <c r="G819" s="15" t="s">
        <v>8010</v>
      </c>
      <c r="H819" s="15" t="s">
        <v>8011</v>
      </c>
      <c r="I819" s="15"/>
      <c r="J819" s="15" t="s">
        <v>8012</v>
      </c>
      <c r="K819" s="15" t="s">
        <v>70</v>
      </c>
      <c r="L819" s="15" t="s">
        <v>8013</v>
      </c>
      <c r="M819" s="15" t="s">
        <v>8014</v>
      </c>
      <c r="N819" s="15" t="s">
        <v>73</v>
      </c>
      <c r="O819" s="16" t="n">
        <v>0</v>
      </c>
      <c r="P819" s="16" t="n">
        <v>0</v>
      </c>
      <c r="Q819" s="16" t="n">
        <v>0</v>
      </c>
      <c r="R819" s="16" t="n">
        <v>0</v>
      </c>
      <c r="S819" s="16" t="n">
        <v>0</v>
      </c>
      <c r="T819" s="17" t="n">
        <f aca="false">AVERAGE(O819:Q819)</f>
        <v>0</v>
      </c>
      <c r="U819" s="18" t="str">
        <f aca="false">IF(T819&gt;=$H$3,"Eligible","Not Eligible")</f>
        <v>Not Eligible</v>
      </c>
      <c r="V819" s="19" t="n">
        <f aca="false">IF(T819&lt;$H$3,0,IFERROR(T819/SUMIF($T$5:$T$999,"&gt;="&amp;$H$3),0))</f>
        <v>0</v>
      </c>
      <c r="W819" s="15" t="str">
        <f aca="false">IF(T819=0,"Win-Back","Active")</f>
        <v>Win-Back</v>
      </c>
      <c r="X819" s="20" t="n">
        <f aca="false">IF(T819=0,0,IF(T819&gt;=$H$3,ROUND(T819*$D$3/SUMIF($T$5:$T$999,"&gt;="&amp;$H$3),0),ROUNDUP(T819*$D$3/SUMIF($T$5:$T$999,"&gt;="&amp;$H$3),0)))</f>
        <v>0</v>
      </c>
      <c r="Y819" s="21"/>
      <c r="Z819" s="16" t="str">
        <f aca="false">IF(X819=0,"",X819-Y819)</f>
        <v/>
      </c>
      <c r="AA819" s="22" t="str">
        <f aca="false">IFERROR(Y819/X819,"")</f>
        <v/>
      </c>
      <c r="AB819" s="16" t="n">
        <v>0</v>
      </c>
      <c r="AC819" s="21"/>
    </row>
    <row r="820" customFormat="false" ht="15" hidden="false" customHeight="true" outlineLevel="0" collapsed="false">
      <c r="A820" s="15" t="s">
        <v>8015</v>
      </c>
      <c r="B820" s="15" t="s">
        <v>8016</v>
      </c>
      <c r="C820" s="15" t="s">
        <v>8017</v>
      </c>
      <c r="D820" s="15" t="s">
        <v>8018</v>
      </c>
      <c r="E820" s="15" t="s">
        <v>8019</v>
      </c>
      <c r="F820" s="15" t="s">
        <v>8020</v>
      </c>
      <c r="G820" s="15" t="s">
        <v>8021</v>
      </c>
      <c r="H820" s="15" t="s">
        <v>8022</v>
      </c>
      <c r="I820" s="15" t="s">
        <v>8023</v>
      </c>
      <c r="J820" s="15" t="s">
        <v>8024</v>
      </c>
      <c r="K820" s="15" t="s">
        <v>1200</v>
      </c>
      <c r="L820" s="15" t="s">
        <v>8025</v>
      </c>
      <c r="M820" s="15" t="s">
        <v>8026</v>
      </c>
      <c r="N820" s="15" t="s">
        <v>73</v>
      </c>
      <c r="O820" s="16" t="n">
        <v>0</v>
      </c>
      <c r="P820" s="16" t="n">
        <v>0</v>
      </c>
      <c r="Q820" s="16" t="n">
        <v>0</v>
      </c>
      <c r="R820" s="16" t="n">
        <v>0</v>
      </c>
      <c r="S820" s="16" t="n">
        <v>0</v>
      </c>
      <c r="T820" s="17" t="n">
        <f aca="false">AVERAGE(O820:Q820)</f>
        <v>0</v>
      </c>
      <c r="U820" s="18" t="str">
        <f aca="false">IF(T820&gt;=$H$3,"Eligible","Not Eligible")</f>
        <v>Not Eligible</v>
      </c>
      <c r="V820" s="19" t="n">
        <f aca="false">IF(T820&lt;$H$3,0,IFERROR(T820/SUMIF($T$5:$T$999,"&gt;="&amp;$H$3),0))</f>
        <v>0</v>
      </c>
      <c r="W820" s="15" t="str">
        <f aca="false">IF(T820=0,"Win-Back","Active")</f>
        <v>Win-Back</v>
      </c>
      <c r="X820" s="20" t="n">
        <f aca="false">IF(T820=0,0,IF(T820&gt;=$H$3,ROUND(T820*$D$3/SUMIF($T$5:$T$999,"&gt;="&amp;$H$3),0),ROUNDUP(T820*$D$3/SUMIF($T$5:$T$999,"&gt;="&amp;$H$3),0)))</f>
        <v>0</v>
      </c>
      <c r="Y820" s="21"/>
      <c r="Z820" s="16" t="str">
        <f aca="false">IF(X820=0,"",X820-Y820)</f>
        <v/>
      </c>
      <c r="AA820" s="22" t="str">
        <f aca="false">IFERROR(Y820/X820,"")</f>
        <v/>
      </c>
      <c r="AB820" s="16" t="n">
        <v>0</v>
      </c>
      <c r="AC820" s="21"/>
    </row>
    <row r="821" customFormat="false" ht="15" hidden="false" customHeight="true" outlineLevel="0" collapsed="false">
      <c r="A821" s="15" t="s">
        <v>8027</v>
      </c>
      <c r="B821" s="15" t="s">
        <v>8028</v>
      </c>
      <c r="C821" s="15" t="s">
        <v>8029</v>
      </c>
      <c r="D821" s="15" t="s">
        <v>8030</v>
      </c>
      <c r="E821" s="15" t="s">
        <v>8031</v>
      </c>
      <c r="F821" s="15" t="s">
        <v>8032</v>
      </c>
      <c r="G821" s="15" t="s">
        <v>8033</v>
      </c>
      <c r="H821" s="15" t="s">
        <v>8034</v>
      </c>
      <c r="I821" s="15"/>
      <c r="J821" s="15" t="s">
        <v>8035</v>
      </c>
      <c r="K821" s="15" t="s">
        <v>368</v>
      </c>
      <c r="L821" s="15" t="s">
        <v>8036</v>
      </c>
      <c r="M821" s="15" t="s">
        <v>8037</v>
      </c>
      <c r="N821" s="15" t="s">
        <v>73</v>
      </c>
      <c r="O821" s="16" t="n">
        <v>0</v>
      </c>
      <c r="P821" s="16" t="n">
        <v>0</v>
      </c>
      <c r="Q821" s="16" t="n">
        <v>0</v>
      </c>
      <c r="R821" s="16" t="n">
        <v>0</v>
      </c>
      <c r="S821" s="16" t="n">
        <v>0</v>
      </c>
      <c r="T821" s="17" t="n">
        <f aca="false">AVERAGE(O821:Q821)</f>
        <v>0</v>
      </c>
      <c r="U821" s="18" t="str">
        <f aca="false">IF(T821&gt;=$H$3,"Eligible","Not Eligible")</f>
        <v>Not Eligible</v>
      </c>
      <c r="V821" s="19" t="n">
        <f aca="false">IF(T821&lt;$H$3,0,IFERROR(T821/SUMIF($T$5:$T$999,"&gt;="&amp;$H$3),0))</f>
        <v>0</v>
      </c>
      <c r="W821" s="15" t="str">
        <f aca="false">IF(T821=0,"Win-Back","Active")</f>
        <v>Win-Back</v>
      </c>
      <c r="X821" s="20" t="n">
        <f aca="false">IF(T821=0,0,IF(T821&gt;=$H$3,ROUND(T821*$D$3/SUMIF($T$5:$T$999,"&gt;="&amp;$H$3),0),ROUNDUP(T821*$D$3/SUMIF($T$5:$T$999,"&gt;="&amp;$H$3),0)))</f>
        <v>0</v>
      </c>
      <c r="Y821" s="21"/>
      <c r="Z821" s="16" t="str">
        <f aca="false">IF(X821=0,"",X821-Y821)</f>
        <v/>
      </c>
      <c r="AA821" s="22" t="str">
        <f aca="false">IFERROR(Y821/X821,"")</f>
        <v/>
      </c>
      <c r="AB821" s="16" t="n">
        <v>0</v>
      </c>
      <c r="AC821" s="21"/>
    </row>
    <row r="822" customFormat="false" ht="15" hidden="false" customHeight="true" outlineLevel="0" collapsed="false">
      <c r="A822" s="15" t="s">
        <v>8038</v>
      </c>
      <c r="B822" s="15" t="s">
        <v>8039</v>
      </c>
      <c r="C822" s="15" t="s">
        <v>8040</v>
      </c>
      <c r="D822" s="15" t="s">
        <v>8041</v>
      </c>
      <c r="E822" s="15" t="s">
        <v>8042</v>
      </c>
      <c r="F822" s="15" t="s">
        <v>8043</v>
      </c>
      <c r="G822" s="15" t="s">
        <v>8044</v>
      </c>
      <c r="H822" s="15" t="s">
        <v>8045</v>
      </c>
      <c r="I822" s="15" t="s">
        <v>8046</v>
      </c>
      <c r="J822" s="15" t="s">
        <v>8047</v>
      </c>
      <c r="K822" s="15" t="s">
        <v>2816</v>
      </c>
      <c r="L822" s="15" t="s">
        <v>8048</v>
      </c>
      <c r="M822" s="15" t="s">
        <v>8049</v>
      </c>
      <c r="N822" s="15" t="s">
        <v>73</v>
      </c>
      <c r="O822" s="16" t="n">
        <v>0</v>
      </c>
      <c r="P822" s="16" t="n">
        <v>0</v>
      </c>
      <c r="Q822" s="16" t="n">
        <v>0</v>
      </c>
      <c r="R822" s="16" t="n">
        <v>0</v>
      </c>
      <c r="S822" s="16" t="n">
        <v>0</v>
      </c>
      <c r="T822" s="17" t="n">
        <f aca="false">AVERAGE(O822:Q822)</f>
        <v>0</v>
      </c>
      <c r="U822" s="18" t="str">
        <f aca="false">IF(T822&gt;=$H$3,"Eligible","Not Eligible")</f>
        <v>Not Eligible</v>
      </c>
      <c r="V822" s="19" t="n">
        <f aca="false">IF(T822&lt;$H$3,0,IFERROR(T822/SUMIF($T$5:$T$999,"&gt;="&amp;$H$3),0))</f>
        <v>0</v>
      </c>
      <c r="W822" s="15" t="str">
        <f aca="false">IF(T822=0,"Win-Back","Active")</f>
        <v>Win-Back</v>
      </c>
      <c r="X822" s="20" t="n">
        <f aca="false">IF(T822=0,0,IF(T822&gt;=$H$3,ROUND(T822*$D$3/SUMIF($T$5:$T$999,"&gt;="&amp;$H$3),0),ROUNDUP(T822*$D$3/SUMIF($T$5:$T$999,"&gt;="&amp;$H$3),0)))</f>
        <v>0</v>
      </c>
      <c r="Y822" s="21" t="n">
        <v>1</v>
      </c>
      <c r="Z822" s="16" t="str">
        <f aca="false">IF(X822=0,"",X822-Y822)</f>
        <v/>
      </c>
      <c r="AA822" s="22" t="str">
        <f aca="false">IFERROR(Y822/X822,"")</f>
        <v/>
      </c>
      <c r="AB822" s="16" t="n">
        <v>0</v>
      </c>
      <c r="AC822" s="21"/>
    </row>
    <row r="823" customFormat="false" ht="15" hidden="false" customHeight="true" outlineLevel="0" collapsed="false">
      <c r="A823" s="15" t="s">
        <v>8050</v>
      </c>
      <c r="B823" s="15" t="s">
        <v>8051</v>
      </c>
      <c r="C823" s="15" t="s">
        <v>8052</v>
      </c>
      <c r="D823" s="15" t="s">
        <v>8053</v>
      </c>
      <c r="E823" s="15" t="s">
        <v>8054</v>
      </c>
      <c r="F823" s="15" t="s">
        <v>8055</v>
      </c>
      <c r="G823" s="15" t="s">
        <v>8056</v>
      </c>
      <c r="H823" s="15" t="s">
        <v>8057</v>
      </c>
      <c r="I823" s="15" t="s">
        <v>8058</v>
      </c>
      <c r="J823" s="15" t="s">
        <v>8059</v>
      </c>
      <c r="K823" s="15" t="s">
        <v>735</v>
      </c>
      <c r="L823" s="15" t="s">
        <v>8060</v>
      </c>
      <c r="M823" s="15" t="s">
        <v>8061</v>
      </c>
      <c r="N823" s="15" t="s">
        <v>73</v>
      </c>
      <c r="O823" s="16" t="n">
        <v>0</v>
      </c>
      <c r="P823" s="16" t="n">
        <v>0</v>
      </c>
      <c r="Q823" s="16" t="n">
        <v>0</v>
      </c>
      <c r="R823" s="16" t="n">
        <v>0</v>
      </c>
      <c r="S823" s="16" t="n">
        <v>0</v>
      </c>
      <c r="T823" s="17" t="n">
        <f aca="false">AVERAGE(O823:Q823)</f>
        <v>0</v>
      </c>
      <c r="U823" s="18" t="str">
        <f aca="false">IF(T823&gt;=$H$3,"Eligible","Not Eligible")</f>
        <v>Not Eligible</v>
      </c>
      <c r="V823" s="19" t="n">
        <f aca="false">IF(T823&lt;$H$3,0,IFERROR(T823/SUMIF($T$5:$T$999,"&gt;="&amp;$H$3),0))</f>
        <v>0</v>
      </c>
      <c r="W823" s="15" t="str">
        <f aca="false">IF(T823=0,"Win-Back","Active")</f>
        <v>Win-Back</v>
      </c>
      <c r="X823" s="20" t="n">
        <f aca="false">IF(T823=0,0,IF(T823&gt;=$H$3,ROUND(T823*$D$3/SUMIF($T$5:$T$999,"&gt;="&amp;$H$3),0),ROUNDUP(T823*$D$3/SUMIF($T$5:$T$999,"&gt;="&amp;$H$3),0)))</f>
        <v>0</v>
      </c>
      <c r="Y823" s="21"/>
      <c r="Z823" s="16" t="str">
        <f aca="false">IF(X823=0,"",X823-Y823)</f>
        <v/>
      </c>
      <c r="AA823" s="22" t="str">
        <f aca="false">IFERROR(Y823/X823,"")</f>
        <v/>
      </c>
      <c r="AB823" s="16" t="n">
        <v>0</v>
      </c>
      <c r="AC823" s="21"/>
    </row>
    <row r="824" customFormat="false" ht="15" hidden="false" customHeight="true" outlineLevel="0" collapsed="false">
      <c r="A824" s="15" t="s">
        <v>8062</v>
      </c>
      <c r="B824" s="15" t="s">
        <v>8063</v>
      </c>
      <c r="C824" s="15" t="s">
        <v>8064</v>
      </c>
      <c r="D824" s="15" t="s">
        <v>8065</v>
      </c>
      <c r="E824" s="15" t="s">
        <v>8066</v>
      </c>
      <c r="F824" s="15" t="s">
        <v>8067</v>
      </c>
      <c r="G824" s="15" t="s">
        <v>8068</v>
      </c>
      <c r="H824" s="15" t="s">
        <v>8069</v>
      </c>
      <c r="I824" s="15"/>
      <c r="J824" s="15" t="s">
        <v>379</v>
      </c>
      <c r="K824" s="15" t="s">
        <v>368</v>
      </c>
      <c r="L824" s="15" t="s">
        <v>8070</v>
      </c>
      <c r="M824" s="15" t="s">
        <v>8071</v>
      </c>
      <c r="N824" s="15" t="s">
        <v>73</v>
      </c>
      <c r="O824" s="16" t="n">
        <v>0</v>
      </c>
      <c r="P824" s="16" t="n">
        <v>0</v>
      </c>
      <c r="Q824" s="16" t="n">
        <v>0</v>
      </c>
      <c r="R824" s="16" t="n">
        <v>0</v>
      </c>
      <c r="S824" s="16" t="n">
        <v>0</v>
      </c>
      <c r="T824" s="17" t="n">
        <f aca="false">AVERAGE(O824:Q824)</f>
        <v>0</v>
      </c>
      <c r="U824" s="18" t="str">
        <f aca="false">IF(T824&gt;=$H$3,"Eligible","Not Eligible")</f>
        <v>Not Eligible</v>
      </c>
      <c r="V824" s="19" t="n">
        <f aca="false">IF(T824&lt;$H$3,0,IFERROR(T824/SUMIF($T$5:$T$999,"&gt;="&amp;$H$3),0))</f>
        <v>0</v>
      </c>
      <c r="W824" s="15" t="str">
        <f aca="false">IF(T824=0,"Win-Back","Active")</f>
        <v>Win-Back</v>
      </c>
      <c r="X824" s="20" t="n">
        <f aca="false">IF(T824=0,0,IF(T824&gt;=$H$3,ROUND(T824*$D$3/SUMIF($T$5:$T$999,"&gt;="&amp;$H$3),0),ROUNDUP(T824*$D$3/SUMIF($T$5:$T$999,"&gt;="&amp;$H$3),0)))</f>
        <v>0</v>
      </c>
      <c r="Y824" s="21"/>
      <c r="Z824" s="16" t="str">
        <f aca="false">IF(X824=0,"",X824-Y824)</f>
        <v/>
      </c>
      <c r="AA824" s="22" t="str">
        <f aca="false">IFERROR(Y824/X824,"")</f>
        <v/>
      </c>
      <c r="AB824" s="16" t="n">
        <v>0</v>
      </c>
      <c r="AC824" s="21"/>
    </row>
    <row r="825" customFormat="false" ht="15" hidden="false" customHeight="true" outlineLevel="0" collapsed="false">
      <c r="A825" s="15" t="s">
        <v>8072</v>
      </c>
      <c r="B825" s="15" t="s">
        <v>8073</v>
      </c>
      <c r="C825" s="15" t="s">
        <v>8074</v>
      </c>
      <c r="D825" s="15" t="s">
        <v>8075</v>
      </c>
      <c r="E825" s="15" t="s">
        <v>8076</v>
      </c>
      <c r="F825" s="15" t="s">
        <v>8077</v>
      </c>
      <c r="G825" s="15" t="s">
        <v>8078</v>
      </c>
      <c r="H825" s="15" t="s">
        <v>8079</v>
      </c>
      <c r="I825" s="15"/>
      <c r="J825" s="15" t="s">
        <v>8080</v>
      </c>
      <c r="K825" s="15" t="s">
        <v>6683</v>
      </c>
      <c r="L825" s="15" t="s">
        <v>8081</v>
      </c>
      <c r="M825" s="15" t="s">
        <v>8082</v>
      </c>
      <c r="N825" s="15" t="s">
        <v>73</v>
      </c>
      <c r="O825" s="16" t="n">
        <v>0</v>
      </c>
      <c r="P825" s="16" t="n">
        <v>0</v>
      </c>
      <c r="Q825" s="16" t="n">
        <v>0</v>
      </c>
      <c r="R825" s="16" t="n">
        <v>0</v>
      </c>
      <c r="S825" s="16" t="n">
        <v>0</v>
      </c>
      <c r="T825" s="17" t="n">
        <f aca="false">AVERAGE(O825:Q825)</f>
        <v>0</v>
      </c>
      <c r="U825" s="18" t="str">
        <f aca="false">IF(T825&gt;=$H$3,"Eligible","Not Eligible")</f>
        <v>Not Eligible</v>
      </c>
      <c r="V825" s="19" t="n">
        <f aca="false">IF(T825&lt;$H$3,0,IFERROR(T825/SUMIF($T$5:$T$999,"&gt;="&amp;$H$3),0))</f>
        <v>0</v>
      </c>
      <c r="W825" s="15" t="str">
        <f aca="false">IF(T825=0,"Win-Back","Active")</f>
        <v>Win-Back</v>
      </c>
      <c r="X825" s="20" t="n">
        <f aca="false">IF(T825=0,0,IF(T825&gt;=$H$3,ROUND(T825*$D$3/SUMIF($T$5:$T$999,"&gt;="&amp;$H$3),0),ROUNDUP(T825*$D$3/SUMIF($T$5:$T$999,"&gt;="&amp;$H$3),0)))</f>
        <v>0</v>
      </c>
      <c r="Y825" s="21"/>
      <c r="Z825" s="16" t="str">
        <f aca="false">IF(X825=0,"",X825-Y825)</f>
        <v/>
      </c>
      <c r="AA825" s="22" t="str">
        <f aca="false">IFERROR(Y825/X825,"")</f>
        <v/>
      </c>
      <c r="AB825" s="16" t="n">
        <v>0</v>
      </c>
      <c r="AC825" s="21"/>
    </row>
    <row r="826" customFormat="false" ht="15" hidden="false" customHeight="true" outlineLevel="0" collapsed="false">
      <c r="A826" s="15" t="s">
        <v>8083</v>
      </c>
      <c r="B826" s="15" t="s">
        <v>8084</v>
      </c>
      <c r="C826" s="15" t="s">
        <v>8085</v>
      </c>
      <c r="D826" s="15" t="s">
        <v>8086</v>
      </c>
      <c r="E826" s="15" t="s">
        <v>8087</v>
      </c>
      <c r="F826" s="15" t="s">
        <v>8088</v>
      </c>
      <c r="G826" s="15" t="s">
        <v>8089</v>
      </c>
      <c r="H826" s="15" t="s">
        <v>8090</v>
      </c>
      <c r="I826" s="15"/>
      <c r="J826" s="15" t="s">
        <v>8091</v>
      </c>
      <c r="K826" s="15" t="s">
        <v>368</v>
      </c>
      <c r="L826" s="15" t="s">
        <v>8092</v>
      </c>
      <c r="M826" s="15" t="s">
        <v>8093</v>
      </c>
      <c r="N826" s="15" t="s">
        <v>73</v>
      </c>
      <c r="O826" s="16" t="n">
        <v>0</v>
      </c>
      <c r="P826" s="16" t="n">
        <v>0</v>
      </c>
      <c r="Q826" s="16" t="n">
        <v>0</v>
      </c>
      <c r="R826" s="16" t="n">
        <v>0</v>
      </c>
      <c r="S826" s="16" t="n">
        <v>0</v>
      </c>
      <c r="T826" s="17" t="n">
        <f aca="false">AVERAGE(O826:Q826)</f>
        <v>0</v>
      </c>
      <c r="U826" s="18" t="str">
        <f aca="false">IF(T826&gt;=$H$3,"Eligible","Not Eligible")</f>
        <v>Not Eligible</v>
      </c>
      <c r="V826" s="19" t="n">
        <f aca="false">IF(T826&lt;$H$3,0,IFERROR(T826/SUMIF($T$5:$T$999,"&gt;="&amp;$H$3),0))</f>
        <v>0</v>
      </c>
      <c r="W826" s="15" t="str">
        <f aca="false">IF(T826=0,"Win-Back","Active")</f>
        <v>Win-Back</v>
      </c>
      <c r="X826" s="20" t="n">
        <f aca="false">IF(T826=0,0,IF(T826&gt;=$H$3,ROUND(T826*$D$3/SUMIF($T$5:$T$999,"&gt;="&amp;$H$3),0),ROUNDUP(T826*$D$3/SUMIF($T$5:$T$999,"&gt;="&amp;$H$3),0)))</f>
        <v>0</v>
      </c>
      <c r="Y826" s="21"/>
      <c r="Z826" s="16" t="str">
        <f aca="false">IF(X826=0,"",X826-Y826)</f>
        <v/>
      </c>
      <c r="AA826" s="22" t="str">
        <f aca="false">IFERROR(Y826/X826,"")</f>
        <v/>
      </c>
      <c r="AB826" s="16" t="n">
        <v>0</v>
      </c>
      <c r="AC826" s="21"/>
    </row>
    <row r="827" customFormat="false" ht="15" hidden="false" customHeight="true" outlineLevel="0" collapsed="false">
      <c r="A827" s="15"/>
      <c r="B827" s="15"/>
      <c r="C827" s="15" t="s">
        <v>8094</v>
      </c>
      <c r="D827" s="15" t="s">
        <v>8095</v>
      </c>
      <c r="E827" s="15" t="s">
        <v>8096</v>
      </c>
      <c r="F827" s="15"/>
      <c r="G827" s="15"/>
      <c r="H827" s="15" t="s">
        <v>8097</v>
      </c>
      <c r="I827" s="15"/>
      <c r="J827" s="15" t="s">
        <v>1998</v>
      </c>
      <c r="K827" s="15" t="s">
        <v>70</v>
      </c>
      <c r="L827" s="15" t="s">
        <v>8098</v>
      </c>
      <c r="M827" s="15" t="s">
        <v>4617</v>
      </c>
      <c r="N827" s="15" t="s">
        <v>73</v>
      </c>
      <c r="O827" s="16" t="n">
        <v>0</v>
      </c>
      <c r="P827" s="16" t="n">
        <v>0</v>
      </c>
      <c r="Q827" s="16" t="n">
        <v>0</v>
      </c>
      <c r="R827" s="16" t="n">
        <v>0</v>
      </c>
      <c r="S827" s="16" t="n">
        <v>0</v>
      </c>
      <c r="T827" s="17" t="n">
        <f aca="false">AVERAGE(O827:Q827)</f>
        <v>0</v>
      </c>
      <c r="U827" s="18" t="str">
        <f aca="false">IF(T827&gt;=$H$3,"Eligible","Not Eligible")</f>
        <v>Not Eligible</v>
      </c>
      <c r="V827" s="19" t="n">
        <f aca="false">IF(T827&lt;$H$3,0,IFERROR(T827/SUMIF($T$5:$T$999,"&gt;="&amp;$H$3),0))</f>
        <v>0</v>
      </c>
      <c r="W827" s="15" t="str">
        <f aca="false">IF(T827=0,"Win-Back","Active")</f>
        <v>Win-Back</v>
      </c>
      <c r="X827" s="20" t="n">
        <f aca="false">IF(T827=0,0,IF(T827&gt;=$H$3,ROUND(T827*$D$3/SUMIF($T$5:$T$999,"&gt;="&amp;$H$3),0),ROUNDUP(T827*$D$3/SUMIF($T$5:$T$999,"&gt;="&amp;$H$3),0)))</f>
        <v>0</v>
      </c>
      <c r="Y827" s="21"/>
      <c r="Z827" s="16" t="str">
        <f aca="false">IF(X827=0,"",X827-Y827)</f>
        <v/>
      </c>
      <c r="AA827" s="22" t="str">
        <f aca="false">IFERROR(Y827/X827,"")</f>
        <v/>
      </c>
      <c r="AB827" s="16" t="n">
        <v>0</v>
      </c>
      <c r="AC827" s="21"/>
    </row>
    <row r="828" customFormat="false" ht="15" hidden="false" customHeight="true" outlineLevel="0" collapsed="false">
      <c r="A828" s="15" t="s">
        <v>8099</v>
      </c>
      <c r="B828" s="15" t="s">
        <v>8100</v>
      </c>
      <c r="C828" s="15" t="s">
        <v>8101</v>
      </c>
      <c r="D828" s="15" t="s">
        <v>8102</v>
      </c>
      <c r="E828" s="15" t="s">
        <v>8103</v>
      </c>
      <c r="F828" s="15" t="s">
        <v>8104</v>
      </c>
      <c r="G828" s="15" t="s">
        <v>8105</v>
      </c>
      <c r="H828" s="15" t="s">
        <v>8106</v>
      </c>
      <c r="I828" s="15"/>
      <c r="J828" s="15" t="s">
        <v>6699</v>
      </c>
      <c r="K828" s="15" t="s">
        <v>70</v>
      </c>
      <c r="L828" s="15" t="s">
        <v>8107</v>
      </c>
      <c r="M828" s="15" t="s">
        <v>8108</v>
      </c>
      <c r="N828" s="15" t="s">
        <v>73</v>
      </c>
      <c r="O828" s="16" t="n">
        <v>0</v>
      </c>
      <c r="P828" s="16" t="n">
        <v>0</v>
      </c>
      <c r="Q828" s="16" t="n">
        <v>0</v>
      </c>
      <c r="R828" s="16" t="n">
        <v>0</v>
      </c>
      <c r="S828" s="16" t="n">
        <v>0</v>
      </c>
      <c r="T828" s="17" t="n">
        <f aca="false">AVERAGE(O828:Q828)</f>
        <v>0</v>
      </c>
      <c r="U828" s="18" t="str">
        <f aca="false">IF(T828&gt;=$H$3,"Eligible","Not Eligible")</f>
        <v>Not Eligible</v>
      </c>
      <c r="V828" s="19" t="n">
        <f aca="false">IF(T828&lt;$H$3,0,IFERROR(T828/SUMIF($T$5:$T$999,"&gt;="&amp;$H$3),0))</f>
        <v>0</v>
      </c>
      <c r="W828" s="15" t="str">
        <f aca="false">IF(T828=0,"Win-Back","Active")</f>
        <v>Win-Back</v>
      </c>
      <c r="X828" s="20" t="n">
        <f aca="false">IF(T828=0,0,IF(T828&gt;=$H$3,ROUND(T828*$D$3/SUMIF($T$5:$T$999,"&gt;="&amp;$H$3),0),ROUNDUP(T828*$D$3/SUMIF($T$5:$T$999,"&gt;="&amp;$H$3),0)))</f>
        <v>0</v>
      </c>
      <c r="Y828" s="21"/>
      <c r="Z828" s="16" t="str">
        <f aca="false">IF(X828=0,"",X828-Y828)</f>
        <v/>
      </c>
      <c r="AA828" s="22" t="str">
        <f aca="false">IFERROR(Y828/X828,"")</f>
        <v/>
      </c>
      <c r="AB828" s="16" t="n">
        <v>0</v>
      </c>
      <c r="AC828" s="21"/>
    </row>
    <row r="829" customFormat="false" ht="15" hidden="false" customHeight="true" outlineLevel="0" collapsed="false">
      <c r="A829" s="15" t="s">
        <v>8109</v>
      </c>
      <c r="B829" s="15" t="s">
        <v>8110</v>
      </c>
      <c r="C829" s="15" t="s">
        <v>8111</v>
      </c>
      <c r="D829" s="15" t="s">
        <v>8112</v>
      </c>
      <c r="E829" s="15" t="s">
        <v>8113</v>
      </c>
      <c r="F829" s="15" t="s">
        <v>8114</v>
      </c>
      <c r="G829" s="15" t="s">
        <v>8115</v>
      </c>
      <c r="H829" s="15" t="s">
        <v>8116</v>
      </c>
      <c r="I829" s="15"/>
      <c r="J829" s="15" t="s">
        <v>8117</v>
      </c>
      <c r="K829" s="15" t="s">
        <v>2839</v>
      </c>
      <c r="L829" s="15" t="s">
        <v>8118</v>
      </c>
      <c r="M829" s="15" t="s">
        <v>8119</v>
      </c>
      <c r="N829" s="15" t="s">
        <v>73</v>
      </c>
      <c r="O829" s="16" t="n">
        <v>0</v>
      </c>
      <c r="P829" s="16" t="n">
        <v>0</v>
      </c>
      <c r="Q829" s="16" t="n">
        <v>0</v>
      </c>
      <c r="R829" s="16" t="n">
        <v>0</v>
      </c>
      <c r="S829" s="16" t="n">
        <v>0</v>
      </c>
      <c r="T829" s="17" t="n">
        <f aca="false">AVERAGE(O829:Q829)</f>
        <v>0</v>
      </c>
      <c r="U829" s="18" t="str">
        <f aca="false">IF(T829&gt;=$H$3,"Eligible","Not Eligible")</f>
        <v>Not Eligible</v>
      </c>
      <c r="V829" s="19" t="n">
        <f aca="false">IF(T829&lt;$H$3,0,IFERROR(T829/SUMIF($T$5:$T$999,"&gt;="&amp;$H$3),0))</f>
        <v>0</v>
      </c>
      <c r="W829" s="15" t="str">
        <f aca="false">IF(T829=0,"Win-Back","Active")</f>
        <v>Win-Back</v>
      </c>
      <c r="X829" s="20" t="n">
        <f aca="false">IF(T829=0,0,IF(T829&gt;=$H$3,ROUND(T829*$D$3/SUMIF($T$5:$T$999,"&gt;="&amp;$H$3),0),ROUNDUP(T829*$D$3/SUMIF($T$5:$T$999,"&gt;="&amp;$H$3),0)))</f>
        <v>0</v>
      </c>
      <c r="Y829" s="21"/>
      <c r="Z829" s="16" t="str">
        <f aca="false">IF(X829=0,"",X829-Y829)</f>
        <v/>
      </c>
      <c r="AA829" s="22" t="str">
        <f aca="false">IFERROR(Y829/X829,"")</f>
        <v/>
      </c>
      <c r="AB829" s="16" t="n">
        <v>0</v>
      </c>
      <c r="AC829" s="21"/>
    </row>
    <row r="830" customFormat="false" ht="15" hidden="false" customHeight="true" outlineLevel="0" collapsed="false">
      <c r="A830" s="15" t="s">
        <v>8120</v>
      </c>
      <c r="B830" s="15" t="s">
        <v>8121</v>
      </c>
      <c r="C830" s="15" t="s">
        <v>8122</v>
      </c>
      <c r="D830" s="15" t="s">
        <v>8123</v>
      </c>
      <c r="E830" s="15" t="s">
        <v>8124</v>
      </c>
      <c r="F830" s="15" t="s">
        <v>8125</v>
      </c>
      <c r="G830" s="15" t="s">
        <v>8126</v>
      </c>
      <c r="H830" s="15" t="s">
        <v>8127</v>
      </c>
      <c r="I830" s="15"/>
      <c r="J830" s="15" t="s">
        <v>7215</v>
      </c>
      <c r="K830" s="15" t="s">
        <v>368</v>
      </c>
      <c r="L830" s="15" t="s">
        <v>8128</v>
      </c>
      <c r="M830" s="15" t="s">
        <v>8129</v>
      </c>
      <c r="N830" s="15" t="s">
        <v>73</v>
      </c>
      <c r="O830" s="16" t="n">
        <v>0</v>
      </c>
      <c r="P830" s="16" t="n">
        <v>0</v>
      </c>
      <c r="Q830" s="16" t="n">
        <v>0</v>
      </c>
      <c r="R830" s="16" t="n">
        <v>0</v>
      </c>
      <c r="S830" s="16" t="n">
        <v>0</v>
      </c>
      <c r="T830" s="17" t="n">
        <f aca="false">AVERAGE(O830:Q830)</f>
        <v>0</v>
      </c>
      <c r="U830" s="18" t="str">
        <f aca="false">IF(T830&gt;=$H$3,"Eligible","Not Eligible")</f>
        <v>Not Eligible</v>
      </c>
      <c r="V830" s="19" t="n">
        <f aca="false">IF(T830&lt;$H$3,0,IFERROR(T830/SUMIF($T$5:$T$999,"&gt;="&amp;$H$3),0))</f>
        <v>0</v>
      </c>
      <c r="W830" s="15" t="str">
        <f aca="false">IF(T830=0,"Win-Back","Active")</f>
        <v>Win-Back</v>
      </c>
      <c r="X830" s="20" t="n">
        <f aca="false">IF(T830=0,0,IF(T830&gt;=$H$3,ROUND(T830*$D$3/SUMIF($T$5:$T$999,"&gt;="&amp;$H$3),0),ROUNDUP(T830*$D$3/SUMIF($T$5:$T$999,"&gt;="&amp;$H$3),0)))</f>
        <v>0</v>
      </c>
      <c r="Y830" s="21"/>
      <c r="Z830" s="16" t="str">
        <f aca="false">IF(X830=0,"",X830-Y830)</f>
        <v/>
      </c>
      <c r="AA830" s="22" t="str">
        <f aca="false">IFERROR(Y830/X830,"")</f>
        <v/>
      </c>
      <c r="AB830" s="16" t="n">
        <v>0</v>
      </c>
      <c r="AC830" s="21"/>
    </row>
    <row r="831" customFormat="false" ht="15" hidden="false" customHeight="true" outlineLevel="0" collapsed="false">
      <c r="A831" s="15" t="s">
        <v>8130</v>
      </c>
      <c r="B831" s="15" t="s">
        <v>8131</v>
      </c>
      <c r="C831" s="15" t="s">
        <v>8132</v>
      </c>
      <c r="D831" s="15" t="s">
        <v>8133</v>
      </c>
      <c r="E831" s="15" t="s">
        <v>8134</v>
      </c>
      <c r="F831" s="15" t="s">
        <v>8135</v>
      </c>
      <c r="G831" s="15" t="s">
        <v>8136</v>
      </c>
      <c r="H831" s="15" t="s">
        <v>8137</v>
      </c>
      <c r="I831" s="15"/>
      <c r="J831" s="15" t="s">
        <v>3419</v>
      </c>
      <c r="K831" s="15" t="s">
        <v>368</v>
      </c>
      <c r="L831" s="15" t="s">
        <v>2669</v>
      </c>
      <c r="M831" s="15" t="s">
        <v>8138</v>
      </c>
      <c r="N831" s="15" t="s">
        <v>73</v>
      </c>
      <c r="O831" s="16" t="n">
        <v>0</v>
      </c>
      <c r="P831" s="16" t="n">
        <v>0</v>
      </c>
      <c r="Q831" s="16" t="n">
        <v>0</v>
      </c>
      <c r="R831" s="16" t="n">
        <v>0</v>
      </c>
      <c r="S831" s="16" t="n">
        <v>0</v>
      </c>
      <c r="T831" s="17" t="n">
        <f aca="false">AVERAGE(O831:Q831)</f>
        <v>0</v>
      </c>
      <c r="U831" s="18" t="str">
        <f aca="false">IF(T831&gt;=$H$3,"Eligible","Not Eligible")</f>
        <v>Not Eligible</v>
      </c>
      <c r="V831" s="19" t="n">
        <f aca="false">IF(T831&lt;$H$3,0,IFERROR(T831/SUMIF($T$5:$T$999,"&gt;="&amp;$H$3),0))</f>
        <v>0</v>
      </c>
      <c r="W831" s="15" t="str">
        <f aca="false">IF(T831=0,"Win-Back","Active")</f>
        <v>Win-Back</v>
      </c>
      <c r="X831" s="20" t="n">
        <f aca="false">IF(T831=0,0,IF(T831&gt;=$H$3,ROUND(T831*$D$3/SUMIF($T$5:$T$999,"&gt;="&amp;$H$3),0),ROUNDUP(T831*$D$3/SUMIF($T$5:$T$999,"&gt;="&amp;$H$3),0)))</f>
        <v>0</v>
      </c>
      <c r="Y831" s="21"/>
      <c r="Z831" s="16" t="str">
        <f aca="false">IF(X831=0,"",X831-Y831)</f>
        <v/>
      </c>
      <c r="AA831" s="22" t="str">
        <f aca="false">IFERROR(Y831/X831,"")</f>
        <v/>
      </c>
      <c r="AB831" s="16" t="n">
        <v>0</v>
      </c>
      <c r="AC831" s="21"/>
    </row>
    <row r="832" customFormat="false" ht="15" hidden="false" customHeight="true" outlineLevel="0" collapsed="false">
      <c r="A832" s="15" t="s">
        <v>8139</v>
      </c>
      <c r="B832" s="15" t="s">
        <v>8140</v>
      </c>
      <c r="C832" s="15" t="s">
        <v>8141</v>
      </c>
      <c r="D832" s="15" t="s">
        <v>8142</v>
      </c>
      <c r="E832" s="15" t="s">
        <v>8143</v>
      </c>
      <c r="F832" s="15" t="s">
        <v>8144</v>
      </c>
      <c r="G832" s="15" t="s">
        <v>8145</v>
      </c>
      <c r="H832" s="15" t="s">
        <v>8146</v>
      </c>
      <c r="I832" s="15"/>
      <c r="J832" s="15" t="s">
        <v>82</v>
      </c>
      <c r="K832" s="15" t="s">
        <v>47</v>
      </c>
      <c r="L832" s="15" t="s">
        <v>93</v>
      </c>
      <c r="M832" s="15" t="s">
        <v>8147</v>
      </c>
      <c r="N832" s="15" t="s">
        <v>50</v>
      </c>
      <c r="O832" s="16" t="n">
        <v>0</v>
      </c>
      <c r="P832" s="16" t="n">
        <v>0</v>
      </c>
      <c r="Q832" s="16" t="n">
        <v>0</v>
      </c>
      <c r="R832" s="16" t="n">
        <v>0</v>
      </c>
      <c r="S832" s="16" t="n">
        <v>0</v>
      </c>
      <c r="T832" s="17" t="n">
        <f aca="false">AVERAGE(O832:Q832)</f>
        <v>0</v>
      </c>
      <c r="U832" s="18" t="str">
        <f aca="false">IF(T832&gt;=$H$3,"Eligible","Not Eligible")</f>
        <v>Not Eligible</v>
      </c>
      <c r="V832" s="19" t="n">
        <f aca="false">IF(T832&lt;$H$3,0,IFERROR(T832/SUMIF($T$5:$T$999,"&gt;="&amp;$H$3),0))</f>
        <v>0</v>
      </c>
      <c r="W832" s="15" t="str">
        <f aca="false">IF(T832=0,"Win-Back","Active")</f>
        <v>Win-Back</v>
      </c>
      <c r="X832" s="20" t="n">
        <f aca="false">IF(T832=0,0,IF(T832&gt;=$H$3,ROUND(T832*$D$3/SUMIF($T$5:$T$999,"&gt;="&amp;$H$3),0),ROUNDUP(T832*$D$3/SUMIF($T$5:$T$999,"&gt;="&amp;$H$3),0)))</f>
        <v>0</v>
      </c>
      <c r="Y832" s="21"/>
      <c r="Z832" s="16" t="str">
        <f aca="false">IF(X832=0,"",X832-Y832)</f>
        <v/>
      </c>
      <c r="AA832" s="22" t="str">
        <f aca="false">IFERROR(Y832/X832,"")</f>
        <v/>
      </c>
      <c r="AB832" s="16" t="n">
        <v>0</v>
      </c>
      <c r="AC832" s="21"/>
    </row>
    <row r="833" customFormat="false" ht="15" hidden="false" customHeight="true" outlineLevel="0" collapsed="false">
      <c r="A833" s="15" t="s">
        <v>8148</v>
      </c>
      <c r="B833" s="15" t="s">
        <v>8149</v>
      </c>
      <c r="C833" s="15" t="s">
        <v>8150</v>
      </c>
      <c r="D833" s="15" t="s">
        <v>8151</v>
      </c>
      <c r="E833" s="15" t="s">
        <v>8152</v>
      </c>
      <c r="F833" s="15" t="s">
        <v>8153</v>
      </c>
      <c r="G833" s="15" t="s">
        <v>8154</v>
      </c>
      <c r="H833" s="15" t="s">
        <v>8155</v>
      </c>
      <c r="I833" s="15"/>
      <c r="J833" s="15" t="s">
        <v>4902</v>
      </c>
      <c r="K833" s="15" t="s">
        <v>1200</v>
      </c>
      <c r="L833" s="15" t="s">
        <v>8156</v>
      </c>
      <c r="M833" s="15" t="s">
        <v>8157</v>
      </c>
      <c r="N833" s="15" t="s">
        <v>73</v>
      </c>
      <c r="O833" s="16" t="n">
        <v>0</v>
      </c>
      <c r="P833" s="16" t="n">
        <v>0</v>
      </c>
      <c r="Q833" s="16" t="n">
        <v>0</v>
      </c>
      <c r="R833" s="16" t="n">
        <v>0</v>
      </c>
      <c r="S833" s="16" t="n">
        <v>0</v>
      </c>
      <c r="T833" s="17" t="n">
        <f aca="false">AVERAGE(O833:Q833)</f>
        <v>0</v>
      </c>
      <c r="U833" s="18" t="str">
        <f aca="false">IF(T833&gt;=$H$3,"Eligible","Not Eligible")</f>
        <v>Not Eligible</v>
      </c>
      <c r="V833" s="19" t="n">
        <f aca="false">IF(T833&lt;$H$3,0,IFERROR(T833/SUMIF($T$5:$T$999,"&gt;="&amp;$H$3),0))</f>
        <v>0</v>
      </c>
      <c r="W833" s="15" t="str">
        <f aca="false">IF(T833=0,"Win-Back","Active")</f>
        <v>Win-Back</v>
      </c>
      <c r="X833" s="20" t="n">
        <f aca="false">IF(T833=0,0,IF(T833&gt;=$H$3,ROUND(T833*$D$3/SUMIF($T$5:$T$999,"&gt;="&amp;$H$3),0),ROUNDUP(T833*$D$3/SUMIF($T$5:$T$999,"&gt;="&amp;$H$3),0)))</f>
        <v>0</v>
      </c>
      <c r="Y833" s="21"/>
      <c r="Z833" s="16" t="str">
        <f aca="false">IF(X833=0,"",X833-Y833)</f>
        <v/>
      </c>
      <c r="AA833" s="22" t="str">
        <f aca="false">IFERROR(Y833/X833,"")</f>
        <v/>
      </c>
      <c r="AB833" s="16" t="n">
        <v>0</v>
      </c>
      <c r="AC833" s="21"/>
    </row>
    <row r="834" customFormat="false" ht="15" hidden="false" customHeight="true" outlineLevel="0" collapsed="false">
      <c r="A834" s="15" t="s">
        <v>8158</v>
      </c>
      <c r="B834" s="15" t="s">
        <v>8159</v>
      </c>
      <c r="C834" s="15" t="s">
        <v>8160</v>
      </c>
      <c r="D834" s="15" t="s">
        <v>8161</v>
      </c>
      <c r="E834" s="15" t="s">
        <v>8162</v>
      </c>
      <c r="F834" s="15" t="s">
        <v>8163</v>
      </c>
      <c r="G834" s="15" t="s">
        <v>8164</v>
      </c>
      <c r="H834" s="15" t="s">
        <v>8165</v>
      </c>
      <c r="I834" s="15"/>
      <c r="J834" s="15" t="s">
        <v>46</v>
      </c>
      <c r="K834" s="15" t="s">
        <v>47</v>
      </c>
      <c r="L834" s="15" t="s">
        <v>48</v>
      </c>
      <c r="M834" s="15" t="s">
        <v>8166</v>
      </c>
      <c r="N834" s="15" t="s">
        <v>50</v>
      </c>
      <c r="O834" s="16" t="n">
        <v>0</v>
      </c>
      <c r="P834" s="16" t="n">
        <v>0</v>
      </c>
      <c r="Q834" s="16" t="n">
        <v>0</v>
      </c>
      <c r="R834" s="16" t="n">
        <v>0</v>
      </c>
      <c r="S834" s="16" t="n">
        <v>0</v>
      </c>
      <c r="T834" s="17" t="n">
        <f aca="false">AVERAGE(O834:Q834)</f>
        <v>0</v>
      </c>
      <c r="U834" s="18" t="str">
        <f aca="false">IF(T834&gt;=$H$3,"Eligible","Not Eligible")</f>
        <v>Not Eligible</v>
      </c>
      <c r="V834" s="19" t="n">
        <f aca="false">IF(T834&lt;$H$3,0,IFERROR(T834/SUMIF($T$5:$T$999,"&gt;="&amp;$H$3),0))</f>
        <v>0</v>
      </c>
      <c r="W834" s="15" t="str">
        <f aca="false">IF(T834=0,"Win-Back","Active")</f>
        <v>Win-Back</v>
      </c>
      <c r="X834" s="20" t="n">
        <f aca="false">IF(T834=0,0,IF(T834&gt;=$H$3,ROUND(T834*$D$3/SUMIF($T$5:$T$999,"&gt;="&amp;$H$3),0),ROUNDUP(T834*$D$3/SUMIF($T$5:$T$999,"&gt;="&amp;$H$3),0)))</f>
        <v>0</v>
      </c>
      <c r="Y834" s="21"/>
      <c r="Z834" s="16" t="str">
        <f aca="false">IF(X834=0,"",X834-Y834)</f>
        <v/>
      </c>
      <c r="AA834" s="22" t="str">
        <f aca="false">IFERROR(Y834/X834,"")</f>
        <v/>
      </c>
      <c r="AB834" s="16" t="n">
        <v>0</v>
      </c>
      <c r="AC834" s="21"/>
    </row>
    <row r="835" customFormat="false" ht="15" hidden="false" customHeight="true" outlineLevel="0" collapsed="false">
      <c r="A835" s="15" t="s">
        <v>8167</v>
      </c>
      <c r="B835" s="15" t="s">
        <v>8168</v>
      </c>
      <c r="C835" s="15" t="s">
        <v>8169</v>
      </c>
      <c r="D835" s="15" t="s">
        <v>8170</v>
      </c>
      <c r="E835" s="15" t="s">
        <v>8171</v>
      </c>
      <c r="F835" s="15" t="s">
        <v>8172</v>
      </c>
      <c r="G835" s="15" t="s">
        <v>8173</v>
      </c>
      <c r="H835" s="15" t="s">
        <v>8174</v>
      </c>
      <c r="I835" s="15" t="s">
        <v>8175</v>
      </c>
      <c r="J835" s="15" t="s">
        <v>6240</v>
      </c>
      <c r="K835" s="15" t="s">
        <v>2839</v>
      </c>
      <c r="L835" s="15" t="s">
        <v>8176</v>
      </c>
      <c r="M835" s="15" t="s">
        <v>8177</v>
      </c>
      <c r="N835" s="15" t="s">
        <v>73</v>
      </c>
      <c r="O835" s="16" t="n">
        <v>0</v>
      </c>
      <c r="P835" s="16" t="n">
        <v>0</v>
      </c>
      <c r="Q835" s="16" t="n">
        <v>0</v>
      </c>
      <c r="R835" s="16" t="n">
        <v>0</v>
      </c>
      <c r="S835" s="16" t="n">
        <v>0</v>
      </c>
      <c r="T835" s="17" t="n">
        <f aca="false">AVERAGE(O835:Q835)</f>
        <v>0</v>
      </c>
      <c r="U835" s="18" t="str">
        <f aca="false">IF(T835&gt;=$H$3,"Eligible","Not Eligible")</f>
        <v>Not Eligible</v>
      </c>
      <c r="V835" s="19" t="n">
        <f aca="false">IF(T835&lt;$H$3,0,IFERROR(T835/SUMIF($T$5:$T$999,"&gt;="&amp;$H$3),0))</f>
        <v>0</v>
      </c>
      <c r="W835" s="15" t="str">
        <f aca="false">IF(T835=0,"Win-Back","Active")</f>
        <v>Win-Back</v>
      </c>
      <c r="X835" s="20" t="n">
        <f aca="false">IF(T835=0,0,IF(T835&gt;=$H$3,ROUND(T835*$D$3/SUMIF($T$5:$T$999,"&gt;="&amp;$H$3),0),ROUNDUP(T835*$D$3/SUMIF($T$5:$T$999,"&gt;="&amp;$H$3),0)))</f>
        <v>0</v>
      </c>
      <c r="Y835" s="21"/>
      <c r="Z835" s="16" t="str">
        <f aca="false">IF(X835=0,"",X835-Y835)</f>
        <v/>
      </c>
      <c r="AA835" s="22" t="str">
        <f aca="false">IFERROR(Y835/X835,"")</f>
        <v/>
      </c>
      <c r="AB835" s="16" t="n">
        <v>0</v>
      </c>
      <c r="AC835" s="21"/>
    </row>
    <row r="836" customFormat="false" ht="15" hidden="false" customHeight="true" outlineLevel="0" collapsed="false">
      <c r="A836" s="15" t="s">
        <v>8178</v>
      </c>
      <c r="B836" s="15" t="s">
        <v>8179</v>
      </c>
      <c r="C836" s="15" t="s">
        <v>8180</v>
      </c>
      <c r="D836" s="15" t="s">
        <v>8181</v>
      </c>
      <c r="E836" s="15" t="s">
        <v>8181</v>
      </c>
      <c r="F836" s="15" t="s">
        <v>8182</v>
      </c>
      <c r="G836" s="15" t="s">
        <v>8183</v>
      </c>
      <c r="H836" s="15" t="s">
        <v>8184</v>
      </c>
      <c r="I836" s="15"/>
      <c r="J836" s="15" t="s">
        <v>8185</v>
      </c>
      <c r="K836" s="15" t="s">
        <v>615</v>
      </c>
      <c r="L836" s="15" t="s">
        <v>8186</v>
      </c>
      <c r="M836" s="15" t="s">
        <v>8187</v>
      </c>
      <c r="N836" s="15" t="s">
        <v>73</v>
      </c>
      <c r="O836" s="16" t="n">
        <v>0</v>
      </c>
      <c r="P836" s="16" t="n">
        <v>0</v>
      </c>
      <c r="Q836" s="16" t="n">
        <v>0</v>
      </c>
      <c r="R836" s="16" t="n">
        <v>0</v>
      </c>
      <c r="S836" s="16" t="n">
        <v>0</v>
      </c>
      <c r="T836" s="17" t="n">
        <f aca="false">AVERAGE(O836:Q836)</f>
        <v>0</v>
      </c>
      <c r="U836" s="18" t="str">
        <f aca="false">IF(T836&gt;=$H$3,"Eligible","Not Eligible")</f>
        <v>Not Eligible</v>
      </c>
      <c r="V836" s="19" t="n">
        <f aca="false">IF(T836&lt;$H$3,0,IFERROR(T836/SUMIF($T$5:$T$999,"&gt;="&amp;$H$3),0))</f>
        <v>0</v>
      </c>
      <c r="W836" s="15" t="str">
        <f aca="false">IF(T836=0,"Win-Back","Active")</f>
        <v>Win-Back</v>
      </c>
      <c r="X836" s="20" t="n">
        <f aca="false">IF(T836=0,0,IF(T836&gt;=$H$3,ROUND(T836*$D$3/SUMIF($T$5:$T$999,"&gt;="&amp;$H$3),0),ROUNDUP(T836*$D$3/SUMIF($T$5:$T$999,"&gt;="&amp;$H$3),0)))</f>
        <v>0</v>
      </c>
      <c r="Y836" s="21"/>
      <c r="Z836" s="16" t="str">
        <f aca="false">IF(X836=0,"",X836-Y836)</f>
        <v/>
      </c>
      <c r="AA836" s="22" t="str">
        <f aca="false">IFERROR(Y836/X836,"")</f>
        <v/>
      </c>
      <c r="AB836" s="16" t="n">
        <v>0</v>
      </c>
      <c r="AC836" s="21"/>
    </row>
    <row r="837" customFormat="false" ht="15" hidden="false" customHeight="true" outlineLevel="0" collapsed="false">
      <c r="A837" s="15" t="s">
        <v>8188</v>
      </c>
      <c r="B837" s="15" t="s">
        <v>8189</v>
      </c>
      <c r="C837" s="15" t="s">
        <v>8190</v>
      </c>
      <c r="D837" s="15" t="s">
        <v>8191</v>
      </c>
      <c r="E837" s="15" t="s">
        <v>8192</v>
      </c>
      <c r="F837" s="15" t="s">
        <v>8193</v>
      </c>
      <c r="G837" s="15" t="s">
        <v>8194</v>
      </c>
      <c r="H837" s="15" t="s">
        <v>8195</v>
      </c>
      <c r="I837" s="15"/>
      <c r="J837" s="15" t="s">
        <v>2556</v>
      </c>
      <c r="K837" s="15" t="s">
        <v>2557</v>
      </c>
      <c r="L837" s="15" t="s">
        <v>8196</v>
      </c>
      <c r="M837" s="15" t="s">
        <v>8197</v>
      </c>
      <c r="N837" s="15" t="s">
        <v>73</v>
      </c>
      <c r="O837" s="16" t="n">
        <v>0</v>
      </c>
      <c r="P837" s="16" t="n">
        <v>0</v>
      </c>
      <c r="Q837" s="16" t="n">
        <v>0</v>
      </c>
      <c r="R837" s="16" t="n">
        <v>0</v>
      </c>
      <c r="S837" s="16" t="n">
        <v>0</v>
      </c>
      <c r="T837" s="17" t="n">
        <f aca="false">AVERAGE(O837:Q837)</f>
        <v>0</v>
      </c>
      <c r="U837" s="18" t="str">
        <f aca="false">IF(T837&gt;=$H$3,"Eligible","Not Eligible")</f>
        <v>Not Eligible</v>
      </c>
      <c r="V837" s="19" t="n">
        <f aca="false">IF(T837&lt;$H$3,0,IFERROR(T837/SUMIF($T$5:$T$999,"&gt;="&amp;$H$3),0))</f>
        <v>0</v>
      </c>
      <c r="W837" s="15" t="str">
        <f aca="false">IF(T837=0,"Win-Back","Active")</f>
        <v>Win-Back</v>
      </c>
      <c r="X837" s="20" t="n">
        <f aca="false">IF(T837=0,0,IF(T837&gt;=$H$3,ROUND(T837*$D$3/SUMIF($T$5:$T$999,"&gt;="&amp;$H$3),0),ROUNDUP(T837*$D$3/SUMIF($T$5:$T$999,"&gt;="&amp;$H$3),0)))</f>
        <v>0</v>
      </c>
      <c r="Y837" s="21"/>
      <c r="Z837" s="16" t="str">
        <f aca="false">IF(X837=0,"",X837-Y837)</f>
        <v/>
      </c>
      <c r="AA837" s="22" t="str">
        <f aca="false">IFERROR(Y837/X837,"")</f>
        <v/>
      </c>
      <c r="AB837" s="16" t="n">
        <v>0</v>
      </c>
      <c r="AC837" s="21"/>
    </row>
    <row r="838" customFormat="false" ht="15" hidden="false" customHeight="true" outlineLevel="0" collapsed="false">
      <c r="A838" s="15" t="s">
        <v>8198</v>
      </c>
      <c r="B838" s="15" t="s">
        <v>8199</v>
      </c>
      <c r="C838" s="15" t="s">
        <v>8200</v>
      </c>
      <c r="D838" s="15" t="s">
        <v>8201</v>
      </c>
      <c r="E838" s="15" t="s">
        <v>8202</v>
      </c>
      <c r="F838" s="15" t="s">
        <v>8203</v>
      </c>
      <c r="G838" s="15" t="s">
        <v>8204</v>
      </c>
      <c r="H838" s="15" t="s">
        <v>8205</v>
      </c>
      <c r="I838" s="15" t="s">
        <v>968</v>
      </c>
      <c r="J838" s="15" t="s">
        <v>8206</v>
      </c>
      <c r="K838" s="15" t="s">
        <v>1418</v>
      </c>
      <c r="L838" s="15" t="s">
        <v>8207</v>
      </c>
      <c r="M838" s="15" t="s">
        <v>8208</v>
      </c>
      <c r="N838" s="15" t="s">
        <v>73</v>
      </c>
      <c r="O838" s="16" t="n">
        <v>0</v>
      </c>
      <c r="P838" s="16" t="n">
        <v>0</v>
      </c>
      <c r="Q838" s="16" t="n">
        <v>0</v>
      </c>
      <c r="R838" s="16" t="n">
        <v>0</v>
      </c>
      <c r="S838" s="16" t="n">
        <v>0</v>
      </c>
      <c r="T838" s="17" t="n">
        <f aca="false">AVERAGE(O838:Q838)</f>
        <v>0</v>
      </c>
      <c r="U838" s="18" t="str">
        <f aca="false">IF(T838&gt;=$H$3,"Eligible","Not Eligible")</f>
        <v>Not Eligible</v>
      </c>
      <c r="V838" s="19" t="n">
        <f aca="false">IF(T838&lt;$H$3,0,IFERROR(T838/SUMIF($T$5:$T$999,"&gt;="&amp;$H$3),0))</f>
        <v>0</v>
      </c>
      <c r="W838" s="15" t="str">
        <f aca="false">IF(T838=0,"Win-Back","Active")</f>
        <v>Win-Back</v>
      </c>
      <c r="X838" s="20" t="n">
        <f aca="false">IF(T838=0,0,IF(T838&gt;=$H$3,ROUND(T838*$D$3/SUMIF($T$5:$T$999,"&gt;="&amp;$H$3),0),ROUNDUP(T838*$D$3/SUMIF($T$5:$T$999,"&gt;="&amp;$H$3),0)))</f>
        <v>0</v>
      </c>
      <c r="Y838" s="21"/>
      <c r="Z838" s="16" t="str">
        <f aca="false">IF(X838=0,"",X838-Y838)</f>
        <v/>
      </c>
      <c r="AA838" s="22" t="str">
        <f aca="false">IFERROR(Y838/X838,"")</f>
        <v/>
      </c>
      <c r="AB838" s="16" t="n">
        <v>0</v>
      </c>
      <c r="AC838" s="21"/>
    </row>
    <row r="839" customFormat="false" ht="15" hidden="false" customHeight="true" outlineLevel="0" collapsed="false">
      <c r="A839" s="15" t="s">
        <v>8209</v>
      </c>
      <c r="B839" s="15" t="s">
        <v>8210</v>
      </c>
      <c r="C839" s="15" t="s">
        <v>8211</v>
      </c>
      <c r="D839" s="15" t="s">
        <v>8212</v>
      </c>
      <c r="E839" s="15" t="s">
        <v>8213</v>
      </c>
      <c r="F839" s="15" t="s">
        <v>8214</v>
      </c>
      <c r="G839" s="15" t="s">
        <v>8215</v>
      </c>
      <c r="H839" s="15" t="s">
        <v>8216</v>
      </c>
      <c r="I839" s="15" t="s">
        <v>3579</v>
      </c>
      <c r="J839" s="15" t="s">
        <v>8217</v>
      </c>
      <c r="K839" s="15" t="s">
        <v>1139</v>
      </c>
      <c r="L839" s="15" t="s">
        <v>8218</v>
      </c>
      <c r="M839" s="15" t="s">
        <v>8219</v>
      </c>
      <c r="N839" s="15" t="s">
        <v>73</v>
      </c>
      <c r="O839" s="16" t="n">
        <v>0</v>
      </c>
      <c r="P839" s="16" t="n">
        <v>0</v>
      </c>
      <c r="Q839" s="16" t="n">
        <v>0</v>
      </c>
      <c r="R839" s="16" t="n">
        <v>0</v>
      </c>
      <c r="S839" s="16" t="n">
        <v>0</v>
      </c>
      <c r="T839" s="17" t="n">
        <f aca="false">AVERAGE(O839:Q839)</f>
        <v>0</v>
      </c>
      <c r="U839" s="18" t="str">
        <f aca="false">IF(T839&gt;=$H$3,"Eligible","Not Eligible")</f>
        <v>Not Eligible</v>
      </c>
      <c r="V839" s="19" t="n">
        <f aca="false">IF(T839&lt;$H$3,0,IFERROR(T839/SUMIF($T$5:$T$999,"&gt;="&amp;$H$3),0))</f>
        <v>0</v>
      </c>
      <c r="W839" s="15" t="str">
        <f aca="false">IF(T839=0,"Win-Back","Active")</f>
        <v>Win-Back</v>
      </c>
      <c r="X839" s="20" t="n">
        <f aca="false">IF(T839=0,0,IF(T839&gt;=$H$3,ROUND(T839*$D$3/SUMIF($T$5:$T$999,"&gt;="&amp;$H$3),0),ROUNDUP(T839*$D$3/SUMIF($T$5:$T$999,"&gt;="&amp;$H$3),0)))</f>
        <v>0</v>
      </c>
      <c r="Y839" s="21"/>
      <c r="Z839" s="16" t="str">
        <f aca="false">IF(X839=0,"",X839-Y839)</f>
        <v/>
      </c>
      <c r="AA839" s="22" t="str">
        <f aca="false">IFERROR(Y839/X839,"")</f>
        <v/>
      </c>
      <c r="AB839" s="16" t="n">
        <v>0</v>
      </c>
      <c r="AC839" s="21"/>
    </row>
    <row r="840" customFormat="false" ht="15" hidden="false" customHeight="true" outlineLevel="0" collapsed="false">
      <c r="A840" s="15" t="s">
        <v>8220</v>
      </c>
      <c r="B840" s="15" t="s">
        <v>8221</v>
      </c>
      <c r="C840" s="15" t="s">
        <v>8222</v>
      </c>
      <c r="D840" s="15" t="s">
        <v>8223</v>
      </c>
      <c r="E840" s="15" t="s">
        <v>8224</v>
      </c>
      <c r="F840" s="15" t="s">
        <v>8225</v>
      </c>
      <c r="G840" s="15" t="s">
        <v>8226</v>
      </c>
      <c r="H840" s="15" t="s">
        <v>8227</v>
      </c>
      <c r="I840" s="15"/>
      <c r="J840" s="15" t="s">
        <v>8228</v>
      </c>
      <c r="K840" s="15" t="s">
        <v>368</v>
      </c>
      <c r="L840" s="15" t="s">
        <v>8229</v>
      </c>
      <c r="M840" s="15" t="s">
        <v>8230</v>
      </c>
      <c r="N840" s="15" t="s">
        <v>73</v>
      </c>
      <c r="O840" s="16" t="n">
        <v>0</v>
      </c>
      <c r="P840" s="16" t="n">
        <v>0</v>
      </c>
      <c r="Q840" s="16" t="n">
        <v>0</v>
      </c>
      <c r="R840" s="16" t="n">
        <v>0</v>
      </c>
      <c r="S840" s="16" t="n">
        <v>0</v>
      </c>
      <c r="T840" s="17" t="n">
        <f aca="false">AVERAGE(O840:Q840)</f>
        <v>0</v>
      </c>
      <c r="U840" s="18" t="str">
        <f aca="false">IF(T840&gt;=$H$3,"Eligible","Not Eligible")</f>
        <v>Not Eligible</v>
      </c>
      <c r="V840" s="19" t="n">
        <f aca="false">IF(T840&lt;$H$3,0,IFERROR(T840/SUMIF($T$5:$T$999,"&gt;="&amp;$H$3),0))</f>
        <v>0</v>
      </c>
      <c r="W840" s="15" t="str">
        <f aca="false">IF(T840=0,"Win-Back","Active")</f>
        <v>Win-Back</v>
      </c>
      <c r="X840" s="20" t="n">
        <f aca="false">IF(T840=0,0,IF(T840&gt;=$H$3,ROUND(T840*$D$3/SUMIF($T$5:$T$999,"&gt;="&amp;$H$3),0),ROUNDUP(T840*$D$3/SUMIF($T$5:$T$999,"&gt;="&amp;$H$3),0)))</f>
        <v>0</v>
      </c>
      <c r="Y840" s="21"/>
      <c r="Z840" s="16" t="str">
        <f aca="false">IF(X840=0,"",X840-Y840)</f>
        <v/>
      </c>
      <c r="AA840" s="22" t="str">
        <f aca="false">IFERROR(Y840/X840,"")</f>
        <v/>
      </c>
      <c r="AB840" s="16" t="n">
        <v>0</v>
      </c>
      <c r="AC840" s="21"/>
    </row>
    <row r="841" customFormat="false" ht="15" hidden="false" customHeight="true" outlineLevel="0" collapsed="false">
      <c r="A841" s="15" t="s">
        <v>8231</v>
      </c>
      <c r="B841" s="15" t="s">
        <v>8232</v>
      </c>
      <c r="C841" s="15" t="s">
        <v>8233</v>
      </c>
      <c r="D841" s="15" t="s">
        <v>8234</v>
      </c>
      <c r="E841" s="15" t="s">
        <v>8235</v>
      </c>
      <c r="F841" s="15"/>
      <c r="G841" s="15"/>
      <c r="H841" s="15" t="s">
        <v>8236</v>
      </c>
      <c r="I841" s="15"/>
      <c r="J841" s="15" t="s">
        <v>8237</v>
      </c>
      <c r="K841" s="15" t="s">
        <v>1200</v>
      </c>
      <c r="L841" s="15" t="s">
        <v>8238</v>
      </c>
      <c r="M841" s="15" t="s">
        <v>4617</v>
      </c>
      <c r="N841" s="15" t="s">
        <v>73</v>
      </c>
      <c r="O841" s="16" t="n">
        <v>0</v>
      </c>
      <c r="P841" s="16" t="n">
        <v>0</v>
      </c>
      <c r="Q841" s="16" t="n">
        <v>0</v>
      </c>
      <c r="R841" s="16" t="n">
        <v>0</v>
      </c>
      <c r="S841" s="16" t="n">
        <v>0</v>
      </c>
      <c r="T841" s="17" t="n">
        <f aca="false">AVERAGE(O841:Q841)</f>
        <v>0</v>
      </c>
      <c r="U841" s="18" t="str">
        <f aca="false">IF(T841&gt;=$H$3,"Eligible","Not Eligible")</f>
        <v>Not Eligible</v>
      </c>
      <c r="V841" s="19" t="n">
        <f aca="false">IF(T841&lt;$H$3,0,IFERROR(T841/SUMIF($T$5:$T$999,"&gt;="&amp;$H$3),0))</f>
        <v>0</v>
      </c>
      <c r="W841" s="15" t="str">
        <f aca="false">IF(T841=0,"Win-Back","Active")</f>
        <v>Win-Back</v>
      </c>
      <c r="X841" s="20" t="n">
        <f aca="false">IF(T841=0,0,IF(T841&gt;=$H$3,ROUND(T841*$D$3/SUMIF($T$5:$T$999,"&gt;="&amp;$H$3),0),ROUNDUP(T841*$D$3/SUMIF($T$5:$T$999,"&gt;="&amp;$H$3),0)))</f>
        <v>0</v>
      </c>
      <c r="Y841" s="21"/>
      <c r="Z841" s="16" t="str">
        <f aca="false">IF(X841=0,"",X841-Y841)</f>
        <v/>
      </c>
      <c r="AA841" s="22" t="str">
        <f aca="false">IFERROR(Y841/X841,"")</f>
        <v/>
      </c>
      <c r="AB841" s="16" t="n">
        <v>0</v>
      </c>
      <c r="AC841" s="21"/>
    </row>
    <row r="842" customFormat="false" ht="15" hidden="false" customHeight="true" outlineLevel="0" collapsed="false">
      <c r="A842" s="15" t="s">
        <v>8239</v>
      </c>
      <c r="B842" s="15" t="s">
        <v>8240</v>
      </c>
      <c r="C842" s="15" t="s">
        <v>8241</v>
      </c>
      <c r="D842" s="15" t="s">
        <v>8242</v>
      </c>
      <c r="E842" s="15" t="s">
        <v>8243</v>
      </c>
      <c r="F842" s="15" t="s">
        <v>8244</v>
      </c>
      <c r="G842" s="15" t="s">
        <v>8245</v>
      </c>
      <c r="H842" s="15" t="s">
        <v>8246</v>
      </c>
      <c r="I842" s="15"/>
      <c r="J842" s="15" t="s">
        <v>8247</v>
      </c>
      <c r="K842" s="15" t="s">
        <v>563</v>
      </c>
      <c r="L842" s="15" t="s">
        <v>8248</v>
      </c>
      <c r="M842" s="15" t="s">
        <v>8249</v>
      </c>
      <c r="N842" s="15" t="s">
        <v>73</v>
      </c>
      <c r="O842" s="16" t="n">
        <v>0</v>
      </c>
      <c r="P842" s="16" t="n">
        <v>0</v>
      </c>
      <c r="Q842" s="16" t="n">
        <v>0</v>
      </c>
      <c r="R842" s="16" t="n">
        <v>0</v>
      </c>
      <c r="S842" s="16" t="n">
        <v>0</v>
      </c>
      <c r="T842" s="17" t="n">
        <f aca="false">AVERAGE(O842:Q842)</f>
        <v>0</v>
      </c>
      <c r="U842" s="18" t="str">
        <f aca="false">IF(T842&gt;=$H$3,"Eligible","Not Eligible")</f>
        <v>Not Eligible</v>
      </c>
      <c r="V842" s="19" t="n">
        <f aca="false">IF(T842&lt;$H$3,0,IFERROR(T842/SUMIF($T$5:$T$999,"&gt;="&amp;$H$3),0))</f>
        <v>0</v>
      </c>
      <c r="W842" s="15" t="str">
        <f aca="false">IF(T842=0,"Win-Back","Active")</f>
        <v>Win-Back</v>
      </c>
      <c r="X842" s="20" t="n">
        <f aca="false">IF(T842=0,0,IF(T842&gt;=$H$3,ROUND(T842*$D$3/SUMIF($T$5:$T$999,"&gt;="&amp;$H$3),0),ROUNDUP(T842*$D$3/SUMIF($T$5:$T$999,"&gt;="&amp;$H$3),0)))</f>
        <v>0</v>
      </c>
      <c r="Y842" s="21"/>
      <c r="Z842" s="16" t="str">
        <f aca="false">IF(X842=0,"",X842-Y842)</f>
        <v/>
      </c>
      <c r="AA842" s="22" t="str">
        <f aca="false">IFERROR(Y842/X842,"")</f>
        <v/>
      </c>
      <c r="AB842" s="16" t="n">
        <v>0</v>
      </c>
      <c r="AC842" s="21"/>
    </row>
    <row r="843" customFormat="false" ht="15" hidden="false" customHeight="true" outlineLevel="0" collapsed="false">
      <c r="A843" s="15" t="s">
        <v>8250</v>
      </c>
      <c r="B843" s="15" t="s">
        <v>8251</v>
      </c>
      <c r="C843" s="15" t="s">
        <v>8252</v>
      </c>
      <c r="D843" s="15" t="s">
        <v>741</v>
      </c>
      <c r="E843" s="15" t="s">
        <v>8253</v>
      </c>
      <c r="F843" s="15" t="s">
        <v>743</v>
      </c>
      <c r="G843" s="15" t="s">
        <v>744</v>
      </c>
      <c r="H843" s="15" t="s">
        <v>8254</v>
      </c>
      <c r="I843" s="15" t="s">
        <v>8255</v>
      </c>
      <c r="J843" s="15" t="s">
        <v>991</v>
      </c>
      <c r="K843" s="15" t="s">
        <v>368</v>
      </c>
      <c r="L843" s="15" t="s">
        <v>8256</v>
      </c>
      <c r="M843" s="15" t="s">
        <v>748</v>
      </c>
      <c r="N843" s="15" t="s">
        <v>73</v>
      </c>
      <c r="O843" s="16" t="n">
        <v>0</v>
      </c>
      <c r="P843" s="16" t="n">
        <v>0</v>
      </c>
      <c r="Q843" s="16" t="n">
        <v>0</v>
      </c>
      <c r="R843" s="16" t="n">
        <v>0</v>
      </c>
      <c r="S843" s="16" t="n">
        <v>0</v>
      </c>
      <c r="T843" s="17" t="n">
        <f aca="false">AVERAGE(O843:Q843)</f>
        <v>0</v>
      </c>
      <c r="U843" s="18" t="str">
        <f aca="false">IF(T843&gt;=$H$3,"Eligible","Not Eligible")</f>
        <v>Not Eligible</v>
      </c>
      <c r="V843" s="19" t="n">
        <f aca="false">IF(T843&lt;$H$3,0,IFERROR(T843/SUMIF($T$5:$T$999,"&gt;="&amp;$H$3),0))</f>
        <v>0</v>
      </c>
      <c r="W843" s="15" t="str">
        <f aca="false">IF(T843=0,"Win-Back","Active")</f>
        <v>Win-Back</v>
      </c>
      <c r="X843" s="20" t="n">
        <f aca="false">IF(T843=0,0,IF(T843&gt;=$H$3,ROUND(T843*$D$3/SUMIF($T$5:$T$999,"&gt;="&amp;$H$3),0),ROUNDUP(T843*$D$3/SUMIF($T$5:$T$999,"&gt;="&amp;$H$3),0)))</f>
        <v>0</v>
      </c>
      <c r="Y843" s="21"/>
      <c r="Z843" s="16" t="str">
        <f aca="false">IF(X843=0,"",X843-Y843)</f>
        <v/>
      </c>
      <c r="AA843" s="22" t="str">
        <f aca="false">IFERROR(Y843/X843,"")</f>
        <v/>
      </c>
      <c r="AB843" s="16" t="n">
        <v>0</v>
      </c>
      <c r="AC843" s="21"/>
    </row>
    <row r="844" customFormat="false" ht="15" hidden="false" customHeight="true" outlineLevel="0" collapsed="false">
      <c r="A844" s="15" t="s">
        <v>8257</v>
      </c>
      <c r="B844" s="15" t="s">
        <v>8258</v>
      </c>
      <c r="C844" s="15" t="s">
        <v>8259</v>
      </c>
      <c r="D844" s="15" t="s">
        <v>8260</v>
      </c>
      <c r="E844" s="15" t="s">
        <v>8261</v>
      </c>
      <c r="F844" s="15"/>
      <c r="G844" s="15"/>
      <c r="H844" s="15" t="s">
        <v>8262</v>
      </c>
      <c r="I844" s="15" t="s">
        <v>3667</v>
      </c>
      <c r="J844" s="15" t="s">
        <v>3657</v>
      </c>
      <c r="K844" s="15" t="s">
        <v>1200</v>
      </c>
      <c r="L844" s="15" t="s">
        <v>3658</v>
      </c>
      <c r="M844" s="15" t="s">
        <v>4617</v>
      </c>
      <c r="N844" s="15" t="s">
        <v>73</v>
      </c>
      <c r="O844" s="16" t="n">
        <v>0</v>
      </c>
      <c r="P844" s="16" t="n">
        <v>0</v>
      </c>
      <c r="Q844" s="16" t="n">
        <v>0</v>
      </c>
      <c r="R844" s="16" t="n">
        <v>0</v>
      </c>
      <c r="S844" s="16" t="n">
        <v>0</v>
      </c>
      <c r="T844" s="17" t="n">
        <f aca="false">AVERAGE(O844:Q844)</f>
        <v>0</v>
      </c>
      <c r="U844" s="18" t="str">
        <f aca="false">IF(T844&gt;=$H$3,"Eligible","Not Eligible")</f>
        <v>Not Eligible</v>
      </c>
      <c r="V844" s="19" t="n">
        <f aca="false">IF(T844&lt;$H$3,0,IFERROR(T844/SUMIF($T$5:$T$999,"&gt;="&amp;$H$3),0))</f>
        <v>0</v>
      </c>
      <c r="W844" s="15" t="str">
        <f aca="false">IF(T844=0,"Win-Back","Active")</f>
        <v>Win-Back</v>
      </c>
      <c r="X844" s="20" t="n">
        <f aca="false">IF(T844=0,0,IF(T844&gt;=$H$3,ROUND(T844*$D$3/SUMIF($T$5:$T$999,"&gt;="&amp;$H$3),0),ROUNDUP(T844*$D$3/SUMIF($T$5:$T$999,"&gt;="&amp;$H$3),0)))</f>
        <v>0</v>
      </c>
      <c r="Y844" s="21"/>
      <c r="Z844" s="16" t="str">
        <f aca="false">IF(X844=0,"",X844-Y844)</f>
        <v/>
      </c>
      <c r="AA844" s="22" t="str">
        <f aca="false">IFERROR(Y844/X844,"")</f>
        <v/>
      </c>
      <c r="AB844" s="16" t="n">
        <v>0</v>
      </c>
      <c r="AC844" s="21"/>
    </row>
    <row r="845" customFormat="false" ht="15" hidden="false" customHeight="true" outlineLevel="0" collapsed="false">
      <c r="A845" s="15" t="s">
        <v>8263</v>
      </c>
      <c r="B845" s="15" t="s">
        <v>8264</v>
      </c>
      <c r="C845" s="15" t="s">
        <v>8265</v>
      </c>
      <c r="D845" s="15" t="s">
        <v>8266</v>
      </c>
      <c r="E845" s="15" t="s">
        <v>8267</v>
      </c>
      <c r="F845" s="15" t="s">
        <v>8268</v>
      </c>
      <c r="G845" s="15" t="s">
        <v>8269</v>
      </c>
      <c r="H845" s="15" t="s">
        <v>8270</v>
      </c>
      <c r="I845" s="15" t="s">
        <v>3667</v>
      </c>
      <c r="J845" s="15" t="s">
        <v>8271</v>
      </c>
      <c r="K845" s="15" t="s">
        <v>70</v>
      </c>
      <c r="L845" s="15" t="s">
        <v>8272</v>
      </c>
      <c r="M845" s="15" t="s">
        <v>8273</v>
      </c>
      <c r="N845" s="15" t="s">
        <v>73</v>
      </c>
      <c r="O845" s="16" t="n">
        <v>0</v>
      </c>
      <c r="P845" s="16" t="n">
        <v>0</v>
      </c>
      <c r="Q845" s="16" t="n">
        <v>0</v>
      </c>
      <c r="R845" s="16" t="n">
        <v>0</v>
      </c>
      <c r="S845" s="16" t="n">
        <v>0</v>
      </c>
      <c r="T845" s="17" t="n">
        <f aca="false">AVERAGE(O845:Q845)</f>
        <v>0</v>
      </c>
      <c r="U845" s="18" t="str">
        <f aca="false">IF(T845&gt;=$H$3,"Eligible","Not Eligible")</f>
        <v>Not Eligible</v>
      </c>
      <c r="V845" s="19" t="n">
        <f aca="false">IF(T845&lt;$H$3,0,IFERROR(T845/SUMIF($T$5:$T$999,"&gt;="&amp;$H$3),0))</f>
        <v>0</v>
      </c>
      <c r="W845" s="15" t="str">
        <f aca="false">IF(T845=0,"Win-Back","Active")</f>
        <v>Win-Back</v>
      </c>
      <c r="X845" s="20" t="n">
        <f aca="false">IF(T845=0,0,IF(T845&gt;=$H$3,ROUND(T845*$D$3/SUMIF($T$5:$T$999,"&gt;="&amp;$H$3),0),ROUNDUP(T845*$D$3/SUMIF($T$5:$T$999,"&gt;="&amp;$H$3),0)))</f>
        <v>0</v>
      </c>
      <c r="Y845" s="21"/>
      <c r="Z845" s="16" t="str">
        <f aca="false">IF(X845=0,"",X845-Y845)</f>
        <v/>
      </c>
      <c r="AA845" s="22" t="str">
        <f aca="false">IFERROR(Y845/X845,"")</f>
        <v/>
      </c>
      <c r="AB845" s="16" t="n">
        <v>0</v>
      </c>
      <c r="AC845" s="21"/>
    </row>
    <row r="846" customFormat="false" ht="15" hidden="false" customHeight="true" outlineLevel="0" collapsed="false">
      <c r="A846" s="15" t="s">
        <v>8274</v>
      </c>
      <c r="B846" s="15" t="s">
        <v>8275</v>
      </c>
      <c r="C846" s="15" t="s">
        <v>8276</v>
      </c>
      <c r="D846" s="15" t="s">
        <v>8277</v>
      </c>
      <c r="E846" s="15" t="s">
        <v>8278</v>
      </c>
      <c r="F846" s="15" t="s">
        <v>8279</v>
      </c>
      <c r="G846" s="15" t="s">
        <v>8280</v>
      </c>
      <c r="H846" s="15" t="s">
        <v>8281</v>
      </c>
      <c r="I846" s="15"/>
      <c r="J846" s="15" t="s">
        <v>8282</v>
      </c>
      <c r="K846" s="15" t="s">
        <v>234</v>
      </c>
      <c r="L846" s="15" t="s">
        <v>8283</v>
      </c>
      <c r="M846" s="15" t="s">
        <v>8284</v>
      </c>
      <c r="N846" s="15" t="s">
        <v>73</v>
      </c>
      <c r="O846" s="16" t="n">
        <v>0</v>
      </c>
      <c r="P846" s="16" t="n">
        <v>0</v>
      </c>
      <c r="Q846" s="16" t="n">
        <v>0</v>
      </c>
      <c r="R846" s="16" t="n">
        <v>0</v>
      </c>
      <c r="S846" s="16" t="n">
        <v>0</v>
      </c>
      <c r="T846" s="17" t="n">
        <f aca="false">AVERAGE(O846:Q846)</f>
        <v>0</v>
      </c>
      <c r="U846" s="18" t="str">
        <f aca="false">IF(T846&gt;=$H$3,"Eligible","Not Eligible")</f>
        <v>Not Eligible</v>
      </c>
      <c r="V846" s="19" t="n">
        <f aca="false">IF(T846&lt;$H$3,0,IFERROR(T846/SUMIF($T$5:$T$999,"&gt;="&amp;$H$3),0))</f>
        <v>0</v>
      </c>
      <c r="W846" s="15" t="str">
        <f aca="false">IF(T846=0,"Win-Back","Active")</f>
        <v>Win-Back</v>
      </c>
      <c r="X846" s="20" t="n">
        <f aca="false">IF(T846=0,0,IF(T846&gt;=$H$3,ROUND(T846*$D$3/SUMIF($T$5:$T$999,"&gt;="&amp;$H$3),0),ROUNDUP(T846*$D$3/SUMIF($T$5:$T$999,"&gt;="&amp;$H$3),0)))</f>
        <v>0</v>
      </c>
      <c r="Y846" s="21"/>
      <c r="Z846" s="16" t="str">
        <f aca="false">IF(X846=0,"",X846-Y846)</f>
        <v/>
      </c>
      <c r="AA846" s="22" t="str">
        <f aca="false">IFERROR(Y846/X846,"")</f>
        <v/>
      </c>
      <c r="AB846" s="16" t="n">
        <v>0</v>
      </c>
      <c r="AC846" s="21"/>
    </row>
    <row r="847" customFormat="false" ht="15" hidden="false" customHeight="true" outlineLevel="0" collapsed="false">
      <c r="A847" s="15" t="s">
        <v>8285</v>
      </c>
      <c r="B847" s="15" t="s">
        <v>8286</v>
      </c>
      <c r="C847" s="15" t="s">
        <v>8287</v>
      </c>
      <c r="D847" s="15" t="s">
        <v>336</v>
      </c>
      <c r="E847" s="15" t="s">
        <v>337</v>
      </c>
      <c r="F847" s="15" t="s">
        <v>8288</v>
      </c>
      <c r="G847" s="15" t="s">
        <v>339</v>
      </c>
      <c r="H847" s="15" t="s">
        <v>8289</v>
      </c>
      <c r="I847" s="15"/>
      <c r="J847" s="15" t="s">
        <v>1998</v>
      </c>
      <c r="K847" s="15" t="s">
        <v>70</v>
      </c>
      <c r="L847" s="15" t="s">
        <v>8290</v>
      </c>
      <c r="M847" s="15" t="s">
        <v>345</v>
      </c>
      <c r="N847" s="15" t="s">
        <v>346</v>
      </c>
      <c r="O847" s="16" t="n">
        <v>0</v>
      </c>
      <c r="P847" s="16" t="n">
        <v>0</v>
      </c>
      <c r="Q847" s="16" t="n">
        <v>0</v>
      </c>
      <c r="R847" s="16" t="n">
        <v>0</v>
      </c>
      <c r="S847" s="16" t="n">
        <v>0</v>
      </c>
      <c r="T847" s="17" t="n">
        <f aca="false">AVERAGE(O847:Q847)</f>
        <v>0</v>
      </c>
      <c r="U847" s="18" t="str">
        <f aca="false">IF(T847&gt;=$H$3,"Eligible","Not Eligible")</f>
        <v>Not Eligible</v>
      </c>
      <c r="V847" s="19" t="n">
        <f aca="false">IF(T847&lt;$H$3,0,IFERROR(T847/SUMIF($T$5:$T$999,"&gt;="&amp;$H$3),0))</f>
        <v>0</v>
      </c>
      <c r="W847" s="15" t="str">
        <f aca="false">IF(T847=0,"Win-Back","Active")</f>
        <v>Win-Back</v>
      </c>
      <c r="X847" s="20" t="n">
        <f aca="false">IF(T847=0,0,IF(T847&gt;=$H$3,ROUND(T847*$D$3/SUMIF($T$5:$T$999,"&gt;="&amp;$H$3),0),ROUNDUP(T847*$D$3/SUMIF($T$5:$T$999,"&gt;="&amp;$H$3),0)))</f>
        <v>0</v>
      </c>
      <c r="Y847" s="21"/>
      <c r="Z847" s="16" t="str">
        <f aca="false">IF(X847=0,"",X847-Y847)</f>
        <v/>
      </c>
      <c r="AA847" s="22" t="str">
        <f aca="false">IFERROR(Y847/X847,"")</f>
        <v/>
      </c>
      <c r="AB847" s="16" t="n">
        <v>0</v>
      </c>
      <c r="AC847" s="21"/>
    </row>
    <row r="848" customFormat="false" ht="15" hidden="false" customHeight="true" outlineLevel="0" collapsed="false">
      <c r="A848" s="15" t="s">
        <v>8291</v>
      </c>
      <c r="B848" s="15" t="s">
        <v>8292</v>
      </c>
      <c r="C848" s="15" t="s">
        <v>8293</v>
      </c>
      <c r="D848" s="15" t="s">
        <v>336</v>
      </c>
      <c r="E848" s="15" t="s">
        <v>337</v>
      </c>
      <c r="F848" s="15" t="s">
        <v>8294</v>
      </c>
      <c r="G848" s="15" t="s">
        <v>339</v>
      </c>
      <c r="H848" s="15" t="s">
        <v>8295</v>
      </c>
      <c r="I848" s="15"/>
      <c r="J848" s="15" t="s">
        <v>8296</v>
      </c>
      <c r="K848" s="15" t="s">
        <v>735</v>
      </c>
      <c r="L848" s="15" t="s">
        <v>8297</v>
      </c>
      <c r="M848" s="15" t="s">
        <v>345</v>
      </c>
      <c r="N848" s="15" t="s">
        <v>346</v>
      </c>
      <c r="O848" s="16" t="n">
        <v>0</v>
      </c>
      <c r="P848" s="16" t="n">
        <v>0</v>
      </c>
      <c r="Q848" s="16" t="n">
        <v>0</v>
      </c>
      <c r="R848" s="16" t="n">
        <v>0</v>
      </c>
      <c r="S848" s="16" t="n">
        <v>0</v>
      </c>
      <c r="T848" s="17" t="n">
        <f aca="false">AVERAGE(O848:Q848)</f>
        <v>0</v>
      </c>
      <c r="U848" s="18" t="str">
        <f aca="false">IF(T848&gt;=$H$3,"Eligible","Not Eligible")</f>
        <v>Not Eligible</v>
      </c>
      <c r="V848" s="19" t="n">
        <f aca="false">IF(T848&lt;$H$3,0,IFERROR(T848/SUMIF($T$5:$T$999,"&gt;="&amp;$H$3),0))</f>
        <v>0</v>
      </c>
      <c r="W848" s="15" t="str">
        <f aca="false">IF(T848=0,"Win-Back","Active")</f>
        <v>Win-Back</v>
      </c>
      <c r="X848" s="20" t="n">
        <f aca="false">IF(T848=0,0,IF(T848&gt;=$H$3,ROUND(T848*$D$3/SUMIF($T$5:$T$999,"&gt;="&amp;$H$3),0),ROUNDUP(T848*$D$3/SUMIF($T$5:$T$999,"&gt;="&amp;$H$3),0)))</f>
        <v>0</v>
      </c>
      <c r="Y848" s="21"/>
      <c r="Z848" s="16" t="str">
        <f aca="false">IF(X848=0,"",X848-Y848)</f>
        <v/>
      </c>
      <c r="AA848" s="22" t="str">
        <f aca="false">IFERROR(Y848/X848,"")</f>
        <v/>
      </c>
      <c r="AB848" s="16" t="n">
        <v>0</v>
      </c>
      <c r="AC848" s="21"/>
    </row>
    <row r="849" customFormat="false" ht="15" hidden="false" customHeight="true" outlineLevel="0" collapsed="false">
      <c r="A849" s="15" t="s">
        <v>8298</v>
      </c>
      <c r="B849" s="15" t="s">
        <v>8299</v>
      </c>
      <c r="C849" s="15" t="s">
        <v>8300</v>
      </c>
      <c r="D849" s="15" t="s">
        <v>336</v>
      </c>
      <c r="E849" s="15" t="s">
        <v>337</v>
      </c>
      <c r="F849" s="15" t="s">
        <v>8301</v>
      </c>
      <c r="G849" s="15" t="s">
        <v>339</v>
      </c>
      <c r="H849" s="15" t="s">
        <v>8302</v>
      </c>
      <c r="I849" s="15" t="s">
        <v>8303</v>
      </c>
      <c r="J849" s="15" t="s">
        <v>8304</v>
      </c>
      <c r="K849" s="15" t="s">
        <v>2839</v>
      </c>
      <c r="L849" s="15" t="s">
        <v>8305</v>
      </c>
      <c r="M849" s="15" t="s">
        <v>345</v>
      </c>
      <c r="N849" s="15" t="s">
        <v>346</v>
      </c>
      <c r="O849" s="16" t="n">
        <v>0</v>
      </c>
      <c r="P849" s="16" t="n">
        <v>0</v>
      </c>
      <c r="Q849" s="16" t="n">
        <v>0</v>
      </c>
      <c r="R849" s="16" t="n">
        <v>0</v>
      </c>
      <c r="S849" s="16" t="n">
        <v>0</v>
      </c>
      <c r="T849" s="17" t="n">
        <f aca="false">AVERAGE(O849:Q849)</f>
        <v>0</v>
      </c>
      <c r="U849" s="18" t="str">
        <f aca="false">IF(T849&gt;=$H$3,"Eligible","Not Eligible")</f>
        <v>Not Eligible</v>
      </c>
      <c r="V849" s="19" t="n">
        <f aca="false">IF(T849&lt;$H$3,0,IFERROR(T849/SUMIF($T$5:$T$999,"&gt;="&amp;$H$3),0))</f>
        <v>0</v>
      </c>
      <c r="W849" s="15" t="str">
        <f aca="false">IF(T849=0,"Win-Back","Active")</f>
        <v>Win-Back</v>
      </c>
      <c r="X849" s="20" t="n">
        <f aca="false">IF(T849=0,0,IF(T849&gt;=$H$3,ROUND(T849*$D$3/SUMIF($T$5:$T$999,"&gt;="&amp;$H$3),0),ROUNDUP(T849*$D$3/SUMIF($T$5:$T$999,"&gt;="&amp;$H$3),0)))</f>
        <v>0</v>
      </c>
      <c r="Y849" s="21"/>
      <c r="Z849" s="16" t="str">
        <f aca="false">IF(X849=0,"",X849-Y849)</f>
        <v/>
      </c>
      <c r="AA849" s="22" t="str">
        <f aca="false">IFERROR(Y849/X849,"")</f>
        <v/>
      </c>
      <c r="AB849" s="16" t="n">
        <v>0</v>
      </c>
      <c r="AC849" s="21"/>
    </row>
    <row r="850" customFormat="false" ht="15" hidden="false" customHeight="true" outlineLevel="0" collapsed="false">
      <c r="A850" s="15" t="s">
        <v>8306</v>
      </c>
      <c r="B850" s="15" t="s">
        <v>8307</v>
      </c>
      <c r="C850" s="15" t="s">
        <v>8308</v>
      </c>
      <c r="D850" s="15" t="s">
        <v>336</v>
      </c>
      <c r="E850" s="15" t="s">
        <v>337</v>
      </c>
      <c r="F850" s="15" t="s">
        <v>8309</v>
      </c>
      <c r="G850" s="15" t="s">
        <v>339</v>
      </c>
      <c r="H850" s="15" t="s">
        <v>8310</v>
      </c>
      <c r="I850" s="15"/>
      <c r="J850" s="15" t="s">
        <v>8311</v>
      </c>
      <c r="K850" s="15" t="s">
        <v>1255</v>
      </c>
      <c r="L850" s="15" t="s">
        <v>8312</v>
      </c>
      <c r="M850" s="15" t="s">
        <v>345</v>
      </c>
      <c r="N850" s="15" t="s">
        <v>346</v>
      </c>
      <c r="O850" s="16" t="n">
        <v>0</v>
      </c>
      <c r="P850" s="16" t="n">
        <v>0</v>
      </c>
      <c r="Q850" s="16" t="n">
        <v>0</v>
      </c>
      <c r="R850" s="16" t="n">
        <v>0</v>
      </c>
      <c r="S850" s="16" t="n">
        <v>0</v>
      </c>
      <c r="T850" s="17" t="n">
        <f aca="false">AVERAGE(O850:Q850)</f>
        <v>0</v>
      </c>
      <c r="U850" s="18" t="str">
        <f aca="false">IF(T850&gt;=$H$3,"Eligible","Not Eligible")</f>
        <v>Not Eligible</v>
      </c>
      <c r="V850" s="19" t="n">
        <f aca="false">IF(T850&lt;$H$3,0,IFERROR(T850/SUMIF($T$5:$T$999,"&gt;="&amp;$H$3),0))</f>
        <v>0</v>
      </c>
      <c r="W850" s="15" t="str">
        <f aca="false">IF(T850=0,"Win-Back","Active")</f>
        <v>Win-Back</v>
      </c>
      <c r="X850" s="20" t="n">
        <f aca="false">IF(T850=0,0,IF(T850&gt;=$H$3,ROUND(T850*$D$3/SUMIF($T$5:$T$999,"&gt;="&amp;$H$3),0),ROUNDUP(T850*$D$3/SUMIF($T$5:$T$999,"&gt;="&amp;$H$3),0)))</f>
        <v>0</v>
      </c>
      <c r="Y850" s="21"/>
      <c r="Z850" s="16" t="str">
        <f aca="false">IF(X850=0,"",X850-Y850)</f>
        <v/>
      </c>
      <c r="AA850" s="22" t="str">
        <f aca="false">IFERROR(Y850/X850,"")</f>
        <v/>
      </c>
      <c r="AB850" s="16" t="n">
        <v>0</v>
      </c>
      <c r="AC850" s="21"/>
    </row>
    <row r="851" customFormat="false" ht="15" hidden="false" customHeight="true" outlineLevel="0" collapsed="false">
      <c r="A851" s="15" t="s">
        <v>8313</v>
      </c>
      <c r="B851" s="15" t="s">
        <v>8314</v>
      </c>
      <c r="C851" s="15" t="s">
        <v>8315</v>
      </c>
      <c r="D851" s="15" t="s">
        <v>336</v>
      </c>
      <c r="E851" s="15" t="s">
        <v>337</v>
      </c>
      <c r="F851" s="15" t="s">
        <v>8316</v>
      </c>
      <c r="G851" s="15" t="s">
        <v>339</v>
      </c>
      <c r="H851" s="15" t="s">
        <v>8317</v>
      </c>
      <c r="I851" s="15" t="s">
        <v>8318</v>
      </c>
      <c r="J851" s="15" t="s">
        <v>1998</v>
      </c>
      <c r="K851" s="15" t="s">
        <v>70</v>
      </c>
      <c r="L851" s="15" t="s">
        <v>1999</v>
      </c>
      <c r="M851" s="15" t="s">
        <v>345</v>
      </c>
      <c r="N851" s="15" t="s">
        <v>346</v>
      </c>
      <c r="O851" s="16" t="n">
        <v>0</v>
      </c>
      <c r="P851" s="16" t="n">
        <v>0</v>
      </c>
      <c r="Q851" s="16" t="n">
        <v>0</v>
      </c>
      <c r="R851" s="16" t="n">
        <v>0</v>
      </c>
      <c r="S851" s="16" t="n">
        <v>0</v>
      </c>
      <c r="T851" s="17" t="n">
        <f aca="false">AVERAGE(O851:Q851)</f>
        <v>0</v>
      </c>
      <c r="U851" s="18" t="str">
        <f aca="false">IF(T851&gt;=$H$3,"Eligible","Not Eligible")</f>
        <v>Not Eligible</v>
      </c>
      <c r="V851" s="19" t="n">
        <f aca="false">IF(T851&lt;$H$3,0,IFERROR(T851/SUMIF($T$5:$T$999,"&gt;="&amp;$H$3),0))</f>
        <v>0</v>
      </c>
      <c r="W851" s="15" t="str">
        <f aca="false">IF(T851=0,"Win-Back","Active")</f>
        <v>Win-Back</v>
      </c>
      <c r="X851" s="20" t="n">
        <f aca="false">IF(T851=0,0,IF(T851&gt;=$H$3,ROUND(T851*$D$3/SUMIF($T$5:$T$999,"&gt;="&amp;$H$3),0),ROUNDUP(T851*$D$3/SUMIF($T$5:$T$999,"&gt;="&amp;$H$3),0)))</f>
        <v>0</v>
      </c>
      <c r="Y851" s="21"/>
      <c r="Z851" s="16" t="str">
        <f aca="false">IF(X851=0,"",X851-Y851)</f>
        <v/>
      </c>
      <c r="AA851" s="22" t="str">
        <f aca="false">IFERROR(Y851/X851,"")</f>
        <v/>
      </c>
      <c r="AB851" s="16" t="n">
        <v>0</v>
      </c>
      <c r="AC851" s="21"/>
    </row>
    <row r="852" customFormat="false" ht="15" hidden="false" customHeight="true" outlineLevel="0" collapsed="false">
      <c r="A852" s="15" t="s">
        <v>8319</v>
      </c>
      <c r="B852" s="15" t="s">
        <v>8320</v>
      </c>
      <c r="C852" s="15" t="s">
        <v>8321</v>
      </c>
      <c r="D852" s="15" t="s">
        <v>336</v>
      </c>
      <c r="E852" s="15" t="s">
        <v>337</v>
      </c>
      <c r="F852" s="15" t="s">
        <v>8322</v>
      </c>
      <c r="G852" s="15" t="s">
        <v>339</v>
      </c>
      <c r="H852" s="15" t="s">
        <v>8323</v>
      </c>
      <c r="I852" s="15"/>
      <c r="J852" s="15" t="s">
        <v>8304</v>
      </c>
      <c r="K852" s="15" t="s">
        <v>2839</v>
      </c>
      <c r="L852" s="15" t="s">
        <v>8324</v>
      </c>
      <c r="M852" s="15" t="s">
        <v>345</v>
      </c>
      <c r="N852" s="15" t="s">
        <v>346</v>
      </c>
      <c r="O852" s="16" t="n">
        <v>0</v>
      </c>
      <c r="P852" s="16" t="n">
        <v>0</v>
      </c>
      <c r="Q852" s="16" t="n">
        <v>0</v>
      </c>
      <c r="R852" s="16" t="n">
        <v>0</v>
      </c>
      <c r="S852" s="16" t="n">
        <v>0</v>
      </c>
      <c r="T852" s="17" t="n">
        <f aca="false">AVERAGE(O852:Q852)</f>
        <v>0</v>
      </c>
      <c r="U852" s="18" t="str">
        <f aca="false">IF(T852&gt;=$H$3,"Eligible","Not Eligible")</f>
        <v>Not Eligible</v>
      </c>
      <c r="V852" s="19" t="n">
        <f aca="false">IF(T852&lt;$H$3,0,IFERROR(T852/SUMIF($T$5:$T$999,"&gt;="&amp;$H$3),0))</f>
        <v>0</v>
      </c>
      <c r="W852" s="15" t="str">
        <f aca="false">IF(T852=0,"Win-Back","Active")</f>
        <v>Win-Back</v>
      </c>
      <c r="X852" s="20" t="n">
        <f aca="false">IF(T852=0,0,IF(T852&gt;=$H$3,ROUND(T852*$D$3/SUMIF($T$5:$T$999,"&gt;="&amp;$H$3),0),ROUNDUP(T852*$D$3/SUMIF($T$5:$T$999,"&gt;="&amp;$H$3),0)))</f>
        <v>0</v>
      </c>
      <c r="Y852" s="21"/>
      <c r="Z852" s="16" t="str">
        <f aca="false">IF(X852=0,"",X852-Y852)</f>
        <v/>
      </c>
      <c r="AA852" s="22" t="str">
        <f aca="false">IFERROR(Y852/X852,"")</f>
        <v/>
      </c>
      <c r="AB852" s="16" t="n">
        <v>0</v>
      </c>
      <c r="AC852" s="21"/>
    </row>
    <row r="853" customFormat="false" ht="15" hidden="false" customHeight="true" outlineLevel="0" collapsed="false">
      <c r="A853" s="15" t="s">
        <v>8325</v>
      </c>
      <c r="B853" s="15" t="s">
        <v>8326</v>
      </c>
      <c r="C853" s="15" t="s">
        <v>8327</v>
      </c>
      <c r="D853" s="15" t="s">
        <v>336</v>
      </c>
      <c r="E853" s="15" t="s">
        <v>8328</v>
      </c>
      <c r="F853" s="15" t="s">
        <v>8329</v>
      </c>
      <c r="G853" s="15" t="s">
        <v>339</v>
      </c>
      <c r="H853" s="15" t="s">
        <v>8330</v>
      </c>
      <c r="I853" s="15"/>
      <c r="J853" s="15" t="s">
        <v>6240</v>
      </c>
      <c r="K853" s="15" t="s">
        <v>2839</v>
      </c>
      <c r="L853" s="15" t="s">
        <v>8331</v>
      </c>
      <c r="M853" s="15" t="s">
        <v>345</v>
      </c>
      <c r="N853" s="15" t="s">
        <v>346</v>
      </c>
      <c r="O853" s="16" t="n">
        <v>0</v>
      </c>
      <c r="P853" s="16" t="n">
        <v>0</v>
      </c>
      <c r="Q853" s="16" t="n">
        <v>0</v>
      </c>
      <c r="R853" s="16" t="n">
        <v>0</v>
      </c>
      <c r="S853" s="16" t="n">
        <v>0</v>
      </c>
      <c r="T853" s="17" t="n">
        <f aca="false">AVERAGE(O853:Q853)</f>
        <v>0</v>
      </c>
      <c r="U853" s="18" t="str">
        <f aca="false">IF(T853&gt;=$H$3,"Eligible","Not Eligible")</f>
        <v>Not Eligible</v>
      </c>
      <c r="V853" s="19" t="n">
        <f aca="false">IF(T853&lt;$H$3,0,IFERROR(T853/SUMIF($T$5:$T$999,"&gt;="&amp;$H$3),0))</f>
        <v>0</v>
      </c>
      <c r="W853" s="15" t="str">
        <f aca="false">IF(T853=0,"Win-Back","Active")</f>
        <v>Win-Back</v>
      </c>
      <c r="X853" s="20" t="n">
        <f aca="false">IF(T853=0,0,IF(T853&gt;=$H$3,ROUND(T853*$D$3/SUMIF($T$5:$T$999,"&gt;="&amp;$H$3),0),ROUNDUP(T853*$D$3/SUMIF($T$5:$T$999,"&gt;="&amp;$H$3),0)))</f>
        <v>0</v>
      </c>
      <c r="Y853" s="21"/>
      <c r="Z853" s="16" t="str">
        <f aca="false">IF(X853=0,"",X853-Y853)</f>
        <v/>
      </c>
      <c r="AA853" s="22" t="str">
        <f aca="false">IFERROR(Y853/X853,"")</f>
        <v/>
      </c>
      <c r="AB853" s="16" t="n">
        <v>0</v>
      </c>
      <c r="AC853" s="21"/>
    </row>
    <row r="854" customFormat="false" ht="15" hidden="false" customHeight="true" outlineLevel="0" collapsed="false">
      <c r="A854" s="15" t="s">
        <v>8332</v>
      </c>
      <c r="B854" s="15" t="s">
        <v>8333</v>
      </c>
      <c r="C854" s="15" t="s">
        <v>8334</v>
      </c>
      <c r="D854" s="15" t="s">
        <v>336</v>
      </c>
      <c r="E854" s="15" t="s">
        <v>337</v>
      </c>
      <c r="F854" s="15" t="s">
        <v>8335</v>
      </c>
      <c r="G854" s="15" t="s">
        <v>339</v>
      </c>
      <c r="H854" s="15" t="s">
        <v>8336</v>
      </c>
      <c r="I854" s="15" t="s">
        <v>8328</v>
      </c>
      <c r="J854" s="15" t="s">
        <v>8337</v>
      </c>
      <c r="K854" s="15" t="s">
        <v>1255</v>
      </c>
      <c r="L854" s="15" t="s">
        <v>8338</v>
      </c>
      <c r="M854" s="15" t="s">
        <v>345</v>
      </c>
      <c r="N854" s="15" t="s">
        <v>346</v>
      </c>
      <c r="O854" s="16" t="n">
        <v>0</v>
      </c>
      <c r="P854" s="16" t="n">
        <v>0</v>
      </c>
      <c r="Q854" s="16" t="n">
        <v>0</v>
      </c>
      <c r="R854" s="16" t="n">
        <v>0</v>
      </c>
      <c r="S854" s="16" t="n">
        <v>0</v>
      </c>
      <c r="T854" s="17" t="n">
        <f aca="false">AVERAGE(O854:Q854)</f>
        <v>0</v>
      </c>
      <c r="U854" s="18" t="str">
        <f aca="false">IF(T854&gt;=$H$3,"Eligible","Not Eligible")</f>
        <v>Not Eligible</v>
      </c>
      <c r="V854" s="19" t="n">
        <f aca="false">IF(T854&lt;$H$3,0,IFERROR(T854/SUMIF($T$5:$T$999,"&gt;="&amp;$H$3),0))</f>
        <v>0</v>
      </c>
      <c r="W854" s="15" t="str">
        <f aca="false">IF(T854=0,"Win-Back","Active")</f>
        <v>Win-Back</v>
      </c>
      <c r="X854" s="20" t="n">
        <f aca="false">IF(T854=0,0,IF(T854&gt;=$H$3,ROUND(T854*$D$3/SUMIF($T$5:$T$999,"&gt;="&amp;$H$3),0),ROUNDUP(T854*$D$3/SUMIF($T$5:$T$999,"&gt;="&amp;$H$3),0)))</f>
        <v>0</v>
      </c>
      <c r="Y854" s="21"/>
      <c r="Z854" s="16" t="str">
        <f aca="false">IF(X854=0,"",X854-Y854)</f>
        <v/>
      </c>
      <c r="AA854" s="22" t="str">
        <f aca="false">IFERROR(Y854/X854,"")</f>
        <v/>
      </c>
      <c r="AB854" s="16" t="n">
        <v>0</v>
      </c>
      <c r="AC854" s="21"/>
    </row>
    <row r="855" customFormat="false" ht="15" hidden="false" customHeight="true" outlineLevel="0" collapsed="false">
      <c r="A855" s="15" t="s">
        <v>8339</v>
      </c>
      <c r="B855" s="15" t="s">
        <v>8340</v>
      </c>
      <c r="C855" s="15" t="s">
        <v>8341</v>
      </c>
      <c r="D855" s="15" t="s">
        <v>336</v>
      </c>
      <c r="E855" s="15" t="s">
        <v>337</v>
      </c>
      <c r="F855" s="15" t="s">
        <v>8342</v>
      </c>
      <c r="G855" s="15" t="s">
        <v>339</v>
      </c>
      <c r="H855" s="15" t="s">
        <v>8343</v>
      </c>
      <c r="I855" s="15"/>
      <c r="J855" s="15" t="s">
        <v>8344</v>
      </c>
      <c r="K855" s="15" t="s">
        <v>343</v>
      </c>
      <c r="L855" s="15" t="s">
        <v>8345</v>
      </c>
      <c r="M855" s="15" t="s">
        <v>345</v>
      </c>
      <c r="N855" s="15" t="s">
        <v>346</v>
      </c>
      <c r="O855" s="16" t="n">
        <v>0</v>
      </c>
      <c r="P855" s="16" t="n">
        <v>0</v>
      </c>
      <c r="Q855" s="16" t="n">
        <v>0</v>
      </c>
      <c r="R855" s="16" t="n">
        <v>0</v>
      </c>
      <c r="S855" s="16" t="n">
        <v>0</v>
      </c>
      <c r="T855" s="17" t="n">
        <f aca="false">AVERAGE(O855:Q855)</f>
        <v>0</v>
      </c>
      <c r="U855" s="18" t="str">
        <f aca="false">IF(T855&gt;=$H$3,"Eligible","Not Eligible")</f>
        <v>Not Eligible</v>
      </c>
      <c r="V855" s="19" t="n">
        <f aca="false">IF(T855&lt;$H$3,0,IFERROR(T855/SUMIF($T$5:$T$999,"&gt;="&amp;$H$3),0))</f>
        <v>0</v>
      </c>
      <c r="W855" s="15" t="str">
        <f aca="false">IF(T855=0,"Win-Back","Active")</f>
        <v>Win-Back</v>
      </c>
      <c r="X855" s="20" t="n">
        <f aca="false">IF(T855=0,0,IF(T855&gt;=$H$3,ROUND(T855*$D$3/SUMIF($T$5:$T$999,"&gt;="&amp;$H$3),0),ROUNDUP(T855*$D$3/SUMIF($T$5:$T$999,"&gt;="&amp;$H$3),0)))</f>
        <v>0</v>
      </c>
      <c r="Y855" s="21"/>
      <c r="Z855" s="16" t="str">
        <f aca="false">IF(X855=0,"",X855-Y855)</f>
        <v/>
      </c>
      <c r="AA855" s="22" t="str">
        <f aca="false">IFERROR(Y855/X855,"")</f>
        <v/>
      </c>
      <c r="AB855" s="16" t="n">
        <v>0</v>
      </c>
      <c r="AC855" s="21"/>
    </row>
    <row r="856" customFormat="false" ht="15" hidden="false" customHeight="true" outlineLevel="0" collapsed="false">
      <c r="A856" s="15" t="s">
        <v>8346</v>
      </c>
      <c r="B856" s="15" t="s">
        <v>8347</v>
      </c>
      <c r="C856" s="15" t="s">
        <v>8348</v>
      </c>
      <c r="D856" s="15" t="s">
        <v>336</v>
      </c>
      <c r="E856" s="15" t="s">
        <v>337</v>
      </c>
      <c r="F856" s="15" t="s">
        <v>8349</v>
      </c>
      <c r="G856" s="15" t="s">
        <v>339</v>
      </c>
      <c r="H856" s="15" t="s">
        <v>8350</v>
      </c>
      <c r="I856" s="15"/>
      <c r="J856" s="15" t="s">
        <v>1677</v>
      </c>
      <c r="K856" s="15" t="s">
        <v>298</v>
      </c>
      <c r="L856" s="15" t="s">
        <v>8351</v>
      </c>
      <c r="M856" s="15" t="s">
        <v>345</v>
      </c>
      <c r="N856" s="15" t="s">
        <v>346</v>
      </c>
      <c r="O856" s="16" t="n">
        <v>0</v>
      </c>
      <c r="P856" s="16" t="n">
        <v>0</v>
      </c>
      <c r="Q856" s="16" t="n">
        <v>0</v>
      </c>
      <c r="R856" s="16" t="n">
        <v>0</v>
      </c>
      <c r="S856" s="16" t="n">
        <v>0</v>
      </c>
      <c r="T856" s="17" t="n">
        <f aca="false">AVERAGE(O856:Q856)</f>
        <v>0</v>
      </c>
      <c r="U856" s="18" t="str">
        <f aca="false">IF(T856&gt;=$H$3,"Eligible","Not Eligible")</f>
        <v>Not Eligible</v>
      </c>
      <c r="V856" s="19" t="n">
        <f aca="false">IF(T856&lt;$H$3,0,IFERROR(T856/SUMIF($T$5:$T$999,"&gt;="&amp;$H$3),0))</f>
        <v>0</v>
      </c>
      <c r="W856" s="15" t="str">
        <f aca="false">IF(T856=0,"Win-Back","Active")</f>
        <v>Win-Back</v>
      </c>
      <c r="X856" s="20" t="n">
        <f aca="false">IF(T856=0,0,IF(T856&gt;=$H$3,ROUND(T856*$D$3/SUMIF($T$5:$T$999,"&gt;="&amp;$H$3),0),ROUNDUP(T856*$D$3/SUMIF($T$5:$T$999,"&gt;="&amp;$H$3),0)))</f>
        <v>0</v>
      </c>
      <c r="Y856" s="21"/>
      <c r="Z856" s="16" t="str">
        <f aca="false">IF(X856=0,"",X856-Y856)</f>
        <v/>
      </c>
      <c r="AA856" s="22" t="str">
        <f aca="false">IFERROR(Y856/X856,"")</f>
        <v/>
      </c>
      <c r="AB856" s="16" t="n">
        <v>0</v>
      </c>
      <c r="AC856" s="21"/>
    </row>
    <row r="857" customFormat="false" ht="15" hidden="false" customHeight="true" outlineLevel="0" collapsed="false">
      <c r="A857" s="15" t="s">
        <v>8352</v>
      </c>
      <c r="B857" s="15" t="s">
        <v>8353</v>
      </c>
      <c r="C857" s="15" t="s">
        <v>8354</v>
      </c>
      <c r="D857" s="15" t="s">
        <v>336</v>
      </c>
      <c r="E857" s="15" t="s">
        <v>337</v>
      </c>
      <c r="F857" s="15" t="s">
        <v>8355</v>
      </c>
      <c r="G857" s="15" t="s">
        <v>339</v>
      </c>
      <c r="H857" s="15" t="s">
        <v>8356</v>
      </c>
      <c r="I857" s="15"/>
      <c r="J857" s="15" t="s">
        <v>8357</v>
      </c>
      <c r="K857" s="15" t="s">
        <v>70</v>
      </c>
      <c r="L857" s="15" t="s">
        <v>8358</v>
      </c>
      <c r="M857" s="15" t="s">
        <v>345</v>
      </c>
      <c r="N857" s="15" t="s">
        <v>346</v>
      </c>
      <c r="O857" s="16" t="n">
        <v>0</v>
      </c>
      <c r="P857" s="16" t="n">
        <v>0</v>
      </c>
      <c r="Q857" s="16" t="n">
        <v>0</v>
      </c>
      <c r="R857" s="16" t="n">
        <v>0</v>
      </c>
      <c r="S857" s="16" t="n">
        <v>0</v>
      </c>
      <c r="T857" s="17" t="n">
        <f aca="false">AVERAGE(O857:Q857)</f>
        <v>0</v>
      </c>
      <c r="U857" s="18" t="str">
        <f aca="false">IF(T857&gt;=$H$3,"Eligible","Not Eligible")</f>
        <v>Not Eligible</v>
      </c>
      <c r="V857" s="19" t="n">
        <f aca="false">IF(T857&lt;$H$3,0,IFERROR(T857/SUMIF($T$5:$T$999,"&gt;="&amp;$H$3),0))</f>
        <v>0</v>
      </c>
      <c r="W857" s="15" t="str">
        <f aca="false">IF(T857=0,"Win-Back","Active")</f>
        <v>Win-Back</v>
      </c>
      <c r="X857" s="20" t="n">
        <f aca="false">IF(T857=0,0,IF(T857&gt;=$H$3,ROUND(T857*$D$3/SUMIF($T$5:$T$999,"&gt;="&amp;$H$3),0),ROUNDUP(T857*$D$3/SUMIF($T$5:$T$999,"&gt;="&amp;$H$3),0)))</f>
        <v>0</v>
      </c>
      <c r="Y857" s="21"/>
      <c r="Z857" s="16" t="str">
        <f aca="false">IF(X857=0,"",X857-Y857)</f>
        <v/>
      </c>
      <c r="AA857" s="22" t="str">
        <f aca="false">IFERROR(Y857/X857,"")</f>
        <v/>
      </c>
      <c r="AB857" s="16" t="n">
        <v>0</v>
      </c>
      <c r="AC857" s="21"/>
    </row>
    <row r="858" customFormat="false" ht="15" hidden="false" customHeight="true" outlineLevel="0" collapsed="false">
      <c r="A858" s="15" t="s">
        <v>8359</v>
      </c>
      <c r="B858" s="15" t="s">
        <v>8360</v>
      </c>
      <c r="C858" s="15" t="s">
        <v>8361</v>
      </c>
      <c r="D858" s="15" t="s">
        <v>336</v>
      </c>
      <c r="E858" s="15" t="s">
        <v>337</v>
      </c>
      <c r="F858" s="15" t="s">
        <v>8362</v>
      </c>
      <c r="G858" s="15" t="s">
        <v>339</v>
      </c>
      <c r="H858" s="15" t="s">
        <v>8363</v>
      </c>
      <c r="I858" s="15"/>
      <c r="J858" s="15" t="s">
        <v>8364</v>
      </c>
      <c r="K858" s="15" t="s">
        <v>3203</v>
      </c>
      <c r="L858" s="15" t="s">
        <v>8365</v>
      </c>
      <c r="M858" s="15" t="s">
        <v>345</v>
      </c>
      <c r="N858" s="15" t="s">
        <v>346</v>
      </c>
      <c r="O858" s="16" t="n">
        <v>0</v>
      </c>
      <c r="P858" s="16" t="n">
        <v>0</v>
      </c>
      <c r="Q858" s="16" t="n">
        <v>0</v>
      </c>
      <c r="R858" s="16" t="n">
        <v>0</v>
      </c>
      <c r="S858" s="16" t="n">
        <v>0</v>
      </c>
      <c r="T858" s="17" t="n">
        <f aca="false">AVERAGE(O858:Q858)</f>
        <v>0</v>
      </c>
      <c r="U858" s="18" t="str">
        <f aca="false">IF(T858&gt;=$H$3,"Eligible","Not Eligible")</f>
        <v>Not Eligible</v>
      </c>
      <c r="V858" s="19" t="n">
        <f aca="false">IF(T858&lt;$H$3,0,IFERROR(T858/SUMIF($T$5:$T$999,"&gt;="&amp;$H$3),0))</f>
        <v>0</v>
      </c>
      <c r="W858" s="15" t="str">
        <f aca="false">IF(T858=0,"Win-Back","Active")</f>
        <v>Win-Back</v>
      </c>
      <c r="X858" s="20" t="n">
        <f aca="false">IF(T858=0,0,IF(T858&gt;=$H$3,ROUND(T858*$D$3/SUMIF($T$5:$T$999,"&gt;="&amp;$H$3),0),ROUNDUP(T858*$D$3/SUMIF($T$5:$T$999,"&gt;="&amp;$H$3),0)))</f>
        <v>0</v>
      </c>
      <c r="Y858" s="21"/>
      <c r="Z858" s="16" t="str">
        <f aca="false">IF(X858=0,"",X858-Y858)</f>
        <v/>
      </c>
      <c r="AA858" s="22" t="str">
        <f aca="false">IFERROR(Y858/X858,"")</f>
        <v/>
      </c>
      <c r="AB858" s="16" t="n">
        <v>0</v>
      </c>
      <c r="AC858" s="21"/>
    </row>
    <row r="859" customFormat="false" ht="15" hidden="false" customHeight="true" outlineLevel="0" collapsed="false">
      <c r="A859" s="15" t="s">
        <v>8366</v>
      </c>
      <c r="B859" s="15" t="s">
        <v>8367</v>
      </c>
      <c r="C859" s="15" t="s">
        <v>8368</v>
      </c>
      <c r="D859" s="15" t="s">
        <v>336</v>
      </c>
      <c r="E859" s="15" t="s">
        <v>337</v>
      </c>
      <c r="F859" s="15" t="s">
        <v>8369</v>
      </c>
      <c r="G859" s="15" t="s">
        <v>339</v>
      </c>
      <c r="H859" s="15" t="s">
        <v>8370</v>
      </c>
      <c r="I859" s="15"/>
      <c r="J859" s="15" t="s">
        <v>8371</v>
      </c>
      <c r="K859" s="15" t="s">
        <v>2325</v>
      </c>
      <c r="L859" s="15" t="s">
        <v>8372</v>
      </c>
      <c r="M859" s="15" t="s">
        <v>345</v>
      </c>
      <c r="N859" s="15" t="s">
        <v>346</v>
      </c>
      <c r="O859" s="16" t="n">
        <v>0</v>
      </c>
      <c r="P859" s="16" t="n">
        <v>0</v>
      </c>
      <c r="Q859" s="16" t="n">
        <v>0</v>
      </c>
      <c r="R859" s="16" t="n">
        <v>0</v>
      </c>
      <c r="S859" s="16" t="n">
        <v>0</v>
      </c>
      <c r="T859" s="17" t="n">
        <f aca="false">AVERAGE(O859:Q859)</f>
        <v>0</v>
      </c>
      <c r="U859" s="18" t="str">
        <f aca="false">IF(T859&gt;=$H$3,"Eligible","Not Eligible")</f>
        <v>Not Eligible</v>
      </c>
      <c r="V859" s="19" t="n">
        <f aca="false">IF(T859&lt;$H$3,0,IFERROR(T859/SUMIF($T$5:$T$999,"&gt;="&amp;$H$3),0))</f>
        <v>0</v>
      </c>
      <c r="W859" s="15" t="str">
        <f aca="false">IF(T859=0,"Win-Back","Active")</f>
        <v>Win-Back</v>
      </c>
      <c r="X859" s="20" t="n">
        <f aca="false">IF(T859=0,0,IF(T859&gt;=$H$3,ROUND(T859*$D$3/SUMIF($T$5:$T$999,"&gt;="&amp;$H$3),0),ROUNDUP(T859*$D$3/SUMIF($T$5:$T$999,"&gt;="&amp;$H$3),0)))</f>
        <v>0</v>
      </c>
      <c r="Y859" s="21"/>
      <c r="Z859" s="16" t="str">
        <f aca="false">IF(X859=0,"",X859-Y859)</f>
        <v/>
      </c>
      <c r="AA859" s="22" t="str">
        <f aca="false">IFERROR(Y859/X859,"")</f>
        <v/>
      </c>
      <c r="AB859" s="16" t="n">
        <v>0</v>
      </c>
      <c r="AC859" s="21"/>
    </row>
    <row r="860" customFormat="false" ht="15" hidden="false" customHeight="true" outlineLevel="0" collapsed="false">
      <c r="A860" s="15" t="s">
        <v>8373</v>
      </c>
      <c r="B860" s="15" t="s">
        <v>8374</v>
      </c>
      <c r="C860" s="15" t="s">
        <v>8375</v>
      </c>
      <c r="D860" s="15" t="s">
        <v>336</v>
      </c>
      <c r="E860" s="15" t="s">
        <v>337</v>
      </c>
      <c r="F860" s="15" t="s">
        <v>8376</v>
      </c>
      <c r="G860" s="15" t="s">
        <v>339</v>
      </c>
      <c r="H860" s="15" t="s">
        <v>8377</v>
      </c>
      <c r="I860" s="15"/>
      <c r="J860" s="15" t="s">
        <v>8378</v>
      </c>
      <c r="K860" s="15" t="s">
        <v>2325</v>
      </c>
      <c r="L860" s="15" t="s">
        <v>8379</v>
      </c>
      <c r="M860" s="15" t="s">
        <v>345</v>
      </c>
      <c r="N860" s="15" t="s">
        <v>346</v>
      </c>
      <c r="O860" s="16" t="n">
        <v>0</v>
      </c>
      <c r="P860" s="16" t="n">
        <v>0</v>
      </c>
      <c r="Q860" s="16" t="n">
        <v>0</v>
      </c>
      <c r="R860" s="16" t="n">
        <v>0</v>
      </c>
      <c r="S860" s="16" t="n">
        <v>0</v>
      </c>
      <c r="T860" s="17" t="n">
        <f aca="false">AVERAGE(O860:Q860)</f>
        <v>0</v>
      </c>
      <c r="U860" s="18" t="str">
        <f aca="false">IF(T860&gt;=$H$3,"Eligible","Not Eligible")</f>
        <v>Not Eligible</v>
      </c>
      <c r="V860" s="19" t="n">
        <f aca="false">IF(T860&lt;$H$3,0,IFERROR(T860/SUMIF($T$5:$T$999,"&gt;="&amp;$H$3),0))</f>
        <v>0</v>
      </c>
      <c r="W860" s="15" t="str">
        <f aca="false">IF(T860=0,"Win-Back","Active")</f>
        <v>Win-Back</v>
      </c>
      <c r="X860" s="20" t="n">
        <f aca="false">IF(T860=0,0,IF(T860&gt;=$H$3,ROUND(T860*$D$3/SUMIF($T$5:$T$999,"&gt;="&amp;$H$3),0),ROUNDUP(T860*$D$3/SUMIF($T$5:$T$999,"&gt;="&amp;$H$3),0)))</f>
        <v>0</v>
      </c>
      <c r="Y860" s="21"/>
      <c r="Z860" s="16" t="str">
        <f aca="false">IF(X860=0,"",X860-Y860)</f>
        <v/>
      </c>
      <c r="AA860" s="22" t="str">
        <f aca="false">IFERROR(Y860/X860,"")</f>
        <v/>
      </c>
      <c r="AB860" s="16" t="n">
        <v>0</v>
      </c>
      <c r="AC860" s="21"/>
    </row>
    <row r="861" customFormat="false" ht="15" hidden="false" customHeight="true" outlineLevel="0" collapsed="false">
      <c r="A861" s="15" t="s">
        <v>8380</v>
      </c>
      <c r="B861" s="15" t="s">
        <v>8381</v>
      </c>
      <c r="C861" s="15" t="s">
        <v>8382</v>
      </c>
      <c r="D861" s="15" t="s">
        <v>336</v>
      </c>
      <c r="E861" s="15" t="s">
        <v>337</v>
      </c>
      <c r="F861" s="15" t="s">
        <v>8383</v>
      </c>
      <c r="G861" s="15" t="s">
        <v>339</v>
      </c>
      <c r="H861" s="15" t="s">
        <v>8384</v>
      </c>
      <c r="I861" s="15"/>
      <c r="J861" s="15" t="s">
        <v>8385</v>
      </c>
      <c r="K861" s="15" t="s">
        <v>47</v>
      </c>
      <c r="L861" s="15" t="s">
        <v>8386</v>
      </c>
      <c r="M861" s="15" t="s">
        <v>345</v>
      </c>
      <c r="N861" s="15" t="s">
        <v>346</v>
      </c>
      <c r="O861" s="16" t="n">
        <v>0</v>
      </c>
      <c r="P861" s="16" t="n">
        <v>0</v>
      </c>
      <c r="Q861" s="16" t="n">
        <v>0</v>
      </c>
      <c r="R861" s="16" t="n">
        <v>0</v>
      </c>
      <c r="S861" s="16" t="n">
        <v>0</v>
      </c>
      <c r="T861" s="17" t="n">
        <f aca="false">AVERAGE(O861:Q861)</f>
        <v>0</v>
      </c>
      <c r="U861" s="18" t="str">
        <f aca="false">IF(T861&gt;=$H$3,"Eligible","Not Eligible")</f>
        <v>Not Eligible</v>
      </c>
      <c r="V861" s="19" t="n">
        <f aca="false">IF(T861&lt;$H$3,0,IFERROR(T861/SUMIF($T$5:$T$999,"&gt;="&amp;$H$3),0))</f>
        <v>0</v>
      </c>
      <c r="W861" s="15" t="str">
        <f aca="false">IF(T861=0,"Win-Back","Active")</f>
        <v>Win-Back</v>
      </c>
      <c r="X861" s="20" t="n">
        <f aca="false">IF(T861=0,0,IF(T861&gt;=$H$3,ROUND(T861*$D$3/SUMIF($T$5:$T$999,"&gt;="&amp;$H$3),0),ROUNDUP(T861*$D$3/SUMIF($T$5:$T$999,"&gt;="&amp;$H$3),0)))</f>
        <v>0</v>
      </c>
      <c r="Y861" s="21"/>
      <c r="Z861" s="16" t="str">
        <f aca="false">IF(X861=0,"",X861-Y861)</f>
        <v/>
      </c>
      <c r="AA861" s="22" t="str">
        <f aca="false">IFERROR(Y861/X861,"")</f>
        <v/>
      </c>
      <c r="AB861" s="16" t="n">
        <v>0</v>
      </c>
      <c r="AC861" s="21"/>
    </row>
    <row r="862" customFormat="false" ht="15" hidden="false" customHeight="true" outlineLevel="0" collapsed="false">
      <c r="A862" s="15" t="s">
        <v>8387</v>
      </c>
      <c r="B862" s="15" t="s">
        <v>8388</v>
      </c>
      <c r="C862" s="15" t="s">
        <v>8389</v>
      </c>
      <c r="D862" s="15" t="s">
        <v>336</v>
      </c>
      <c r="E862" s="15" t="s">
        <v>337</v>
      </c>
      <c r="F862" s="15" t="s">
        <v>8390</v>
      </c>
      <c r="G862" s="15" t="s">
        <v>339</v>
      </c>
      <c r="H862" s="15" t="s">
        <v>8391</v>
      </c>
      <c r="I862" s="15"/>
      <c r="J862" s="15" t="s">
        <v>8392</v>
      </c>
      <c r="K862" s="15" t="s">
        <v>1139</v>
      </c>
      <c r="L862" s="15" t="s">
        <v>8393</v>
      </c>
      <c r="M862" s="15" t="s">
        <v>345</v>
      </c>
      <c r="N862" s="15" t="s">
        <v>346</v>
      </c>
      <c r="O862" s="16" t="n">
        <v>0</v>
      </c>
      <c r="P862" s="16" t="n">
        <v>0</v>
      </c>
      <c r="Q862" s="16" t="n">
        <v>0</v>
      </c>
      <c r="R862" s="16" t="n">
        <v>0</v>
      </c>
      <c r="S862" s="16" t="n">
        <v>0</v>
      </c>
      <c r="T862" s="17" t="n">
        <f aca="false">AVERAGE(O862:Q862)</f>
        <v>0</v>
      </c>
      <c r="U862" s="18" t="str">
        <f aca="false">IF(T862&gt;=$H$3,"Eligible","Not Eligible")</f>
        <v>Not Eligible</v>
      </c>
      <c r="V862" s="19" t="n">
        <f aca="false">IF(T862&lt;$H$3,0,IFERROR(T862/SUMIF($T$5:$T$999,"&gt;="&amp;$H$3),0))</f>
        <v>0</v>
      </c>
      <c r="W862" s="15" t="str">
        <f aca="false">IF(T862=0,"Win-Back","Active")</f>
        <v>Win-Back</v>
      </c>
      <c r="X862" s="20" t="n">
        <f aca="false">IF(T862=0,0,IF(T862&gt;=$H$3,ROUND(T862*$D$3/SUMIF($T$5:$T$999,"&gt;="&amp;$H$3),0),ROUNDUP(T862*$D$3/SUMIF($T$5:$T$999,"&gt;="&amp;$H$3),0)))</f>
        <v>0</v>
      </c>
      <c r="Y862" s="21"/>
      <c r="Z862" s="16" t="str">
        <f aca="false">IF(X862=0,"",X862-Y862)</f>
        <v/>
      </c>
      <c r="AA862" s="22" t="str">
        <f aca="false">IFERROR(Y862/X862,"")</f>
        <v/>
      </c>
      <c r="AB862" s="16" t="n">
        <v>0</v>
      </c>
      <c r="AC862" s="21"/>
    </row>
    <row r="863" customFormat="false" ht="15" hidden="false" customHeight="true" outlineLevel="0" collapsed="false">
      <c r="A863" s="15" t="s">
        <v>8394</v>
      </c>
      <c r="B863" s="15" t="s">
        <v>8395</v>
      </c>
      <c r="C863" s="15" t="s">
        <v>8396</v>
      </c>
      <c r="D863" s="15" t="s">
        <v>336</v>
      </c>
      <c r="E863" s="15" t="s">
        <v>337</v>
      </c>
      <c r="F863" s="15" t="s">
        <v>8397</v>
      </c>
      <c r="G863" s="15" t="s">
        <v>339</v>
      </c>
      <c r="H863" s="15" t="s">
        <v>8398</v>
      </c>
      <c r="I863" s="15"/>
      <c r="J863" s="15" t="s">
        <v>8399</v>
      </c>
      <c r="K863" s="15" t="s">
        <v>1255</v>
      </c>
      <c r="L863" s="15" t="s">
        <v>8400</v>
      </c>
      <c r="M863" s="15" t="s">
        <v>345</v>
      </c>
      <c r="N863" s="15" t="s">
        <v>346</v>
      </c>
      <c r="O863" s="16" t="n">
        <v>0</v>
      </c>
      <c r="P863" s="16" t="n">
        <v>0</v>
      </c>
      <c r="Q863" s="16" t="n">
        <v>0</v>
      </c>
      <c r="R863" s="16" t="n">
        <v>0</v>
      </c>
      <c r="S863" s="16" t="n">
        <v>0</v>
      </c>
      <c r="T863" s="17" t="n">
        <f aca="false">AVERAGE(O863:Q863)</f>
        <v>0</v>
      </c>
      <c r="U863" s="18" t="str">
        <f aca="false">IF(T863&gt;=$H$3,"Eligible","Not Eligible")</f>
        <v>Not Eligible</v>
      </c>
      <c r="V863" s="19" t="n">
        <f aca="false">IF(T863&lt;$H$3,0,IFERROR(T863/SUMIF($T$5:$T$999,"&gt;="&amp;$H$3),0))</f>
        <v>0</v>
      </c>
      <c r="W863" s="15" t="str">
        <f aca="false">IF(T863=0,"Win-Back","Active")</f>
        <v>Win-Back</v>
      </c>
      <c r="X863" s="20" t="n">
        <f aca="false">IF(T863=0,0,IF(T863&gt;=$H$3,ROUND(T863*$D$3/SUMIF($T$5:$T$999,"&gt;="&amp;$H$3),0),ROUNDUP(T863*$D$3/SUMIF($T$5:$T$999,"&gt;="&amp;$H$3),0)))</f>
        <v>0</v>
      </c>
      <c r="Y863" s="21"/>
      <c r="Z863" s="16" t="str">
        <f aca="false">IF(X863=0,"",X863-Y863)</f>
        <v/>
      </c>
      <c r="AA863" s="22" t="str">
        <f aca="false">IFERROR(Y863/X863,"")</f>
        <v/>
      </c>
      <c r="AB863" s="16" t="n">
        <v>0</v>
      </c>
      <c r="AC863" s="21"/>
    </row>
    <row r="864" customFormat="false" ht="15" hidden="false" customHeight="true" outlineLevel="0" collapsed="false">
      <c r="A864" s="15" t="s">
        <v>8401</v>
      </c>
      <c r="B864" s="15" t="s">
        <v>8402</v>
      </c>
      <c r="C864" s="15" t="s">
        <v>8403</v>
      </c>
      <c r="D864" s="15" t="s">
        <v>336</v>
      </c>
      <c r="E864" s="15" t="s">
        <v>337</v>
      </c>
      <c r="F864" s="15" t="s">
        <v>8404</v>
      </c>
      <c r="G864" s="15" t="s">
        <v>339</v>
      </c>
      <c r="H864" s="15" t="s">
        <v>8405</v>
      </c>
      <c r="I864" s="15"/>
      <c r="J864" s="15" t="s">
        <v>8406</v>
      </c>
      <c r="K864" s="15" t="s">
        <v>1255</v>
      </c>
      <c r="L864" s="15" t="s">
        <v>8407</v>
      </c>
      <c r="M864" s="15" t="s">
        <v>345</v>
      </c>
      <c r="N864" s="15" t="s">
        <v>346</v>
      </c>
      <c r="O864" s="16" t="n">
        <v>0</v>
      </c>
      <c r="P864" s="16" t="n">
        <v>0</v>
      </c>
      <c r="Q864" s="16" t="n">
        <v>0</v>
      </c>
      <c r="R864" s="16" t="n">
        <v>0</v>
      </c>
      <c r="S864" s="16" t="n">
        <v>0</v>
      </c>
      <c r="T864" s="17" t="n">
        <f aca="false">AVERAGE(O864:Q864)</f>
        <v>0</v>
      </c>
      <c r="U864" s="18" t="str">
        <f aca="false">IF(T864&gt;=$H$3,"Eligible","Not Eligible")</f>
        <v>Not Eligible</v>
      </c>
      <c r="V864" s="19" t="n">
        <f aca="false">IF(T864&lt;$H$3,0,IFERROR(T864/SUMIF($T$5:$T$999,"&gt;="&amp;$H$3),0))</f>
        <v>0</v>
      </c>
      <c r="W864" s="15" t="str">
        <f aca="false">IF(T864=0,"Win-Back","Active")</f>
        <v>Win-Back</v>
      </c>
      <c r="X864" s="20" t="n">
        <f aca="false">IF(T864=0,0,IF(T864&gt;=$H$3,ROUND(T864*$D$3/SUMIF($T$5:$T$999,"&gt;="&amp;$H$3),0),ROUNDUP(T864*$D$3/SUMIF($T$5:$T$999,"&gt;="&amp;$H$3),0)))</f>
        <v>0</v>
      </c>
      <c r="Y864" s="21"/>
      <c r="Z864" s="16" t="str">
        <f aca="false">IF(X864=0,"",X864-Y864)</f>
        <v/>
      </c>
      <c r="AA864" s="22" t="str">
        <f aca="false">IFERROR(Y864/X864,"")</f>
        <v/>
      </c>
      <c r="AB864" s="16" t="n">
        <v>0</v>
      </c>
      <c r="AC864" s="21"/>
    </row>
    <row r="865" customFormat="false" ht="15" hidden="false" customHeight="true" outlineLevel="0" collapsed="false">
      <c r="A865" s="15" t="s">
        <v>8408</v>
      </c>
      <c r="B865" s="15" t="s">
        <v>8409</v>
      </c>
      <c r="C865" s="15" t="s">
        <v>8410</v>
      </c>
      <c r="D865" s="15" t="s">
        <v>336</v>
      </c>
      <c r="E865" s="15" t="s">
        <v>337</v>
      </c>
      <c r="F865" s="15" t="s">
        <v>8411</v>
      </c>
      <c r="G865" s="15" t="s">
        <v>339</v>
      </c>
      <c r="H865" s="15" t="s">
        <v>8412</v>
      </c>
      <c r="I865" s="15" t="s">
        <v>148</v>
      </c>
      <c r="J865" s="15" t="s">
        <v>8406</v>
      </c>
      <c r="K865" s="15" t="s">
        <v>1255</v>
      </c>
      <c r="L865" s="15" t="s">
        <v>8407</v>
      </c>
      <c r="M865" s="15" t="s">
        <v>345</v>
      </c>
      <c r="N865" s="15" t="s">
        <v>346</v>
      </c>
      <c r="O865" s="16" t="n">
        <v>0</v>
      </c>
      <c r="P865" s="16" t="n">
        <v>0</v>
      </c>
      <c r="Q865" s="16" t="n">
        <v>0</v>
      </c>
      <c r="R865" s="16" t="n">
        <v>0</v>
      </c>
      <c r="S865" s="16" t="n">
        <v>0</v>
      </c>
      <c r="T865" s="17" t="n">
        <f aca="false">AVERAGE(O865:Q865)</f>
        <v>0</v>
      </c>
      <c r="U865" s="18" t="str">
        <f aca="false">IF(T865&gt;=$H$3,"Eligible","Not Eligible")</f>
        <v>Not Eligible</v>
      </c>
      <c r="V865" s="19" t="n">
        <f aca="false">IF(T865&lt;$H$3,0,IFERROR(T865/SUMIF($T$5:$T$999,"&gt;="&amp;$H$3),0))</f>
        <v>0</v>
      </c>
      <c r="W865" s="15" t="str">
        <f aca="false">IF(T865=0,"Win-Back","Active")</f>
        <v>Win-Back</v>
      </c>
      <c r="X865" s="20" t="n">
        <f aca="false">IF(T865=0,0,IF(T865&gt;=$H$3,ROUND(T865*$D$3/SUMIF($T$5:$T$999,"&gt;="&amp;$H$3),0),ROUNDUP(T865*$D$3/SUMIF($T$5:$T$999,"&gt;="&amp;$H$3),0)))</f>
        <v>0</v>
      </c>
      <c r="Y865" s="21"/>
      <c r="Z865" s="16" t="str">
        <f aca="false">IF(X865=0,"",X865-Y865)</f>
        <v/>
      </c>
      <c r="AA865" s="22" t="str">
        <f aca="false">IFERROR(Y865/X865,"")</f>
        <v/>
      </c>
      <c r="AB865" s="16" t="n">
        <v>0</v>
      </c>
      <c r="AC865" s="21"/>
    </row>
    <row r="866" customFormat="false" ht="15" hidden="false" customHeight="true" outlineLevel="0" collapsed="false">
      <c r="A866" s="15" t="s">
        <v>8413</v>
      </c>
      <c r="B866" s="15" t="s">
        <v>8414</v>
      </c>
      <c r="C866" s="15" t="s">
        <v>8415</v>
      </c>
      <c r="D866" s="15" t="s">
        <v>336</v>
      </c>
      <c r="E866" s="15" t="s">
        <v>337</v>
      </c>
      <c r="F866" s="15" t="s">
        <v>8416</v>
      </c>
      <c r="G866" s="15" t="s">
        <v>339</v>
      </c>
      <c r="H866" s="15" t="s">
        <v>8417</v>
      </c>
      <c r="I866" s="15"/>
      <c r="J866" s="15" t="s">
        <v>8418</v>
      </c>
      <c r="K866" s="15" t="s">
        <v>2557</v>
      </c>
      <c r="L866" s="15" t="s">
        <v>8419</v>
      </c>
      <c r="M866" s="15" t="s">
        <v>345</v>
      </c>
      <c r="N866" s="15" t="s">
        <v>346</v>
      </c>
      <c r="O866" s="16" t="n">
        <v>0</v>
      </c>
      <c r="P866" s="16" t="n">
        <v>0</v>
      </c>
      <c r="Q866" s="16" t="n">
        <v>0</v>
      </c>
      <c r="R866" s="16" t="n">
        <v>0</v>
      </c>
      <c r="S866" s="16" t="n">
        <v>0</v>
      </c>
      <c r="T866" s="17" t="n">
        <f aca="false">AVERAGE(O866:Q866)</f>
        <v>0</v>
      </c>
      <c r="U866" s="18" t="str">
        <f aca="false">IF(T866&gt;=$H$3,"Eligible","Not Eligible")</f>
        <v>Not Eligible</v>
      </c>
      <c r="V866" s="19" t="n">
        <f aca="false">IF(T866&lt;$H$3,0,IFERROR(T866/SUMIF($T$5:$T$999,"&gt;="&amp;$H$3),0))</f>
        <v>0</v>
      </c>
      <c r="W866" s="15" t="str">
        <f aca="false">IF(T866=0,"Win-Back","Active")</f>
        <v>Win-Back</v>
      </c>
      <c r="X866" s="20" t="n">
        <f aca="false">IF(T866=0,0,IF(T866&gt;=$H$3,ROUND(T866*$D$3/SUMIF($T$5:$T$999,"&gt;="&amp;$H$3),0),ROUNDUP(T866*$D$3/SUMIF($T$5:$T$999,"&gt;="&amp;$H$3),0)))</f>
        <v>0</v>
      </c>
      <c r="Y866" s="21"/>
      <c r="Z866" s="16" t="str">
        <f aca="false">IF(X866=0,"",X866-Y866)</f>
        <v/>
      </c>
      <c r="AA866" s="22" t="str">
        <f aca="false">IFERROR(Y866/X866,"")</f>
        <v/>
      </c>
      <c r="AB866" s="16" t="n">
        <v>0</v>
      </c>
      <c r="AC866" s="21"/>
    </row>
    <row r="867" customFormat="false" ht="15" hidden="false" customHeight="true" outlineLevel="0" collapsed="false">
      <c r="A867" s="15" t="s">
        <v>8420</v>
      </c>
      <c r="B867" s="15" t="s">
        <v>8421</v>
      </c>
      <c r="C867" s="15" t="s">
        <v>8422</v>
      </c>
      <c r="D867" s="15" t="s">
        <v>336</v>
      </c>
      <c r="E867" s="15" t="s">
        <v>337</v>
      </c>
      <c r="F867" s="15" t="s">
        <v>8423</v>
      </c>
      <c r="G867" s="15" t="s">
        <v>339</v>
      </c>
      <c r="H867" s="15" t="s">
        <v>8424</v>
      </c>
      <c r="I867" s="15"/>
      <c r="J867" s="15" t="s">
        <v>8425</v>
      </c>
      <c r="K867" s="15" t="s">
        <v>1890</v>
      </c>
      <c r="L867" s="15" t="s">
        <v>8426</v>
      </c>
      <c r="M867" s="15" t="s">
        <v>345</v>
      </c>
      <c r="N867" s="15" t="s">
        <v>346</v>
      </c>
      <c r="O867" s="16" t="n">
        <v>0</v>
      </c>
      <c r="P867" s="16" t="n">
        <v>0</v>
      </c>
      <c r="Q867" s="16" t="n">
        <v>0</v>
      </c>
      <c r="R867" s="16" t="n">
        <v>0</v>
      </c>
      <c r="S867" s="16" t="n">
        <v>0</v>
      </c>
      <c r="T867" s="17" t="n">
        <f aca="false">AVERAGE(O867:Q867)</f>
        <v>0</v>
      </c>
      <c r="U867" s="18" t="str">
        <f aca="false">IF(T867&gt;=$H$3,"Eligible","Not Eligible")</f>
        <v>Not Eligible</v>
      </c>
      <c r="V867" s="19" t="n">
        <f aca="false">IF(T867&lt;$H$3,0,IFERROR(T867/SUMIF($T$5:$T$999,"&gt;="&amp;$H$3),0))</f>
        <v>0</v>
      </c>
      <c r="W867" s="15" t="str">
        <f aca="false">IF(T867=0,"Win-Back","Active")</f>
        <v>Win-Back</v>
      </c>
      <c r="X867" s="20" t="n">
        <f aca="false">IF(T867=0,0,IF(T867&gt;=$H$3,ROUND(T867*$D$3/SUMIF($T$5:$T$999,"&gt;="&amp;$H$3),0),ROUNDUP(T867*$D$3/SUMIF($T$5:$T$999,"&gt;="&amp;$H$3),0)))</f>
        <v>0</v>
      </c>
      <c r="Y867" s="21"/>
      <c r="Z867" s="16" t="str">
        <f aca="false">IF(X867=0,"",X867-Y867)</f>
        <v/>
      </c>
      <c r="AA867" s="22" t="str">
        <f aca="false">IFERROR(Y867/X867,"")</f>
        <v/>
      </c>
      <c r="AB867" s="16" t="n">
        <v>0</v>
      </c>
      <c r="AC867" s="21"/>
    </row>
    <row r="868" customFormat="false" ht="15" hidden="false" customHeight="true" outlineLevel="0" collapsed="false">
      <c r="A868" s="15" t="s">
        <v>8427</v>
      </c>
      <c r="B868" s="15" t="s">
        <v>8428</v>
      </c>
      <c r="C868" s="15" t="s">
        <v>8429</v>
      </c>
      <c r="D868" s="15" t="s">
        <v>336</v>
      </c>
      <c r="E868" s="15" t="s">
        <v>337</v>
      </c>
      <c r="F868" s="15" t="s">
        <v>8430</v>
      </c>
      <c r="G868" s="15" t="s">
        <v>339</v>
      </c>
      <c r="H868" s="15" t="s">
        <v>8431</v>
      </c>
      <c r="I868" s="15"/>
      <c r="J868" s="15" t="s">
        <v>8425</v>
      </c>
      <c r="K868" s="15" t="s">
        <v>1890</v>
      </c>
      <c r="L868" s="15" t="s">
        <v>8426</v>
      </c>
      <c r="M868" s="15" t="s">
        <v>345</v>
      </c>
      <c r="N868" s="15" t="s">
        <v>346</v>
      </c>
      <c r="O868" s="16" t="n">
        <v>0</v>
      </c>
      <c r="P868" s="16" t="n">
        <v>0</v>
      </c>
      <c r="Q868" s="16" t="n">
        <v>0</v>
      </c>
      <c r="R868" s="16" t="n">
        <v>0</v>
      </c>
      <c r="S868" s="16" t="n">
        <v>0</v>
      </c>
      <c r="T868" s="17" t="n">
        <f aca="false">AVERAGE(O868:Q868)</f>
        <v>0</v>
      </c>
      <c r="U868" s="18" t="str">
        <f aca="false">IF(T868&gt;=$H$3,"Eligible","Not Eligible")</f>
        <v>Not Eligible</v>
      </c>
      <c r="V868" s="19" t="n">
        <f aca="false">IF(T868&lt;$H$3,0,IFERROR(T868/SUMIF($T$5:$T$999,"&gt;="&amp;$H$3),0))</f>
        <v>0</v>
      </c>
      <c r="W868" s="15" t="str">
        <f aca="false">IF(T868=0,"Win-Back","Active")</f>
        <v>Win-Back</v>
      </c>
      <c r="X868" s="20" t="n">
        <f aca="false">IF(T868=0,0,IF(T868&gt;=$H$3,ROUND(T868*$D$3/SUMIF($T$5:$T$999,"&gt;="&amp;$H$3),0),ROUNDUP(T868*$D$3/SUMIF($T$5:$T$999,"&gt;="&amp;$H$3),0)))</f>
        <v>0</v>
      </c>
      <c r="Y868" s="21"/>
      <c r="Z868" s="16" t="str">
        <f aca="false">IF(X868=0,"",X868-Y868)</f>
        <v/>
      </c>
      <c r="AA868" s="22" t="str">
        <f aca="false">IFERROR(Y868/X868,"")</f>
        <v/>
      </c>
      <c r="AB868" s="16" t="n">
        <v>0</v>
      </c>
      <c r="AC868" s="21"/>
    </row>
    <row r="869" customFormat="false" ht="15" hidden="false" customHeight="true" outlineLevel="0" collapsed="false">
      <c r="A869" s="15" t="s">
        <v>8432</v>
      </c>
      <c r="B869" s="15" t="s">
        <v>8433</v>
      </c>
      <c r="C869" s="15" t="s">
        <v>8434</v>
      </c>
      <c r="D869" s="15" t="s">
        <v>336</v>
      </c>
      <c r="E869" s="15" t="s">
        <v>337</v>
      </c>
      <c r="F869" s="15" t="s">
        <v>8435</v>
      </c>
      <c r="G869" s="15" t="s">
        <v>339</v>
      </c>
      <c r="H869" s="15" t="s">
        <v>8436</v>
      </c>
      <c r="I869" s="15"/>
      <c r="J869" s="15" t="s">
        <v>8437</v>
      </c>
      <c r="K869" s="15" t="s">
        <v>615</v>
      </c>
      <c r="L869" s="15" t="s">
        <v>8438</v>
      </c>
      <c r="M869" s="15" t="s">
        <v>345</v>
      </c>
      <c r="N869" s="15" t="s">
        <v>346</v>
      </c>
      <c r="O869" s="16" t="n">
        <v>0</v>
      </c>
      <c r="P869" s="16" t="n">
        <v>0</v>
      </c>
      <c r="Q869" s="16" t="n">
        <v>0</v>
      </c>
      <c r="R869" s="16" t="n">
        <v>0</v>
      </c>
      <c r="S869" s="16" t="n">
        <v>0</v>
      </c>
      <c r="T869" s="17" t="n">
        <f aca="false">AVERAGE(O869:Q869)</f>
        <v>0</v>
      </c>
      <c r="U869" s="18" t="str">
        <f aca="false">IF(T869&gt;=$H$3,"Eligible","Not Eligible")</f>
        <v>Not Eligible</v>
      </c>
      <c r="V869" s="19" t="n">
        <f aca="false">IF(T869&lt;$H$3,0,IFERROR(T869/SUMIF($T$5:$T$999,"&gt;="&amp;$H$3),0))</f>
        <v>0</v>
      </c>
      <c r="W869" s="15" t="str">
        <f aca="false">IF(T869=0,"Win-Back","Active")</f>
        <v>Win-Back</v>
      </c>
      <c r="X869" s="20" t="n">
        <f aca="false">IF(T869=0,0,IF(T869&gt;=$H$3,ROUND(T869*$D$3/SUMIF($T$5:$T$999,"&gt;="&amp;$H$3),0),ROUNDUP(T869*$D$3/SUMIF($T$5:$T$999,"&gt;="&amp;$H$3),0)))</f>
        <v>0</v>
      </c>
      <c r="Y869" s="21"/>
      <c r="Z869" s="16" t="str">
        <f aca="false">IF(X869=0,"",X869-Y869)</f>
        <v/>
      </c>
      <c r="AA869" s="22" t="str">
        <f aca="false">IFERROR(Y869/X869,"")</f>
        <v/>
      </c>
      <c r="AB869" s="16" t="n">
        <v>0</v>
      </c>
      <c r="AC869" s="21"/>
    </row>
    <row r="870" customFormat="false" ht="15" hidden="false" customHeight="true" outlineLevel="0" collapsed="false">
      <c r="A870" s="15" t="s">
        <v>8439</v>
      </c>
      <c r="B870" s="15" t="s">
        <v>8440</v>
      </c>
      <c r="C870" s="15" t="s">
        <v>8441</v>
      </c>
      <c r="D870" s="15" t="s">
        <v>336</v>
      </c>
      <c r="E870" s="15" t="s">
        <v>337</v>
      </c>
      <c r="F870" s="15" t="s">
        <v>8442</v>
      </c>
      <c r="G870" s="15" t="s">
        <v>339</v>
      </c>
      <c r="H870" s="15" t="s">
        <v>8443</v>
      </c>
      <c r="I870" s="15"/>
      <c r="J870" s="15" t="s">
        <v>8444</v>
      </c>
      <c r="K870" s="15" t="s">
        <v>615</v>
      </c>
      <c r="L870" s="15" t="s">
        <v>8445</v>
      </c>
      <c r="M870" s="15" t="s">
        <v>345</v>
      </c>
      <c r="N870" s="15" t="s">
        <v>346</v>
      </c>
      <c r="O870" s="16" t="n">
        <v>0</v>
      </c>
      <c r="P870" s="16" t="n">
        <v>0</v>
      </c>
      <c r="Q870" s="16" t="n">
        <v>0</v>
      </c>
      <c r="R870" s="16" t="n">
        <v>0</v>
      </c>
      <c r="S870" s="16" t="n">
        <v>0</v>
      </c>
      <c r="T870" s="17" t="n">
        <f aca="false">AVERAGE(O870:Q870)</f>
        <v>0</v>
      </c>
      <c r="U870" s="18" t="str">
        <f aca="false">IF(T870&gt;=$H$3,"Eligible","Not Eligible")</f>
        <v>Not Eligible</v>
      </c>
      <c r="V870" s="19" t="n">
        <f aca="false">IF(T870&lt;$H$3,0,IFERROR(T870/SUMIF($T$5:$T$999,"&gt;="&amp;$H$3),0))</f>
        <v>0</v>
      </c>
      <c r="W870" s="15" t="str">
        <f aca="false">IF(T870=0,"Win-Back","Active")</f>
        <v>Win-Back</v>
      </c>
      <c r="X870" s="20" t="n">
        <f aca="false">IF(T870=0,0,IF(T870&gt;=$H$3,ROUND(T870*$D$3/SUMIF($T$5:$T$999,"&gt;="&amp;$H$3),0),ROUNDUP(T870*$D$3/SUMIF($T$5:$T$999,"&gt;="&amp;$H$3),0)))</f>
        <v>0</v>
      </c>
      <c r="Y870" s="21"/>
      <c r="Z870" s="16" t="str">
        <f aca="false">IF(X870=0,"",X870-Y870)</f>
        <v/>
      </c>
      <c r="AA870" s="22" t="str">
        <f aca="false">IFERROR(Y870/X870,"")</f>
        <v/>
      </c>
      <c r="AB870" s="16" t="n">
        <v>0</v>
      </c>
      <c r="AC870" s="21"/>
    </row>
    <row r="871" customFormat="false" ht="15" hidden="false" customHeight="true" outlineLevel="0" collapsed="false">
      <c r="A871" s="15" t="s">
        <v>8446</v>
      </c>
      <c r="B871" s="15" t="s">
        <v>8447</v>
      </c>
      <c r="C871" s="15" t="s">
        <v>8448</v>
      </c>
      <c r="D871" s="15" t="s">
        <v>336</v>
      </c>
      <c r="E871" s="15" t="s">
        <v>337</v>
      </c>
      <c r="F871" s="15" t="s">
        <v>8449</v>
      </c>
      <c r="G871" s="15" t="s">
        <v>339</v>
      </c>
      <c r="H871" s="15" t="s">
        <v>8450</v>
      </c>
      <c r="I871" s="15"/>
      <c r="J871" s="15" t="s">
        <v>8451</v>
      </c>
      <c r="K871" s="15" t="s">
        <v>2839</v>
      </c>
      <c r="L871" s="15" t="s">
        <v>8452</v>
      </c>
      <c r="M871" s="15" t="s">
        <v>345</v>
      </c>
      <c r="N871" s="15" t="s">
        <v>346</v>
      </c>
      <c r="O871" s="16" t="n">
        <v>0</v>
      </c>
      <c r="P871" s="16" t="n">
        <v>0</v>
      </c>
      <c r="Q871" s="16" t="n">
        <v>0</v>
      </c>
      <c r="R871" s="16" t="n">
        <v>0</v>
      </c>
      <c r="S871" s="16" t="n">
        <v>0</v>
      </c>
      <c r="T871" s="17" t="n">
        <f aca="false">AVERAGE(O871:Q871)</f>
        <v>0</v>
      </c>
      <c r="U871" s="18" t="str">
        <f aca="false">IF(T871&gt;=$H$3,"Eligible","Not Eligible")</f>
        <v>Not Eligible</v>
      </c>
      <c r="V871" s="19" t="n">
        <f aca="false">IF(T871&lt;$H$3,0,IFERROR(T871/SUMIF($T$5:$T$999,"&gt;="&amp;$H$3),0))</f>
        <v>0</v>
      </c>
      <c r="W871" s="15" t="str">
        <f aca="false">IF(T871=0,"Win-Back","Active")</f>
        <v>Win-Back</v>
      </c>
      <c r="X871" s="20" t="n">
        <f aca="false">IF(T871=0,0,IF(T871&gt;=$H$3,ROUND(T871*$D$3/SUMIF($T$5:$T$999,"&gt;="&amp;$H$3),0),ROUNDUP(T871*$D$3/SUMIF($T$5:$T$999,"&gt;="&amp;$H$3),0)))</f>
        <v>0</v>
      </c>
      <c r="Y871" s="21"/>
      <c r="Z871" s="16" t="str">
        <f aca="false">IF(X871=0,"",X871-Y871)</f>
        <v/>
      </c>
      <c r="AA871" s="22" t="str">
        <f aca="false">IFERROR(Y871/X871,"")</f>
        <v/>
      </c>
      <c r="AB871" s="16" t="n">
        <v>0</v>
      </c>
      <c r="AC871" s="21"/>
    </row>
    <row r="872" customFormat="false" ht="15" hidden="false" customHeight="true" outlineLevel="0" collapsed="false">
      <c r="A872" s="15" t="s">
        <v>8453</v>
      </c>
      <c r="B872" s="15" t="s">
        <v>8454</v>
      </c>
      <c r="C872" s="15" t="s">
        <v>8455</v>
      </c>
      <c r="D872" s="15" t="s">
        <v>336</v>
      </c>
      <c r="E872" s="15" t="s">
        <v>337</v>
      </c>
      <c r="F872" s="15" t="s">
        <v>8456</v>
      </c>
      <c r="G872" s="15" t="s">
        <v>339</v>
      </c>
      <c r="H872" s="15" t="s">
        <v>8457</v>
      </c>
      <c r="I872" s="15"/>
      <c r="J872" s="15" t="s">
        <v>6484</v>
      </c>
      <c r="K872" s="15" t="s">
        <v>2839</v>
      </c>
      <c r="L872" s="15" t="s">
        <v>8458</v>
      </c>
      <c r="M872" s="15" t="s">
        <v>345</v>
      </c>
      <c r="N872" s="15" t="s">
        <v>346</v>
      </c>
      <c r="O872" s="16" t="n">
        <v>0</v>
      </c>
      <c r="P872" s="16" t="n">
        <v>0</v>
      </c>
      <c r="Q872" s="16" t="n">
        <v>0</v>
      </c>
      <c r="R872" s="16" t="n">
        <v>0</v>
      </c>
      <c r="S872" s="16" t="n">
        <v>0</v>
      </c>
      <c r="T872" s="17" t="n">
        <f aca="false">AVERAGE(O872:Q872)</f>
        <v>0</v>
      </c>
      <c r="U872" s="18" t="str">
        <f aca="false">IF(T872&gt;=$H$3,"Eligible","Not Eligible")</f>
        <v>Not Eligible</v>
      </c>
      <c r="V872" s="19" t="n">
        <f aca="false">IF(T872&lt;$H$3,0,IFERROR(T872/SUMIF($T$5:$T$999,"&gt;="&amp;$H$3),0))</f>
        <v>0</v>
      </c>
      <c r="W872" s="15" t="str">
        <f aca="false">IF(T872=0,"Win-Back","Active")</f>
        <v>Win-Back</v>
      </c>
      <c r="X872" s="20" t="n">
        <f aca="false">IF(T872=0,0,IF(T872&gt;=$H$3,ROUND(T872*$D$3/SUMIF($T$5:$T$999,"&gt;="&amp;$H$3),0),ROUNDUP(T872*$D$3/SUMIF($T$5:$T$999,"&gt;="&amp;$H$3),0)))</f>
        <v>0</v>
      </c>
      <c r="Y872" s="21"/>
      <c r="Z872" s="16" t="str">
        <f aca="false">IF(X872=0,"",X872-Y872)</f>
        <v/>
      </c>
      <c r="AA872" s="22" t="str">
        <f aca="false">IFERROR(Y872/X872,"")</f>
        <v/>
      </c>
      <c r="AB872" s="16" t="n">
        <v>0</v>
      </c>
      <c r="AC872" s="21"/>
    </row>
    <row r="873" customFormat="false" ht="15" hidden="false" customHeight="true" outlineLevel="0" collapsed="false">
      <c r="A873" s="15" t="s">
        <v>8459</v>
      </c>
      <c r="B873" s="15" t="s">
        <v>8460</v>
      </c>
      <c r="C873" s="15" t="s">
        <v>8461</v>
      </c>
      <c r="D873" s="15" t="s">
        <v>336</v>
      </c>
      <c r="E873" s="15" t="s">
        <v>337</v>
      </c>
      <c r="F873" s="15" t="s">
        <v>8462</v>
      </c>
      <c r="G873" s="15" t="s">
        <v>339</v>
      </c>
      <c r="H873" s="15" t="s">
        <v>8463</v>
      </c>
      <c r="I873" s="15"/>
      <c r="J873" s="15" t="s">
        <v>8464</v>
      </c>
      <c r="K873" s="15" t="s">
        <v>615</v>
      </c>
      <c r="L873" s="15" t="s">
        <v>8465</v>
      </c>
      <c r="M873" s="15" t="s">
        <v>345</v>
      </c>
      <c r="N873" s="15" t="s">
        <v>346</v>
      </c>
      <c r="O873" s="16" t="n">
        <v>0</v>
      </c>
      <c r="P873" s="16" t="n">
        <v>0</v>
      </c>
      <c r="Q873" s="16" t="n">
        <v>0</v>
      </c>
      <c r="R873" s="16" t="n">
        <v>0</v>
      </c>
      <c r="S873" s="16" t="n">
        <v>0</v>
      </c>
      <c r="T873" s="17" t="n">
        <f aca="false">AVERAGE(O873:Q873)</f>
        <v>0</v>
      </c>
      <c r="U873" s="18" t="str">
        <f aca="false">IF(T873&gt;=$H$3,"Eligible","Not Eligible")</f>
        <v>Not Eligible</v>
      </c>
      <c r="V873" s="19" t="n">
        <f aca="false">IF(T873&lt;$H$3,0,IFERROR(T873/SUMIF($T$5:$T$999,"&gt;="&amp;$H$3),0))</f>
        <v>0</v>
      </c>
      <c r="W873" s="15" t="str">
        <f aca="false">IF(T873=0,"Win-Back","Active")</f>
        <v>Win-Back</v>
      </c>
      <c r="X873" s="20" t="n">
        <f aca="false">IF(T873=0,0,IF(T873&gt;=$H$3,ROUND(T873*$D$3/SUMIF($T$5:$T$999,"&gt;="&amp;$H$3),0),ROUNDUP(T873*$D$3/SUMIF($T$5:$T$999,"&gt;="&amp;$H$3),0)))</f>
        <v>0</v>
      </c>
      <c r="Y873" s="21"/>
      <c r="Z873" s="16" t="str">
        <f aca="false">IF(X873=0,"",X873-Y873)</f>
        <v/>
      </c>
      <c r="AA873" s="22" t="str">
        <f aca="false">IFERROR(Y873/X873,"")</f>
        <v/>
      </c>
      <c r="AB873" s="16" t="n">
        <v>0</v>
      </c>
      <c r="AC873" s="21"/>
    </row>
    <row r="874" customFormat="false" ht="15" hidden="false" customHeight="true" outlineLevel="0" collapsed="false">
      <c r="A874" s="15" t="s">
        <v>8466</v>
      </c>
      <c r="B874" s="15" t="s">
        <v>8467</v>
      </c>
      <c r="C874" s="15" t="s">
        <v>8468</v>
      </c>
      <c r="D874" s="15" t="s">
        <v>336</v>
      </c>
      <c r="E874" s="15" t="s">
        <v>337</v>
      </c>
      <c r="F874" s="15" t="s">
        <v>8469</v>
      </c>
      <c r="G874" s="15" t="s">
        <v>339</v>
      </c>
      <c r="H874" s="15" t="s">
        <v>8470</v>
      </c>
      <c r="I874" s="15"/>
      <c r="J874" s="15" t="s">
        <v>8471</v>
      </c>
      <c r="K874" s="15" t="s">
        <v>2839</v>
      </c>
      <c r="L874" s="15" t="s">
        <v>8472</v>
      </c>
      <c r="M874" s="15" t="s">
        <v>345</v>
      </c>
      <c r="N874" s="15" t="s">
        <v>346</v>
      </c>
      <c r="O874" s="16" t="n">
        <v>0</v>
      </c>
      <c r="P874" s="16" t="n">
        <v>0</v>
      </c>
      <c r="Q874" s="16" t="n">
        <v>0</v>
      </c>
      <c r="R874" s="16" t="n">
        <v>0</v>
      </c>
      <c r="S874" s="16" t="n">
        <v>0</v>
      </c>
      <c r="T874" s="17" t="n">
        <f aca="false">AVERAGE(O874:Q874)</f>
        <v>0</v>
      </c>
      <c r="U874" s="18" t="str">
        <f aca="false">IF(T874&gt;=$H$3,"Eligible","Not Eligible")</f>
        <v>Not Eligible</v>
      </c>
      <c r="V874" s="19" t="n">
        <f aca="false">IF(T874&lt;$H$3,0,IFERROR(T874/SUMIF($T$5:$T$999,"&gt;="&amp;$H$3),0))</f>
        <v>0</v>
      </c>
      <c r="W874" s="15" t="str">
        <f aca="false">IF(T874=0,"Win-Back","Active")</f>
        <v>Win-Back</v>
      </c>
      <c r="X874" s="20" t="n">
        <f aca="false">IF(T874=0,0,IF(T874&gt;=$H$3,ROUND(T874*$D$3/SUMIF($T$5:$T$999,"&gt;="&amp;$H$3),0),ROUNDUP(T874*$D$3/SUMIF($T$5:$T$999,"&gt;="&amp;$H$3),0)))</f>
        <v>0</v>
      </c>
      <c r="Y874" s="21"/>
      <c r="Z874" s="16" t="str">
        <f aca="false">IF(X874=0,"",X874-Y874)</f>
        <v/>
      </c>
      <c r="AA874" s="22" t="str">
        <f aca="false">IFERROR(Y874/X874,"")</f>
        <v/>
      </c>
      <c r="AB874" s="16" t="n">
        <v>0</v>
      </c>
      <c r="AC874" s="21"/>
    </row>
    <row r="875" customFormat="false" ht="15" hidden="false" customHeight="true" outlineLevel="0" collapsed="false">
      <c r="A875" s="15" t="s">
        <v>8473</v>
      </c>
      <c r="B875" s="15" t="s">
        <v>8474</v>
      </c>
      <c r="C875" s="15" t="s">
        <v>8475</v>
      </c>
      <c r="D875" s="15" t="s">
        <v>336</v>
      </c>
      <c r="E875" s="15" t="s">
        <v>337</v>
      </c>
      <c r="F875" s="15" t="s">
        <v>8476</v>
      </c>
      <c r="G875" s="15" t="s">
        <v>339</v>
      </c>
      <c r="H875" s="15" t="s">
        <v>8477</v>
      </c>
      <c r="I875" s="15"/>
      <c r="J875" s="15" t="s">
        <v>8478</v>
      </c>
      <c r="K875" s="15" t="s">
        <v>1418</v>
      </c>
      <c r="L875" s="15" t="s">
        <v>8479</v>
      </c>
      <c r="M875" s="15" t="s">
        <v>345</v>
      </c>
      <c r="N875" s="15" t="s">
        <v>346</v>
      </c>
      <c r="O875" s="16" t="n">
        <v>0</v>
      </c>
      <c r="P875" s="16" t="n">
        <v>0</v>
      </c>
      <c r="Q875" s="16" t="n">
        <v>0</v>
      </c>
      <c r="R875" s="16" t="n">
        <v>0</v>
      </c>
      <c r="S875" s="16" t="n">
        <v>0</v>
      </c>
      <c r="T875" s="17" t="n">
        <f aca="false">AVERAGE(O875:Q875)</f>
        <v>0</v>
      </c>
      <c r="U875" s="18" t="str">
        <f aca="false">IF(T875&gt;=$H$3,"Eligible","Not Eligible")</f>
        <v>Not Eligible</v>
      </c>
      <c r="V875" s="19" t="n">
        <f aca="false">IF(T875&lt;$H$3,0,IFERROR(T875/SUMIF($T$5:$T$999,"&gt;="&amp;$H$3),0))</f>
        <v>0</v>
      </c>
      <c r="W875" s="15" t="str">
        <f aca="false">IF(T875=0,"Win-Back","Active")</f>
        <v>Win-Back</v>
      </c>
      <c r="X875" s="20" t="n">
        <f aca="false">IF(T875=0,0,IF(T875&gt;=$H$3,ROUND(T875*$D$3/SUMIF($T$5:$T$999,"&gt;="&amp;$H$3),0),ROUNDUP(T875*$D$3/SUMIF($T$5:$T$999,"&gt;="&amp;$H$3),0)))</f>
        <v>0</v>
      </c>
      <c r="Y875" s="21"/>
      <c r="Z875" s="16" t="str">
        <f aca="false">IF(X875=0,"",X875-Y875)</f>
        <v/>
      </c>
      <c r="AA875" s="22" t="str">
        <f aca="false">IFERROR(Y875/X875,"")</f>
        <v/>
      </c>
      <c r="AB875" s="16" t="n">
        <v>0</v>
      </c>
      <c r="AC875" s="21"/>
    </row>
    <row r="876" customFormat="false" ht="15" hidden="false" customHeight="true" outlineLevel="0" collapsed="false">
      <c r="A876" s="15" t="s">
        <v>8480</v>
      </c>
      <c r="B876" s="15" t="s">
        <v>8481</v>
      </c>
      <c r="C876" s="15" t="s">
        <v>8482</v>
      </c>
      <c r="D876" s="15" t="s">
        <v>8483</v>
      </c>
      <c r="E876" s="15" t="s">
        <v>337</v>
      </c>
      <c r="F876" s="15" t="s">
        <v>8484</v>
      </c>
      <c r="G876" s="15" t="s">
        <v>339</v>
      </c>
      <c r="H876" s="15" t="s">
        <v>8485</v>
      </c>
      <c r="I876" s="15"/>
      <c r="J876" s="15" t="s">
        <v>8486</v>
      </c>
      <c r="K876" s="15" t="s">
        <v>368</v>
      </c>
      <c r="L876" s="15" t="s">
        <v>8487</v>
      </c>
      <c r="M876" s="15" t="s">
        <v>345</v>
      </c>
      <c r="N876" s="15" t="s">
        <v>346</v>
      </c>
      <c r="O876" s="16" t="n">
        <v>0</v>
      </c>
      <c r="P876" s="16" t="n">
        <v>0</v>
      </c>
      <c r="Q876" s="16" t="n">
        <v>0</v>
      </c>
      <c r="R876" s="16" t="n">
        <v>0</v>
      </c>
      <c r="S876" s="16" t="n">
        <v>0</v>
      </c>
      <c r="T876" s="17" t="n">
        <f aca="false">AVERAGE(O876:Q876)</f>
        <v>0</v>
      </c>
      <c r="U876" s="18" t="str">
        <f aca="false">IF(T876&gt;=$H$3,"Eligible","Not Eligible")</f>
        <v>Not Eligible</v>
      </c>
      <c r="V876" s="19" t="n">
        <f aca="false">IF(T876&lt;$H$3,0,IFERROR(T876/SUMIF($T$5:$T$999,"&gt;="&amp;$H$3),0))</f>
        <v>0</v>
      </c>
      <c r="W876" s="15" t="str">
        <f aca="false">IF(T876=0,"Win-Back","Active")</f>
        <v>Win-Back</v>
      </c>
      <c r="X876" s="20" t="n">
        <f aca="false">IF(T876=0,0,IF(T876&gt;=$H$3,ROUND(T876*$D$3/SUMIF($T$5:$T$999,"&gt;="&amp;$H$3),0),ROUNDUP(T876*$D$3/SUMIF($T$5:$T$999,"&gt;="&amp;$H$3),0)))</f>
        <v>0</v>
      </c>
      <c r="Y876" s="21"/>
      <c r="Z876" s="16" t="str">
        <f aca="false">IF(X876=0,"",X876-Y876)</f>
        <v/>
      </c>
      <c r="AA876" s="22" t="str">
        <f aca="false">IFERROR(Y876/X876,"")</f>
        <v/>
      </c>
      <c r="AB876" s="16" t="n">
        <v>0</v>
      </c>
      <c r="AC876" s="21"/>
    </row>
    <row r="877" customFormat="false" ht="15" hidden="false" customHeight="true" outlineLevel="0" collapsed="false">
      <c r="A877" s="15" t="s">
        <v>8488</v>
      </c>
      <c r="B877" s="15" t="s">
        <v>8489</v>
      </c>
      <c r="C877" s="15" t="s">
        <v>8490</v>
      </c>
      <c r="D877" s="15" t="s">
        <v>336</v>
      </c>
      <c r="E877" s="15" t="s">
        <v>337</v>
      </c>
      <c r="F877" s="15" t="s">
        <v>8491</v>
      </c>
      <c r="G877" s="15" t="s">
        <v>339</v>
      </c>
      <c r="H877" s="15" t="s">
        <v>8492</v>
      </c>
      <c r="I877" s="15"/>
      <c r="J877" s="15" t="s">
        <v>594</v>
      </c>
      <c r="K877" s="15" t="s">
        <v>368</v>
      </c>
      <c r="L877" s="15" t="s">
        <v>8493</v>
      </c>
      <c r="M877" s="15" t="s">
        <v>345</v>
      </c>
      <c r="N877" s="15" t="s">
        <v>346</v>
      </c>
      <c r="O877" s="16" t="n">
        <v>0</v>
      </c>
      <c r="P877" s="16" t="n">
        <v>0</v>
      </c>
      <c r="Q877" s="16" t="n">
        <v>0</v>
      </c>
      <c r="R877" s="16" t="n">
        <v>0</v>
      </c>
      <c r="S877" s="16" t="n">
        <v>0</v>
      </c>
      <c r="T877" s="17" t="n">
        <f aca="false">AVERAGE(O877:Q877)</f>
        <v>0</v>
      </c>
      <c r="U877" s="18" t="str">
        <f aca="false">IF(T877&gt;=$H$3,"Eligible","Not Eligible")</f>
        <v>Not Eligible</v>
      </c>
      <c r="V877" s="19" t="n">
        <f aca="false">IF(T877&lt;$H$3,0,IFERROR(T877/SUMIF($T$5:$T$999,"&gt;="&amp;$H$3),0))</f>
        <v>0</v>
      </c>
      <c r="W877" s="15" t="str">
        <f aca="false">IF(T877=0,"Win-Back","Active")</f>
        <v>Win-Back</v>
      </c>
      <c r="X877" s="20" t="n">
        <f aca="false">IF(T877=0,0,IF(T877&gt;=$H$3,ROUND(T877*$D$3/SUMIF($T$5:$T$999,"&gt;="&amp;$H$3),0),ROUNDUP(T877*$D$3/SUMIF($T$5:$T$999,"&gt;="&amp;$H$3),0)))</f>
        <v>0</v>
      </c>
      <c r="Y877" s="21"/>
      <c r="Z877" s="16" t="str">
        <f aca="false">IF(X877=0,"",X877-Y877)</f>
        <v/>
      </c>
      <c r="AA877" s="22" t="str">
        <f aca="false">IFERROR(Y877/X877,"")</f>
        <v/>
      </c>
      <c r="AB877" s="16" t="n">
        <v>0</v>
      </c>
      <c r="AC877" s="21"/>
    </row>
    <row r="878" customFormat="false" ht="15" hidden="false" customHeight="true" outlineLevel="0" collapsed="false">
      <c r="A878" s="15" t="s">
        <v>8494</v>
      </c>
      <c r="B878" s="15" t="s">
        <v>8495</v>
      </c>
      <c r="C878" s="15" t="s">
        <v>8496</v>
      </c>
      <c r="D878" s="15" t="s">
        <v>336</v>
      </c>
      <c r="E878" s="15" t="s">
        <v>337</v>
      </c>
      <c r="F878" s="15" t="s">
        <v>8497</v>
      </c>
      <c r="G878" s="15" t="s">
        <v>339</v>
      </c>
      <c r="H878" s="15" t="s">
        <v>8498</v>
      </c>
      <c r="I878" s="15"/>
      <c r="J878" s="15" t="s">
        <v>8499</v>
      </c>
      <c r="K878" s="15" t="s">
        <v>4892</v>
      </c>
      <c r="L878" s="15" t="s">
        <v>8500</v>
      </c>
      <c r="M878" s="15" t="s">
        <v>345</v>
      </c>
      <c r="N878" s="15" t="s">
        <v>346</v>
      </c>
      <c r="O878" s="16" t="n">
        <v>0</v>
      </c>
      <c r="P878" s="16" t="n">
        <v>0</v>
      </c>
      <c r="Q878" s="16" t="n">
        <v>0</v>
      </c>
      <c r="R878" s="16" t="n">
        <v>0</v>
      </c>
      <c r="S878" s="16" t="n">
        <v>0</v>
      </c>
      <c r="T878" s="17" t="n">
        <f aca="false">AVERAGE(O878:Q878)</f>
        <v>0</v>
      </c>
      <c r="U878" s="18" t="str">
        <f aca="false">IF(T878&gt;=$H$3,"Eligible","Not Eligible")</f>
        <v>Not Eligible</v>
      </c>
      <c r="V878" s="19" t="n">
        <f aca="false">IF(T878&lt;$H$3,0,IFERROR(T878/SUMIF($T$5:$T$999,"&gt;="&amp;$H$3),0))</f>
        <v>0</v>
      </c>
      <c r="W878" s="15" t="str">
        <f aca="false">IF(T878=0,"Win-Back","Active")</f>
        <v>Win-Back</v>
      </c>
      <c r="X878" s="20" t="n">
        <f aca="false">IF(T878=0,0,IF(T878&gt;=$H$3,ROUND(T878*$D$3/SUMIF($T$5:$T$999,"&gt;="&amp;$H$3),0),ROUNDUP(T878*$D$3/SUMIF($T$5:$T$999,"&gt;="&amp;$H$3),0)))</f>
        <v>0</v>
      </c>
      <c r="Y878" s="21"/>
      <c r="Z878" s="16" t="str">
        <f aca="false">IF(X878=0,"",X878-Y878)</f>
        <v/>
      </c>
      <c r="AA878" s="22" t="str">
        <f aca="false">IFERROR(Y878/X878,"")</f>
        <v/>
      </c>
      <c r="AB878" s="16" t="n">
        <v>0</v>
      </c>
      <c r="AC878" s="21"/>
    </row>
    <row r="879" customFormat="false" ht="15" hidden="false" customHeight="true" outlineLevel="0" collapsed="false">
      <c r="A879" s="15" t="s">
        <v>8501</v>
      </c>
      <c r="B879" s="15" t="s">
        <v>8502</v>
      </c>
      <c r="C879" s="15" t="s">
        <v>8503</v>
      </c>
      <c r="D879" s="15" t="s">
        <v>336</v>
      </c>
      <c r="E879" s="15" t="s">
        <v>337</v>
      </c>
      <c r="F879" s="15" t="s">
        <v>8504</v>
      </c>
      <c r="G879" s="15" t="s">
        <v>339</v>
      </c>
      <c r="H879" s="15" t="s">
        <v>8505</v>
      </c>
      <c r="I879" s="15"/>
      <c r="J879" s="15" t="s">
        <v>4891</v>
      </c>
      <c r="K879" s="15" t="s">
        <v>4892</v>
      </c>
      <c r="L879" s="15" t="s">
        <v>8506</v>
      </c>
      <c r="M879" s="15" t="s">
        <v>345</v>
      </c>
      <c r="N879" s="15" t="s">
        <v>346</v>
      </c>
      <c r="O879" s="16" t="n">
        <v>0</v>
      </c>
      <c r="P879" s="16" t="n">
        <v>0</v>
      </c>
      <c r="Q879" s="16" t="n">
        <v>0</v>
      </c>
      <c r="R879" s="16" t="n">
        <v>0</v>
      </c>
      <c r="S879" s="16" t="n">
        <v>0</v>
      </c>
      <c r="T879" s="17" t="n">
        <f aca="false">AVERAGE(O879:Q879)</f>
        <v>0</v>
      </c>
      <c r="U879" s="18" t="str">
        <f aca="false">IF(T879&gt;=$H$3,"Eligible","Not Eligible")</f>
        <v>Not Eligible</v>
      </c>
      <c r="V879" s="19" t="n">
        <f aca="false">IF(T879&lt;$H$3,0,IFERROR(T879/SUMIF($T$5:$T$999,"&gt;="&amp;$H$3),0))</f>
        <v>0</v>
      </c>
      <c r="W879" s="15" t="str">
        <f aca="false">IF(T879=0,"Win-Back","Active")</f>
        <v>Win-Back</v>
      </c>
      <c r="X879" s="20" t="n">
        <f aca="false">IF(T879=0,0,IF(T879&gt;=$H$3,ROUND(T879*$D$3/SUMIF($T$5:$T$999,"&gt;="&amp;$H$3),0),ROUNDUP(T879*$D$3/SUMIF($T$5:$T$999,"&gt;="&amp;$H$3),0)))</f>
        <v>0</v>
      </c>
      <c r="Y879" s="21"/>
      <c r="Z879" s="16" t="str">
        <f aca="false">IF(X879=0,"",X879-Y879)</f>
        <v/>
      </c>
      <c r="AA879" s="22" t="str">
        <f aca="false">IFERROR(Y879/X879,"")</f>
        <v/>
      </c>
      <c r="AB879" s="16" t="n">
        <v>0</v>
      </c>
      <c r="AC879" s="21"/>
    </row>
    <row r="880" customFormat="false" ht="15" hidden="false" customHeight="true" outlineLevel="0" collapsed="false">
      <c r="A880" s="15" t="s">
        <v>8507</v>
      </c>
      <c r="B880" s="15" t="s">
        <v>8508</v>
      </c>
      <c r="C880" s="15" t="s">
        <v>8509</v>
      </c>
      <c r="D880" s="15" t="s">
        <v>336</v>
      </c>
      <c r="E880" s="15" t="s">
        <v>337</v>
      </c>
      <c r="F880" s="15" t="s">
        <v>8510</v>
      </c>
      <c r="G880" s="15" t="s">
        <v>339</v>
      </c>
      <c r="H880" s="15" t="s">
        <v>8511</v>
      </c>
      <c r="I880" s="15" t="s">
        <v>8512</v>
      </c>
      <c r="J880" s="15" t="s">
        <v>8513</v>
      </c>
      <c r="K880" s="15" t="s">
        <v>1222</v>
      </c>
      <c r="L880" s="15" t="s">
        <v>8514</v>
      </c>
      <c r="M880" s="15" t="s">
        <v>345</v>
      </c>
      <c r="N880" s="15" t="s">
        <v>346</v>
      </c>
      <c r="O880" s="16" t="n">
        <v>0</v>
      </c>
      <c r="P880" s="16" t="n">
        <v>0</v>
      </c>
      <c r="Q880" s="16" t="n">
        <v>0</v>
      </c>
      <c r="R880" s="16" t="n">
        <v>0</v>
      </c>
      <c r="S880" s="16" t="n">
        <v>0</v>
      </c>
      <c r="T880" s="17" t="n">
        <f aca="false">AVERAGE(O880:Q880)</f>
        <v>0</v>
      </c>
      <c r="U880" s="18" t="str">
        <f aca="false">IF(T880&gt;=$H$3,"Eligible","Not Eligible")</f>
        <v>Not Eligible</v>
      </c>
      <c r="V880" s="19" t="n">
        <f aca="false">IF(T880&lt;$H$3,0,IFERROR(T880/SUMIF($T$5:$T$999,"&gt;="&amp;$H$3),0))</f>
        <v>0</v>
      </c>
      <c r="W880" s="15" t="str">
        <f aca="false">IF(T880=0,"Win-Back","Active")</f>
        <v>Win-Back</v>
      </c>
      <c r="X880" s="20" t="n">
        <f aca="false">IF(T880=0,0,IF(T880&gt;=$H$3,ROUND(T880*$D$3/SUMIF($T$5:$T$999,"&gt;="&amp;$H$3),0),ROUNDUP(T880*$D$3/SUMIF($T$5:$T$999,"&gt;="&amp;$H$3),0)))</f>
        <v>0</v>
      </c>
      <c r="Y880" s="21"/>
      <c r="Z880" s="16" t="str">
        <f aca="false">IF(X880=0,"",X880-Y880)</f>
        <v/>
      </c>
      <c r="AA880" s="22" t="str">
        <f aca="false">IFERROR(Y880/X880,"")</f>
        <v/>
      </c>
      <c r="AB880" s="16" t="n">
        <v>0</v>
      </c>
      <c r="AC880" s="21"/>
    </row>
    <row r="881" customFormat="false" ht="15" hidden="false" customHeight="true" outlineLevel="0" collapsed="false">
      <c r="A881" s="15" t="s">
        <v>8515</v>
      </c>
      <c r="B881" s="15" t="s">
        <v>8516</v>
      </c>
      <c r="C881" s="15" t="s">
        <v>8517</v>
      </c>
      <c r="D881" s="15" t="s">
        <v>336</v>
      </c>
      <c r="E881" s="15" t="s">
        <v>337</v>
      </c>
      <c r="F881" s="15" t="s">
        <v>8518</v>
      </c>
      <c r="G881" s="15" t="s">
        <v>339</v>
      </c>
      <c r="H881" s="15" t="s">
        <v>8519</v>
      </c>
      <c r="I881" s="15"/>
      <c r="J881" s="15" t="s">
        <v>8520</v>
      </c>
      <c r="K881" s="15" t="s">
        <v>368</v>
      </c>
      <c r="L881" s="15" t="s">
        <v>8521</v>
      </c>
      <c r="M881" s="15" t="s">
        <v>345</v>
      </c>
      <c r="N881" s="15" t="s">
        <v>346</v>
      </c>
      <c r="O881" s="16" t="n">
        <v>0</v>
      </c>
      <c r="P881" s="16" t="n">
        <v>0</v>
      </c>
      <c r="Q881" s="16" t="n">
        <v>0</v>
      </c>
      <c r="R881" s="16" t="n">
        <v>0</v>
      </c>
      <c r="S881" s="16" t="n">
        <v>0</v>
      </c>
      <c r="T881" s="17" t="n">
        <f aca="false">AVERAGE(O881:Q881)</f>
        <v>0</v>
      </c>
      <c r="U881" s="18" t="str">
        <f aca="false">IF(T881&gt;=$H$3,"Eligible","Not Eligible")</f>
        <v>Not Eligible</v>
      </c>
      <c r="V881" s="19" t="n">
        <f aca="false">IF(T881&lt;$H$3,0,IFERROR(T881/SUMIF($T$5:$T$999,"&gt;="&amp;$H$3),0))</f>
        <v>0</v>
      </c>
      <c r="W881" s="15" t="str">
        <f aca="false">IF(T881=0,"Win-Back","Active")</f>
        <v>Win-Back</v>
      </c>
      <c r="X881" s="20" t="n">
        <f aca="false">IF(T881=0,0,IF(T881&gt;=$H$3,ROUND(T881*$D$3/SUMIF($T$5:$T$999,"&gt;="&amp;$H$3),0),ROUNDUP(T881*$D$3/SUMIF($T$5:$T$999,"&gt;="&amp;$H$3),0)))</f>
        <v>0</v>
      </c>
      <c r="Y881" s="21"/>
      <c r="Z881" s="16" t="str">
        <f aca="false">IF(X881=0,"",X881-Y881)</f>
        <v/>
      </c>
      <c r="AA881" s="22" t="str">
        <f aca="false">IFERROR(Y881/X881,"")</f>
        <v/>
      </c>
      <c r="AB881" s="16" t="n">
        <v>0</v>
      </c>
      <c r="AC881" s="21"/>
    </row>
    <row r="882" customFormat="false" ht="15" hidden="false" customHeight="true" outlineLevel="0" collapsed="false">
      <c r="A882" s="15" t="s">
        <v>8522</v>
      </c>
      <c r="B882" s="15" t="s">
        <v>8523</v>
      </c>
      <c r="C882" s="15" t="s">
        <v>8524</v>
      </c>
      <c r="D882" s="15" t="s">
        <v>336</v>
      </c>
      <c r="E882" s="15" t="s">
        <v>337</v>
      </c>
      <c r="F882" s="15" t="s">
        <v>8525</v>
      </c>
      <c r="G882" s="15" t="s">
        <v>339</v>
      </c>
      <c r="H882" s="15" t="s">
        <v>8526</v>
      </c>
      <c r="I882" s="15"/>
      <c r="J882" s="15" t="s">
        <v>594</v>
      </c>
      <c r="K882" s="15" t="s">
        <v>368</v>
      </c>
      <c r="L882" s="15" t="s">
        <v>8527</v>
      </c>
      <c r="M882" s="15" t="s">
        <v>345</v>
      </c>
      <c r="N882" s="15" t="s">
        <v>346</v>
      </c>
      <c r="O882" s="16" t="n">
        <v>0</v>
      </c>
      <c r="P882" s="16" t="n">
        <v>0</v>
      </c>
      <c r="Q882" s="16" t="n">
        <v>0</v>
      </c>
      <c r="R882" s="16" t="n">
        <v>0</v>
      </c>
      <c r="S882" s="16" t="n">
        <v>0</v>
      </c>
      <c r="T882" s="17" t="n">
        <f aca="false">AVERAGE(O882:Q882)</f>
        <v>0</v>
      </c>
      <c r="U882" s="18" t="str">
        <f aca="false">IF(T882&gt;=$H$3,"Eligible","Not Eligible")</f>
        <v>Not Eligible</v>
      </c>
      <c r="V882" s="19" t="n">
        <f aca="false">IF(T882&lt;$H$3,0,IFERROR(T882/SUMIF($T$5:$T$999,"&gt;="&amp;$H$3),0))</f>
        <v>0</v>
      </c>
      <c r="W882" s="15" t="str">
        <f aca="false">IF(T882=0,"Win-Back","Active")</f>
        <v>Win-Back</v>
      </c>
      <c r="X882" s="20" t="n">
        <f aca="false">IF(T882=0,0,IF(T882&gt;=$H$3,ROUND(T882*$D$3/SUMIF($T$5:$T$999,"&gt;="&amp;$H$3),0),ROUNDUP(T882*$D$3/SUMIF($T$5:$T$999,"&gt;="&amp;$H$3),0)))</f>
        <v>0</v>
      </c>
      <c r="Y882" s="21"/>
      <c r="Z882" s="16" t="str">
        <f aca="false">IF(X882=0,"",X882-Y882)</f>
        <v/>
      </c>
      <c r="AA882" s="22" t="str">
        <f aca="false">IFERROR(Y882/X882,"")</f>
        <v/>
      </c>
      <c r="AB882" s="16" t="n">
        <v>0</v>
      </c>
      <c r="AC882" s="21"/>
    </row>
    <row r="883" customFormat="false" ht="15" hidden="false" customHeight="true" outlineLevel="0" collapsed="false">
      <c r="A883" s="15" t="s">
        <v>8528</v>
      </c>
      <c r="B883" s="15" t="s">
        <v>8529</v>
      </c>
      <c r="C883" s="15" t="s">
        <v>8530</v>
      </c>
      <c r="D883" s="15" t="s">
        <v>336</v>
      </c>
      <c r="E883" s="15" t="s">
        <v>337</v>
      </c>
      <c r="F883" s="15" t="s">
        <v>8531</v>
      </c>
      <c r="G883" s="15" t="s">
        <v>339</v>
      </c>
      <c r="H883" s="15" t="s">
        <v>8532</v>
      </c>
      <c r="I883" s="15"/>
      <c r="J883" s="15" t="s">
        <v>8533</v>
      </c>
      <c r="K883" s="15" t="s">
        <v>368</v>
      </c>
      <c r="L883" s="15" t="s">
        <v>8534</v>
      </c>
      <c r="M883" s="15" t="s">
        <v>345</v>
      </c>
      <c r="N883" s="15" t="s">
        <v>346</v>
      </c>
      <c r="O883" s="16" t="n">
        <v>0</v>
      </c>
      <c r="P883" s="16" t="n">
        <v>0</v>
      </c>
      <c r="Q883" s="16" t="n">
        <v>0</v>
      </c>
      <c r="R883" s="16" t="n">
        <v>0</v>
      </c>
      <c r="S883" s="16" t="n">
        <v>0</v>
      </c>
      <c r="T883" s="17" t="n">
        <f aca="false">AVERAGE(O883:Q883)</f>
        <v>0</v>
      </c>
      <c r="U883" s="18" t="str">
        <f aca="false">IF(T883&gt;=$H$3,"Eligible","Not Eligible")</f>
        <v>Not Eligible</v>
      </c>
      <c r="V883" s="19" t="n">
        <f aca="false">IF(T883&lt;$H$3,0,IFERROR(T883/SUMIF($T$5:$T$999,"&gt;="&amp;$H$3),0))</f>
        <v>0</v>
      </c>
      <c r="W883" s="15" t="str">
        <f aca="false">IF(T883=0,"Win-Back","Active")</f>
        <v>Win-Back</v>
      </c>
      <c r="X883" s="20" t="n">
        <f aca="false">IF(T883=0,0,IF(T883&gt;=$H$3,ROUND(T883*$D$3/SUMIF($T$5:$T$999,"&gt;="&amp;$H$3),0),ROUNDUP(T883*$D$3/SUMIF($T$5:$T$999,"&gt;="&amp;$H$3),0)))</f>
        <v>0</v>
      </c>
      <c r="Y883" s="21"/>
      <c r="Z883" s="16" t="str">
        <f aca="false">IF(X883=0,"",X883-Y883)</f>
        <v/>
      </c>
      <c r="AA883" s="22" t="str">
        <f aca="false">IFERROR(Y883/X883,"")</f>
        <v/>
      </c>
      <c r="AB883" s="16" t="n">
        <v>0</v>
      </c>
      <c r="AC883" s="21"/>
    </row>
    <row r="884" customFormat="false" ht="15" hidden="false" customHeight="true" outlineLevel="0" collapsed="false">
      <c r="A884" s="15" t="s">
        <v>8535</v>
      </c>
      <c r="B884" s="15" t="s">
        <v>8536</v>
      </c>
      <c r="C884" s="15" t="s">
        <v>8537</v>
      </c>
      <c r="D884" s="15" t="s">
        <v>336</v>
      </c>
      <c r="E884" s="15" t="s">
        <v>337</v>
      </c>
      <c r="F884" s="15" t="s">
        <v>8538</v>
      </c>
      <c r="G884" s="15" t="s">
        <v>339</v>
      </c>
      <c r="H884" s="15" t="s">
        <v>8539</v>
      </c>
      <c r="I884" s="15"/>
      <c r="J884" s="15" t="s">
        <v>8513</v>
      </c>
      <c r="K884" s="15" t="s">
        <v>1222</v>
      </c>
      <c r="L884" s="15" t="s">
        <v>8514</v>
      </c>
      <c r="M884" s="15" t="s">
        <v>345</v>
      </c>
      <c r="N884" s="15" t="s">
        <v>346</v>
      </c>
      <c r="O884" s="16" t="n">
        <v>0</v>
      </c>
      <c r="P884" s="16" t="n">
        <v>0</v>
      </c>
      <c r="Q884" s="16" t="n">
        <v>0</v>
      </c>
      <c r="R884" s="16" t="n">
        <v>0</v>
      </c>
      <c r="S884" s="16" t="n">
        <v>0</v>
      </c>
      <c r="T884" s="17" t="n">
        <f aca="false">AVERAGE(O884:Q884)</f>
        <v>0</v>
      </c>
      <c r="U884" s="18" t="str">
        <f aca="false">IF(T884&gt;=$H$3,"Eligible","Not Eligible")</f>
        <v>Not Eligible</v>
      </c>
      <c r="V884" s="19" t="n">
        <f aca="false">IF(T884&lt;$H$3,0,IFERROR(T884/SUMIF($T$5:$T$999,"&gt;="&amp;$H$3),0))</f>
        <v>0</v>
      </c>
      <c r="W884" s="15" t="str">
        <f aca="false">IF(T884=0,"Win-Back","Active")</f>
        <v>Win-Back</v>
      </c>
      <c r="X884" s="20" t="n">
        <f aca="false">IF(T884=0,0,IF(T884&gt;=$H$3,ROUND(T884*$D$3/SUMIF($T$5:$T$999,"&gt;="&amp;$H$3),0),ROUNDUP(T884*$D$3/SUMIF($T$5:$T$999,"&gt;="&amp;$H$3),0)))</f>
        <v>0</v>
      </c>
      <c r="Y884" s="21"/>
      <c r="Z884" s="16" t="str">
        <f aca="false">IF(X884=0,"",X884-Y884)</f>
        <v/>
      </c>
      <c r="AA884" s="22" t="str">
        <f aca="false">IFERROR(Y884/X884,"")</f>
        <v/>
      </c>
      <c r="AB884" s="16" t="n">
        <v>0</v>
      </c>
      <c r="AC884" s="21"/>
    </row>
    <row r="885" customFormat="false" ht="15" hidden="false" customHeight="true" outlineLevel="0" collapsed="false">
      <c r="A885" s="15" t="s">
        <v>8540</v>
      </c>
      <c r="B885" s="15" t="s">
        <v>8541</v>
      </c>
      <c r="C885" s="15" t="s">
        <v>8542</v>
      </c>
      <c r="D885" s="15" t="s">
        <v>8483</v>
      </c>
      <c r="E885" s="15" t="s">
        <v>337</v>
      </c>
      <c r="F885" s="15" t="s">
        <v>8543</v>
      </c>
      <c r="G885" s="15" t="s">
        <v>339</v>
      </c>
      <c r="H885" s="15" t="s">
        <v>8544</v>
      </c>
      <c r="I885" s="15"/>
      <c r="J885" s="15" t="s">
        <v>8545</v>
      </c>
      <c r="K885" s="15" t="s">
        <v>2143</v>
      </c>
      <c r="L885" s="15" t="s">
        <v>8546</v>
      </c>
      <c r="M885" s="15" t="s">
        <v>345</v>
      </c>
      <c r="N885" s="15" t="s">
        <v>346</v>
      </c>
      <c r="O885" s="16" t="n">
        <v>0</v>
      </c>
      <c r="P885" s="16" t="n">
        <v>0</v>
      </c>
      <c r="Q885" s="16" t="n">
        <v>0</v>
      </c>
      <c r="R885" s="16" t="n">
        <v>0</v>
      </c>
      <c r="S885" s="16" t="n">
        <v>0</v>
      </c>
      <c r="T885" s="17" t="n">
        <f aca="false">AVERAGE(O885:Q885)</f>
        <v>0</v>
      </c>
      <c r="U885" s="18" t="str">
        <f aca="false">IF(T885&gt;=$H$3,"Eligible","Not Eligible")</f>
        <v>Not Eligible</v>
      </c>
      <c r="V885" s="19" t="n">
        <f aca="false">IF(T885&lt;$H$3,0,IFERROR(T885/SUMIF($T$5:$T$999,"&gt;="&amp;$H$3),0))</f>
        <v>0</v>
      </c>
      <c r="W885" s="15" t="str">
        <f aca="false">IF(T885=0,"Win-Back","Active")</f>
        <v>Win-Back</v>
      </c>
      <c r="X885" s="20" t="n">
        <f aca="false">IF(T885=0,0,IF(T885&gt;=$H$3,ROUND(T885*$D$3/SUMIF($T$5:$T$999,"&gt;="&amp;$H$3),0),ROUNDUP(T885*$D$3/SUMIF($T$5:$T$999,"&gt;="&amp;$H$3),0)))</f>
        <v>0</v>
      </c>
      <c r="Y885" s="21"/>
      <c r="Z885" s="16" t="str">
        <f aca="false">IF(X885=0,"",X885-Y885)</f>
        <v/>
      </c>
      <c r="AA885" s="22" t="str">
        <f aca="false">IFERROR(Y885/X885,"")</f>
        <v/>
      </c>
      <c r="AB885" s="16" t="n">
        <v>0</v>
      </c>
      <c r="AC885" s="21"/>
    </row>
    <row r="886" customFormat="false" ht="15" hidden="false" customHeight="true" outlineLevel="0" collapsed="false">
      <c r="A886" s="15" t="s">
        <v>8547</v>
      </c>
      <c r="B886" s="15" t="s">
        <v>8548</v>
      </c>
      <c r="C886" s="15" t="s">
        <v>8549</v>
      </c>
      <c r="D886" s="15" t="s">
        <v>8550</v>
      </c>
      <c r="E886" s="15" t="s">
        <v>8551</v>
      </c>
      <c r="F886" s="15" t="s">
        <v>8552</v>
      </c>
      <c r="G886" s="15" t="s">
        <v>8553</v>
      </c>
      <c r="H886" s="15" t="s">
        <v>8554</v>
      </c>
      <c r="I886" s="15"/>
      <c r="J886" s="15" t="s">
        <v>379</v>
      </c>
      <c r="K886" s="15" t="s">
        <v>368</v>
      </c>
      <c r="L886" s="15" t="s">
        <v>8555</v>
      </c>
      <c r="M886" s="15" t="s">
        <v>8556</v>
      </c>
      <c r="N886" s="15" t="s">
        <v>73</v>
      </c>
      <c r="O886" s="16" t="n">
        <v>0</v>
      </c>
      <c r="P886" s="16" t="n">
        <v>0</v>
      </c>
      <c r="Q886" s="16" t="n">
        <v>0</v>
      </c>
      <c r="R886" s="16" t="n">
        <v>0</v>
      </c>
      <c r="S886" s="16" t="n">
        <v>0</v>
      </c>
      <c r="T886" s="17" t="n">
        <f aca="false">AVERAGE(O886:Q886)</f>
        <v>0</v>
      </c>
      <c r="U886" s="18" t="str">
        <f aca="false">IF(T886&gt;=$H$3,"Eligible","Not Eligible")</f>
        <v>Not Eligible</v>
      </c>
      <c r="V886" s="19" t="n">
        <f aca="false">IF(T886&lt;$H$3,0,IFERROR(T886/SUMIF($T$5:$T$999,"&gt;="&amp;$H$3),0))</f>
        <v>0</v>
      </c>
      <c r="W886" s="15" t="str">
        <f aca="false">IF(T886=0,"Win-Back","Active")</f>
        <v>Win-Back</v>
      </c>
      <c r="X886" s="20" t="n">
        <f aca="false">IF(T886=0,0,IF(T886&gt;=$H$3,ROUND(T886*$D$3/SUMIF($T$5:$T$999,"&gt;="&amp;$H$3),0),ROUNDUP(T886*$D$3/SUMIF($T$5:$T$999,"&gt;="&amp;$H$3),0)))</f>
        <v>0</v>
      </c>
      <c r="Y886" s="21"/>
      <c r="Z886" s="16" t="str">
        <f aca="false">IF(X886=0,"",X886-Y886)</f>
        <v/>
      </c>
      <c r="AA886" s="22" t="str">
        <f aca="false">IFERROR(Y886/X886,"")</f>
        <v/>
      </c>
      <c r="AB886" s="16" t="n">
        <v>0</v>
      </c>
      <c r="AC886" s="21"/>
    </row>
    <row r="887" customFormat="false" ht="15" hidden="false" customHeight="true" outlineLevel="0" collapsed="false">
      <c r="A887" s="15" t="s">
        <v>8557</v>
      </c>
      <c r="B887" s="15" t="s">
        <v>8558</v>
      </c>
      <c r="C887" s="15" t="s">
        <v>8559</v>
      </c>
      <c r="D887" s="15" t="s">
        <v>8560</v>
      </c>
      <c r="E887" s="15" t="s">
        <v>8561</v>
      </c>
      <c r="F887" s="15" t="s">
        <v>8562</v>
      </c>
      <c r="G887" s="15" t="s">
        <v>8563</v>
      </c>
      <c r="H887" s="15" t="s">
        <v>8564</v>
      </c>
      <c r="I887" s="15"/>
      <c r="J887" s="15" t="s">
        <v>8565</v>
      </c>
      <c r="K887" s="15" t="s">
        <v>1418</v>
      </c>
      <c r="L887" s="15" t="s">
        <v>8566</v>
      </c>
      <c r="M887" s="15" t="s">
        <v>8567</v>
      </c>
      <c r="N887" s="15" t="s">
        <v>73</v>
      </c>
      <c r="O887" s="16" t="n">
        <v>0</v>
      </c>
      <c r="P887" s="16" t="n">
        <v>0</v>
      </c>
      <c r="Q887" s="16" t="n">
        <v>0</v>
      </c>
      <c r="R887" s="16" t="n">
        <v>0</v>
      </c>
      <c r="S887" s="16" t="n">
        <v>0</v>
      </c>
      <c r="T887" s="17" t="n">
        <f aca="false">AVERAGE(O887:Q887)</f>
        <v>0</v>
      </c>
      <c r="U887" s="18" t="str">
        <f aca="false">IF(T887&gt;=$H$3,"Eligible","Not Eligible")</f>
        <v>Not Eligible</v>
      </c>
      <c r="V887" s="19" t="n">
        <f aca="false">IF(T887&lt;$H$3,0,IFERROR(T887/SUMIF($T$5:$T$999,"&gt;="&amp;$H$3),0))</f>
        <v>0</v>
      </c>
      <c r="W887" s="15" t="str">
        <f aca="false">IF(T887=0,"Win-Back","Active")</f>
        <v>Win-Back</v>
      </c>
      <c r="X887" s="20" t="n">
        <f aca="false">IF(T887=0,0,IF(T887&gt;=$H$3,ROUND(T887*$D$3/SUMIF($T$5:$T$999,"&gt;="&amp;$H$3),0),ROUNDUP(T887*$D$3/SUMIF($T$5:$T$999,"&gt;="&amp;$H$3),0)))</f>
        <v>0</v>
      </c>
      <c r="Y887" s="21"/>
      <c r="Z887" s="16" t="str">
        <f aca="false">IF(X887=0,"",X887-Y887)</f>
        <v/>
      </c>
      <c r="AA887" s="22" t="str">
        <f aca="false">IFERROR(Y887/X887,"")</f>
        <v/>
      </c>
      <c r="AB887" s="16" t="n">
        <v>0</v>
      </c>
      <c r="AC887" s="21"/>
    </row>
    <row r="888" customFormat="false" ht="15" hidden="false" customHeight="true" outlineLevel="0" collapsed="false">
      <c r="A888" s="15" t="s">
        <v>8568</v>
      </c>
      <c r="B888" s="15" t="s">
        <v>8569</v>
      </c>
      <c r="C888" s="15" t="s">
        <v>8570</v>
      </c>
      <c r="D888" s="15" t="s">
        <v>8571</v>
      </c>
      <c r="E888" s="15" t="s">
        <v>8572</v>
      </c>
      <c r="F888" s="15" t="s">
        <v>8573</v>
      </c>
      <c r="G888" s="15" t="s">
        <v>8574</v>
      </c>
      <c r="H888" s="15" t="s">
        <v>8575</v>
      </c>
      <c r="I888" s="15"/>
      <c r="J888" s="15" t="s">
        <v>8576</v>
      </c>
      <c r="K888" s="15" t="s">
        <v>47</v>
      </c>
      <c r="L888" s="15" t="s">
        <v>937</v>
      </c>
      <c r="M888" s="15" t="s">
        <v>8577</v>
      </c>
      <c r="N888" s="15" t="s">
        <v>73</v>
      </c>
      <c r="O888" s="16" t="n">
        <v>0</v>
      </c>
      <c r="P888" s="16" t="n">
        <v>0</v>
      </c>
      <c r="Q888" s="16" t="n">
        <v>0</v>
      </c>
      <c r="R888" s="16" t="n">
        <v>0</v>
      </c>
      <c r="S888" s="16" t="n">
        <v>0</v>
      </c>
      <c r="T888" s="17" t="n">
        <f aca="false">AVERAGE(O888:Q888)</f>
        <v>0</v>
      </c>
      <c r="U888" s="18" t="str">
        <f aca="false">IF(T888&gt;=$H$3,"Eligible","Not Eligible")</f>
        <v>Not Eligible</v>
      </c>
      <c r="V888" s="19" t="n">
        <f aca="false">IF(T888&lt;$H$3,0,IFERROR(T888/SUMIF($T$5:$T$999,"&gt;="&amp;$H$3),0))</f>
        <v>0</v>
      </c>
      <c r="W888" s="15" t="str">
        <f aca="false">IF(T888=0,"Win-Back","Active")</f>
        <v>Win-Back</v>
      </c>
      <c r="X888" s="20" t="n">
        <f aca="false">IF(T888=0,0,IF(T888&gt;=$H$3,ROUND(T888*$D$3/SUMIF($T$5:$T$999,"&gt;="&amp;$H$3),0),ROUNDUP(T888*$D$3/SUMIF($T$5:$T$999,"&gt;="&amp;$H$3),0)))</f>
        <v>0</v>
      </c>
      <c r="Y888" s="21"/>
      <c r="Z888" s="16" t="str">
        <f aca="false">IF(X888=0,"",X888-Y888)</f>
        <v/>
      </c>
      <c r="AA888" s="22" t="str">
        <f aca="false">IFERROR(Y888/X888,"")</f>
        <v/>
      </c>
      <c r="AB888" s="16" t="n">
        <v>0</v>
      </c>
      <c r="AC888" s="21"/>
    </row>
    <row r="889" customFormat="false" ht="15" hidden="false" customHeight="true" outlineLevel="0" collapsed="false">
      <c r="A889" s="15" t="s">
        <v>8578</v>
      </c>
      <c r="B889" s="15" t="s">
        <v>8579</v>
      </c>
      <c r="C889" s="15" t="s">
        <v>8580</v>
      </c>
      <c r="D889" s="15" t="s">
        <v>8581</v>
      </c>
      <c r="E889" s="15" t="s">
        <v>8582</v>
      </c>
      <c r="F889" s="15" t="s">
        <v>8583</v>
      </c>
      <c r="G889" s="15" t="s">
        <v>8584</v>
      </c>
      <c r="H889" s="15" t="s">
        <v>8585</v>
      </c>
      <c r="I889" s="15"/>
      <c r="J889" s="15" t="s">
        <v>82</v>
      </c>
      <c r="K889" s="15" t="s">
        <v>47</v>
      </c>
      <c r="L889" s="15" t="s">
        <v>93</v>
      </c>
      <c r="M889" s="15" t="s">
        <v>8586</v>
      </c>
      <c r="N889" s="15" t="s">
        <v>50</v>
      </c>
      <c r="O889" s="16" t="n">
        <v>0</v>
      </c>
      <c r="P889" s="16" t="n">
        <v>0</v>
      </c>
      <c r="Q889" s="16" t="n">
        <v>0</v>
      </c>
      <c r="R889" s="16" t="n">
        <v>0</v>
      </c>
      <c r="S889" s="16" t="n">
        <v>0</v>
      </c>
      <c r="T889" s="17" t="n">
        <f aca="false">AVERAGE(O889:Q889)</f>
        <v>0</v>
      </c>
      <c r="U889" s="18" t="str">
        <f aca="false">IF(T889&gt;=$H$3,"Eligible","Not Eligible")</f>
        <v>Not Eligible</v>
      </c>
      <c r="V889" s="19" t="n">
        <f aca="false">IF(T889&lt;$H$3,0,IFERROR(T889/SUMIF($T$5:$T$999,"&gt;="&amp;$H$3),0))</f>
        <v>0</v>
      </c>
      <c r="W889" s="15" t="str">
        <f aca="false">IF(T889=0,"Win-Back","Active")</f>
        <v>Win-Back</v>
      </c>
      <c r="X889" s="20" t="n">
        <f aca="false">IF(T889=0,0,IF(T889&gt;=$H$3,ROUND(T889*$D$3/SUMIF($T$5:$T$999,"&gt;="&amp;$H$3),0),ROUNDUP(T889*$D$3/SUMIF($T$5:$T$999,"&gt;="&amp;$H$3),0)))</f>
        <v>0</v>
      </c>
      <c r="Y889" s="21"/>
      <c r="Z889" s="16" t="str">
        <f aca="false">IF(X889=0,"",X889-Y889)</f>
        <v/>
      </c>
      <c r="AA889" s="22" t="str">
        <f aca="false">IFERROR(Y889/X889,"")</f>
        <v/>
      </c>
      <c r="AB889" s="16" t="n">
        <v>0</v>
      </c>
      <c r="AC889" s="21"/>
    </row>
    <row r="890" customFormat="false" ht="15" hidden="false" customHeight="true" outlineLevel="0" collapsed="false">
      <c r="A890" s="15" t="s">
        <v>8587</v>
      </c>
      <c r="B890" s="15" t="s">
        <v>8588</v>
      </c>
      <c r="C890" s="15" t="s">
        <v>8589</v>
      </c>
      <c r="D890" s="15" t="s">
        <v>8590</v>
      </c>
      <c r="E890" s="15" t="s">
        <v>8591</v>
      </c>
      <c r="F890" s="15" t="s">
        <v>8592</v>
      </c>
      <c r="G890" s="15" t="s">
        <v>8593</v>
      </c>
      <c r="H890" s="15" t="s">
        <v>8594</v>
      </c>
      <c r="I890" s="15"/>
      <c r="J890" s="15" t="s">
        <v>8595</v>
      </c>
      <c r="K890" s="15" t="s">
        <v>2325</v>
      </c>
      <c r="L890" s="15" t="s">
        <v>8596</v>
      </c>
      <c r="M890" s="15" t="s">
        <v>8597</v>
      </c>
      <c r="N890" s="15" t="s">
        <v>73</v>
      </c>
      <c r="O890" s="16" t="n">
        <v>0</v>
      </c>
      <c r="P890" s="16" t="n">
        <v>0</v>
      </c>
      <c r="Q890" s="16" t="n">
        <v>0</v>
      </c>
      <c r="R890" s="16" t="n">
        <v>0</v>
      </c>
      <c r="S890" s="16" t="n">
        <v>0</v>
      </c>
      <c r="T890" s="17" t="n">
        <f aca="false">AVERAGE(O890:Q890)</f>
        <v>0</v>
      </c>
      <c r="U890" s="18" t="str">
        <f aca="false">IF(T890&gt;=$H$3,"Eligible","Not Eligible")</f>
        <v>Not Eligible</v>
      </c>
      <c r="V890" s="19" t="n">
        <f aca="false">IF(T890&lt;$H$3,0,IFERROR(T890/SUMIF($T$5:$T$999,"&gt;="&amp;$H$3),0))</f>
        <v>0</v>
      </c>
      <c r="W890" s="15" t="str">
        <f aca="false">IF(T890=0,"Win-Back","Active")</f>
        <v>Win-Back</v>
      </c>
      <c r="X890" s="20" t="n">
        <f aca="false">IF(T890=0,0,IF(T890&gt;=$H$3,ROUND(T890*$D$3/SUMIF($T$5:$T$999,"&gt;="&amp;$H$3),0),ROUNDUP(T890*$D$3/SUMIF($T$5:$T$999,"&gt;="&amp;$H$3),0)))</f>
        <v>0</v>
      </c>
      <c r="Y890" s="21"/>
      <c r="Z890" s="16" t="str">
        <f aca="false">IF(X890=0,"",X890-Y890)</f>
        <v/>
      </c>
      <c r="AA890" s="22" t="str">
        <f aca="false">IFERROR(Y890/X890,"")</f>
        <v/>
      </c>
      <c r="AB890" s="16" t="n">
        <v>0</v>
      </c>
      <c r="AC890" s="21"/>
    </row>
    <row r="891" customFormat="false" ht="15" hidden="false" customHeight="true" outlineLevel="0" collapsed="false">
      <c r="A891" s="15" t="s">
        <v>8598</v>
      </c>
      <c r="B891" s="15" t="s">
        <v>8599</v>
      </c>
      <c r="C891" s="15" t="s">
        <v>8600</v>
      </c>
      <c r="D891" s="15" t="s">
        <v>8601</v>
      </c>
      <c r="E891" s="15" t="s">
        <v>8602</v>
      </c>
      <c r="F891" s="15" t="s">
        <v>8603</v>
      </c>
      <c r="G891" s="15" t="s">
        <v>8604</v>
      </c>
      <c r="H891" s="15" t="s">
        <v>8605</v>
      </c>
      <c r="I891" s="15"/>
      <c r="J891" s="15" t="s">
        <v>3087</v>
      </c>
      <c r="K891" s="15" t="s">
        <v>1200</v>
      </c>
      <c r="L891" s="15" t="s">
        <v>8606</v>
      </c>
      <c r="M891" s="15" t="s">
        <v>8607</v>
      </c>
      <c r="N891" s="15" t="s">
        <v>73</v>
      </c>
      <c r="O891" s="16" t="n">
        <v>0</v>
      </c>
      <c r="P891" s="16" t="n">
        <v>0</v>
      </c>
      <c r="Q891" s="16" t="n">
        <v>0</v>
      </c>
      <c r="R891" s="16" t="n">
        <v>0</v>
      </c>
      <c r="S891" s="16" t="n">
        <v>0</v>
      </c>
      <c r="T891" s="17" t="n">
        <f aca="false">AVERAGE(O891:Q891)</f>
        <v>0</v>
      </c>
      <c r="U891" s="18" t="str">
        <f aca="false">IF(T891&gt;=$H$3,"Eligible","Not Eligible")</f>
        <v>Not Eligible</v>
      </c>
      <c r="V891" s="19" t="n">
        <f aca="false">IF(T891&lt;$H$3,0,IFERROR(T891/SUMIF($T$5:$T$999,"&gt;="&amp;$H$3),0))</f>
        <v>0</v>
      </c>
      <c r="W891" s="15" t="str">
        <f aca="false">IF(T891=0,"Win-Back","Active")</f>
        <v>Win-Back</v>
      </c>
      <c r="X891" s="20" t="n">
        <f aca="false">IF(T891=0,0,IF(T891&gt;=$H$3,ROUND(T891*$D$3/SUMIF($T$5:$T$999,"&gt;="&amp;$H$3),0),ROUNDUP(T891*$D$3/SUMIF($T$5:$T$999,"&gt;="&amp;$H$3),0)))</f>
        <v>0</v>
      </c>
      <c r="Y891" s="21"/>
      <c r="Z891" s="16" t="str">
        <f aca="false">IF(X891=0,"",X891-Y891)</f>
        <v/>
      </c>
      <c r="AA891" s="22" t="str">
        <f aca="false">IFERROR(Y891/X891,"")</f>
        <v/>
      </c>
      <c r="AB891" s="16" t="n">
        <v>0</v>
      </c>
      <c r="AC891" s="21"/>
    </row>
    <row r="892" customFormat="false" ht="15" hidden="false" customHeight="true" outlineLevel="0" collapsed="false">
      <c r="A892" s="15" t="s">
        <v>8608</v>
      </c>
      <c r="B892" s="15" t="s">
        <v>8609</v>
      </c>
      <c r="C892" s="15" t="s">
        <v>8610</v>
      </c>
      <c r="D892" s="15" t="s">
        <v>8611</v>
      </c>
      <c r="E892" s="15" t="s">
        <v>8612</v>
      </c>
      <c r="F892" s="15" t="s">
        <v>8613</v>
      </c>
      <c r="G892" s="15" t="s">
        <v>8614</v>
      </c>
      <c r="H892" s="15" t="s">
        <v>8615</v>
      </c>
      <c r="I892" s="15"/>
      <c r="J892" s="15" t="s">
        <v>1428</v>
      </c>
      <c r="K892" s="15" t="s">
        <v>563</v>
      </c>
      <c r="L892" s="15" t="s">
        <v>1429</v>
      </c>
      <c r="M892" s="15" t="s">
        <v>8616</v>
      </c>
      <c r="N892" s="15" t="s">
        <v>73</v>
      </c>
      <c r="O892" s="16" t="n">
        <v>0</v>
      </c>
      <c r="P892" s="16" t="n">
        <v>0</v>
      </c>
      <c r="Q892" s="16" t="n">
        <v>0</v>
      </c>
      <c r="R892" s="16" t="n">
        <v>0</v>
      </c>
      <c r="S892" s="16" t="n">
        <v>0</v>
      </c>
      <c r="T892" s="17" t="n">
        <f aca="false">AVERAGE(O892:Q892)</f>
        <v>0</v>
      </c>
      <c r="U892" s="18" t="str">
        <f aca="false">IF(T892&gt;=$H$3,"Eligible","Not Eligible")</f>
        <v>Not Eligible</v>
      </c>
      <c r="V892" s="19" t="n">
        <f aca="false">IF(T892&lt;$H$3,0,IFERROR(T892/SUMIF($T$5:$T$999,"&gt;="&amp;$H$3),0))</f>
        <v>0</v>
      </c>
      <c r="W892" s="15" t="str">
        <f aca="false">IF(T892=0,"Win-Back","Active")</f>
        <v>Win-Back</v>
      </c>
      <c r="X892" s="20" t="n">
        <f aca="false">IF(T892=0,0,IF(T892&gt;=$H$3,ROUND(T892*$D$3/SUMIF($T$5:$T$999,"&gt;="&amp;$H$3),0),ROUNDUP(T892*$D$3/SUMIF($T$5:$T$999,"&gt;="&amp;$H$3),0)))</f>
        <v>0</v>
      </c>
      <c r="Y892" s="21"/>
      <c r="Z892" s="16" t="str">
        <f aca="false">IF(X892=0,"",X892-Y892)</f>
        <v/>
      </c>
      <c r="AA892" s="22" t="str">
        <f aca="false">IFERROR(Y892/X892,"")</f>
        <v/>
      </c>
      <c r="AB892" s="16" t="n">
        <v>0</v>
      </c>
      <c r="AC892" s="21"/>
    </row>
    <row r="893" customFormat="false" ht="15" hidden="false" customHeight="true" outlineLevel="0" collapsed="false">
      <c r="A893" s="15" t="s">
        <v>8617</v>
      </c>
      <c r="B893" s="15" t="s">
        <v>8618</v>
      </c>
      <c r="C893" s="15" t="s">
        <v>8619</v>
      </c>
      <c r="D893" s="15" t="s">
        <v>8620</v>
      </c>
      <c r="E893" s="15" t="s">
        <v>8621</v>
      </c>
      <c r="F893" s="15" t="s">
        <v>8622</v>
      </c>
      <c r="G893" s="15" t="s">
        <v>8623</v>
      </c>
      <c r="H893" s="15" t="s">
        <v>8624</v>
      </c>
      <c r="I893" s="15"/>
      <c r="J893" s="15" t="s">
        <v>82</v>
      </c>
      <c r="K893" s="15" t="s">
        <v>47</v>
      </c>
      <c r="L893" s="15" t="s">
        <v>83</v>
      </c>
      <c r="M893" s="15" t="s">
        <v>8625</v>
      </c>
      <c r="N893" s="15" t="s">
        <v>50</v>
      </c>
      <c r="O893" s="16" t="n">
        <v>0</v>
      </c>
      <c r="P893" s="16" t="n">
        <v>0</v>
      </c>
      <c r="Q893" s="16" t="n">
        <v>0</v>
      </c>
      <c r="R893" s="16" t="n">
        <v>0</v>
      </c>
      <c r="S893" s="16" t="n">
        <v>0</v>
      </c>
      <c r="T893" s="17" t="n">
        <f aca="false">AVERAGE(O893:Q893)</f>
        <v>0</v>
      </c>
      <c r="U893" s="18" t="str">
        <f aca="false">IF(T893&gt;=$H$3,"Eligible","Not Eligible")</f>
        <v>Not Eligible</v>
      </c>
      <c r="V893" s="19" t="n">
        <f aca="false">IF(T893&lt;$H$3,0,IFERROR(T893/SUMIF($T$5:$T$999,"&gt;="&amp;$H$3),0))</f>
        <v>0</v>
      </c>
      <c r="W893" s="15" t="str">
        <f aca="false">IF(T893=0,"Win-Back","Active")</f>
        <v>Win-Back</v>
      </c>
      <c r="X893" s="20" t="n">
        <f aca="false">IF(T893=0,0,IF(T893&gt;=$H$3,ROUND(T893*$D$3/SUMIF($T$5:$T$999,"&gt;="&amp;$H$3),0),ROUNDUP(T893*$D$3/SUMIF($T$5:$T$999,"&gt;="&amp;$H$3),0)))</f>
        <v>0</v>
      </c>
      <c r="Y893" s="21"/>
      <c r="Z893" s="16" t="str">
        <f aca="false">IF(X893=0,"",X893-Y893)</f>
        <v/>
      </c>
      <c r="AA893" s="22" t="str">
        <f aca="false">IFERROR(Y893/X893,"")</f>
        <v/>
      </c>
      <c r="AB893" s="16" t="n">
        <v>0</v>
      </c>
      <c r="AC893" s="21"/>
    </row>
    <row r="894" customFormat="false" ht="15" hidden="false" customHeight="true" outlineLevel="0" collapsed="false">
      <c r="A894" s="15" t="s">
        <v>8626</v>
      </c>
      <c r="B894" s="15" t="s">
        <v>8627</v>
      </c>
      <c r="C894" s="15" t="s">
        <v>8628</v>
      </c>
      <c r="D894" s="15" t="s">
        <v>8629</v>
      </c>
      <c r="E894" s="15" t="s">
        <v>8630</v>
      </c>
      <c r="F894" s="15" t="s">
        <v>8631</v>
      </c>
      <c r="G894" s="15" t="s">
        <v>8632</v>
      </c>
      <c r="H894" s="15" t="s">
        <v>8633</v>
      </c>
      <c r="I894" s="15" t="s">
        <v>8634</v>
      </c>
      <c r="J894" s="15" t="s">
        <v>2085</v>
      </c>
      <c r="K894" s="15" t="s">
        <v>47</v>
      </c>
      <c r="L894" s="15" t="s">
        <v>8635</v>
      </c>
      <c r="M894" s="15" t="s">
        <v>8636</v>
      </c>
      <c r="N894" s="15" t="s">
        <v>73</v>
      </c>
      <c r="O894" s="16" t="n">
        <v>0</v>
      </c>
      <c r="P894" s="16" t="n">
        <v>0</v>
      </c>
      <c r="Q894" s="16" t="n">
        <v>0</v>
      </c>
      <c r="R894" s="16" t="n">
        <v>0</v>
      </c>
      <c r="S894" s="16" t="n">
        <v>0</v>
      </c>
      <c r="T894" s="17" t="n">
        <f aca="false">AVERAGE(O894:Q894)</f>
        <v>0</v>
      </c>
      <c r="U894" s="18" t="str">
        <f aca="false">IF(T894&gt;=$H$3,"Eligible","Not Eligible")</f>
        <v>Not Eligible</v>
      </c>
      <c r="V894" s="19" t="n">
        <f aca="false">IF(T894&lt;$H$3,0,IFERROR(T894/SUMIF($T$5:$T$999,"&gt;="&amp;$H$3),0))</f>
        <v>0</v>
      </c>
      <c r="W894" s="15" t="str">
        <f aca="false">IF(T894=0,"Win-Back","Active")</f>
        <v>Win-Back</v>
      </c>
      <c r="X894" s="20" t="n">
        <f aca="false">IF(T894=0,0,IF(T894&gt;=$H$3,ROUND(T894*$D$3/SUMIF($T$5:$T$999,"&gt;="&amp;$H$3),0),ROUNDUP(T894*$D$3/SUMIF($T$5:$T$999,"&gt;="&amp;$H$3),0)))</f>
        <v>0</v>
      </c>
      <c r="Y894" s="21"/>
      <c r="Z894" s="16" t="str">
        <f aca="false">IF(X894=0,"",X894-Y894)</f>
        <v/>
      </c>
      <c r="AA894" s="22" t="str">
        <f aca="false">IFERROR(Y894/X894,"")</f>
        <v/>
      </c>
      <c r="AB894" s="16" t="n">
        <v>0</v>
      </c>
      <c r="AC894" s="21"/>
    </row>
    <row r="895" customFormat="false" ht="15" hidden="false" customHeight="true" outlineLevel="0" collapsed="false">
      <c r="A895" s="15" t="s">
        <v>8637</v>
      </c>
      <c r="B895" s="15" t="s">
        <v>8638</v>
      </c>
      <c r="C895" s="15" t="s">
        <v>8639</v>
      </c>
      <c r="D895" s="15" t="s">
        <v>8640</v>
      </c>
      <c r="E895" s="15" t="s">
        <v>8641</v>
      </c>
      <c r="F895" s="15" t="s">
        <v>8642</v>
      </c>
      <c r="G895" s="15" t="s">
        <v>8643</v>
      </c>
      <c r="H895" s="15" t="s">
        <v>8644</v>
      </c>
      <c r="I895" s="15"/>
      <c r="J895" s="15" t="s">
        <v>2085</v>
      </c>
      <c r="K895" s="15" t="s">
        <v>47</v>
      </c>
      <c r="L895" s="15" t="s">
        <v>8645</v>
      </c>
      <c r="M895" s="15" t="s">
        <v>8646</v>
      </c>
      <c r="N895" s="15" t="s">
        <v>73</v>
      </c>
      <c r="O895" s="16" t="n">
        <v>0</v>
      </c>
      <c r="P895" s="16" t="n">
        <v>0</v>
      </c>
      <c r="Q895" s="16" t="n">
        <v>0</v>
      </c>
      <c r="R895" s="16" t="n">
        <v>0</v>
      </c>
      <c r="S895" s="16" t="n">
        <v>0</v>
      </c>
      <c r="T895" s="17" t="n">
        <f aca="false">AVERAGE(O895:Q895)</f>
        <v>0</v>
      </c>
      <c r="U895" s="18" t="str">
        <f aca="false">IF(T895&gt;=$H$3,"Eligible","Not Eligible")</f>
        <v>Not Eligible</v>
      </c>
      <c r="V895" s="19" t="n">
        <f aca="false">IF(T895&lt;$H$3,0,IFERROR(T895/SUMIF($T$5:$T$999,"&gt;="&amp;$H$3),0))</f>
        <v>0</v>
      </c>
      <c r="W895" s="15" t="str">
        <f aca="false">IF(T895=0,"Win-Back","Active")</f>
        <v>Win-Back</v>
      </c>
      <c r="X895" s="20" t="n">
        <f aca="false">IF(T895=0,0,IF(T895&gt;=$H$3,ROUND(T895*$D$3/SUMIF($T$5:$T$999,"&gt;="&amp;$H$3),0),ROUNDUP(T895*$D$3/SUMIF($T$5:$T$999,"&gt;="&amp;$H$3),0)))</f>
        <v>0</v>
      </c>
      <c r="Y895" s="21"/>
      <c r="Z895" s="16" t="str">
        <f aca="false">IF(X895=0,"",X895-Y895)</f>
        <v/>
      </c>
      <c r="AA895" s="22" t="str">
        <f aca="false">IFERROR(Y895/X895,"")</f>
        <v/>
      </c>
      <c r="AB895" s="16" t="n">
        <v>0</v>
      </c>
      <c r="AC895" s="21"/>
    </row>
    <row r="896" customFormat="false" ht="15" hidden="false" customHeight="true" outlineLevel="0" collapsed="false">
      <c r="A896" s="15" t="s">
        <v>8647</v>
      </c>
      <c r="B896" s="15" t="s">
        <v>8648</v>
      </c>
      <c r="C896" s="15" t="s">
        <v>8649</v>
      </c>
      <c r="D896" s="15" t="s">
        <v>8650</v>
      </c>
      <c r="E896" s="15" t="s">
        <v>8651</v>
      </c>
      <c r="F896" s="15"/>
      <c r="G896" s="15" t="s">
        <v>8652</v>
      </c>
      <c r="H896" s="15" t="s">
        <v>8653</v>
      </c>
      <c r="I896" s="15"/>
      <c r="J896" s="15" t="s">
        <v>1794</v>
      </c>
      <c r="K896" s="15" t="s">
        <v>47</v>
      </c>
      <c r="L896" s="15" t="s">
        <v>1795</v>
      </c>
      <c r="M896" s="15" t="s">
        <v>8654</v>
      </c>
      <c r="N896" s="15" t="s">
        <v>73</v>
      </c>
      <c r="O896" s="16" t="n">
        <v>0</v>
      </c>
      <c r="P896" s="16" t="n">
        <v>0</v>
      </c>
      <c r="Q896" s="16" t="n">
        <v>0</v>
      </c>
      <c r="R896" s="16" t="n">
        <v>0</v>
      </c>
      <c r="S896" s="16" t="n">
        <v>0</v>
      </c>
      <c r="T896" s="17" t="n">
        <f aca="false">AVERAGE(O896:Q896)</f>
        <v>0</v>
      </c>
      <c r="U896" s="18" t="str">
        <f aca="false">IF(T896&gt;=$H$3,"Eligible","Not Eligible")</f>
        <v>Not Eligible</v>
      </c>
      <c r="V896" s="19" t="n">
        <f aca="false">IF(T896&lt;$H$3,0,IFERROR(T896/SUMIF($T$5:$T$999,"&gt;="&amp;$H$3),0))</f>
        <v>0</v>
      </c>
      <c r="W896" s="15" t="str">
        <f aca="false">IF(T896=0,"Win-Back","Active")</f>
        <v>Win-Back</v>
      </c>
      <c r="X896" s="20" t="n">
        <f aca="false">IF(T896=0,0,IF(T896&gt;=$H$3,ROUND(T896*$D$3/SUMIF($T$5:$T$999,"&gt;="&amp;$H$3),0),ROUNDUP(T896*$D$3/SUMIF($T$5:$T$999,"&gt;="&amp;$H$3),0)))</f>
        <v>0</v>
      </c>
      <c r="Y896" s="21"/>
      <c r="Z896" s="16" t="str">
        <f aca="false">IF(X896=0,"",X896-Y896)</f>
        <v/>
      </c>
      <c r="AA896" s="22" t="str">
        <f aca="false">IFERROR(Y896/X896,"")</f>
        <v/>
      </c>
      <c r="AB896" s="16" t="n">
        <v>0</v>
      </c>
      <c r="AC896" s="21"/>
    </row>
    <row r="897" customFormat="false" ht="15" hidden="false" customHeight="true" outlineLevel="0" collapsed="false">
      <c r="A897" s="15" t="s">
        <v>8655</v>
      </c>
      <c r="B897" s="15" t="s">
        <v>8656</v>
      </c>
      <c r="C897" s="15" t="s">
        <v>8657</v>
      </c>
      <c r="D897" s="15" t="s">
        <v>8658</v>
      </c>
      <c r="E897" s="15" t="s">
        <v>8659</v>
      </c>
      <c r="F897" s="15" t="s">
        <v>8660</v>
      </c>
      <c r="G897" s="15" t="s">
        <v>8661</v>
      </c>
      <c r="H897" s="15" t="s">
        <v>8662</v>
      </c>
      <c r="I897" s="15"/>
      <c r="J897" s="15" t="s">
        <v>8663</v>
      </c>
      <c r="K897" s="15" t="s">
        <v>368</v>
      </c>
      <c r="L897" s="15" t="s">
        <v>8664</v>
      </c>
      <c r="M897" s="15" t="s">
        <v>8665</v>
      </c>
      <c r="N897" s="15" t="s">
        <v>73</v>
      </c>
      <c r="O897" s="16" t="n">
        <v>0</v>
      </c>
      <c r="P897" s="16" t="n">
        <v>0</v>
      </c>
      <c r="Q897" s="16" t="n">
        <v>0</v>
      </c>
      <c r="R897" s="16" t="n">
        <v>0</v>
      </c>
      <c r="S897" s="16" t="n">
        <v>0</v>
      </c>
      <c r="T897" s="17" t="n">
        <f aca="false">AVERAGE(O897:Q897)</f>
        <v>0</v>
      </c>
      <c r="U897" s="18" t="str">
        <f aca="false">IF(T897&gt;=$H$3,"Eligible","Not Eligible")</f>
        <v>Not Eligible</v>
      </c>
      <c r="V897" s="19" t="n">
        <f aca="false">IF(T897&lt;$H$3,0,IFERROR(T897/SUMIF($T$5:$T$999,"&gt;="&amp;$H$3),0))</f>
        <v>0</v>
      </c>
      <c r="W897" s="15" t="str">
        <f aca="false">IF(T897=0,"Win-Back","Active")</f>
        <v>Win-Back</v>
      </c>
      <c r="X897" s="20" t="n">
        <f aca="false">IF(T897=0,0,IF(T897&gt;=$H$3,ROUND(T897*$D$3/SUMIF($T$5:$T$999,"&gt;="&amp;$H$3),0),ROUNDUP(T897*$D$3/SUMIF($T$5:$T$999,"&gt;="&amp;$H$3),0)))</f>
        <v>0</v>
      </c>
      <c r="Y897" s="21"/>
      <c r="Z897" s="16" t="str">
        <f aca="false">IF(X897=0,"",X897-Y897)</f>
        <v/>
      </c>
      <c r="AA897" s="22" t="str">
        <f aca="false">IFERROR(Y897/X897,"")</f>
        <v/>
      </c>
      <c r="AB897" s="16" t="n">
        <v>0</v>
      </c>
      <c r="AC897" s="21"/>
    </row>
    <row r="898" customFormat="false" ht="15" hidden="false" customHeight="true" outlineLevel="0" collapsed="false">
      <c r="A898" s="15" t="s">
        <v>8666</v>
      </c>
      <c r="B898" s="15" t="s">
        <v>8667</v>
      </c>
      <c r="C898" s="15" t="s">
        <v>8668</v>
      </c>
      <c r="D898" s="15" t="s">
        <v>8669</v>
      </c>
      <c r="E898" s="15" t="s">
        <v>8670</v>
      </c>
      <c r="F898" s="15" t="s">
        <v>8671</v>
      </c>
      <c r="G898" s="15" t="s">
        <v>8672</v>
      </c>
      <c r="H898" s="15" t="s">
        <v>8673</v>
      </c>
      <c r="I898" s="15"/>
      <c r="J898" s="15" t="s">
        <v>8674</v>
      </c>
      <c r="K898" s="15" t="s">
        <v>2839</v>
      </c>
      <c r="L898" s="15" t="s">
        <v>8675</v>
      </c>
      <c r="M898" s="15" t="s">
        <v>8676</v>
      </c>
      <c r="N898" s="15" t="s">
        <v>73</v>
      </c>
      <c r="O898" s="16" t="n">
        <v>0</v>
      </c>
      <c r="P898" s="16" t="n">
        <v>0</v>
      </c>
      <c r="Q898" s="16" t="n">
        <v>0</v>
      </c>
      <c r="R898" s="16" t="n">
        <v>0</v>
      </c>
      <c r="S898" s="16" t="n">
        <v>0</v>
      </c>
      <c r="T898" s="17" t="n">
        <f aca="false">AVERAGE(O898:Q898)</f>
        <v>0</v>
      </c>
      <c r="U898" s="18" t="str">
        <f aca="false">IF(T898&gt;=$H$3,"Eligible","Not Eligible")</f>
        <v>Not Eligible</v>
      </c>
      <c r="V898" s="19" t="n">
        <f aca="false">IF(T898&lt;$H$3,0,IFERROR(T898/SUMIF($T$5:$T$999,"&gt;="&amp;$H$3),0))</f>
        <v>0</v>
      </c>
      <c r="W898" s="15" t="str">
        <f aca="false">IF(T898=0,"Win-Back","Active")</f>
        <v>Win-Back</v>
      </c>
      <c r="X898" s="20" t="n">
        <f aca="false">IF(T898=0,0,IF(T898&gt;=$H$3,ROUND(T898*$D$3/SUMIF($T$5:$T$999,"&gt;="&amp;$H$3),0),ROUNDUP(T898*$D$3/SUMIF($T$5:$T$999,"&gt;="&amp;$H$3),0)))</f>
        <v>0</v>
      </c>
      <c r="Y898" s="21"/>
      <c r="Z898" s="16" t="str">
        <f aca="false">IF(X898=0,"",X898-Y898)</f>
        <v/>
      </c>
      <c r="AA898" s="22" t="str">
        <f aca="false">IFERROR(Y898/X898,"")</f>
        <v/>
      </c>
      <c r="AB898" s="16" t="n">
        <v>0</v>
      </c>
      <c r="AC898" s="21"/>
    </row>
    <row r="899" customFormat="false" ht="15" hidden="false" customHeight="true" outlineLevel="0" collapsed="false">
      <c r="A899" s="15" t="s">
        <v>8677</v>
      </c>
      <c r="B899" s="15" t="s">
        <v>8678</v>
      </c>
      <c r="C899" s="15" t="s">
        <v>8679</v>
      </c>
      <c r="D899" s="15" t="s">
        <v>7280</v>
      </c>
      <c r="E899" s="15" t="s">
        <v>7281</v>
      </c>
      <c r="F899" s="15" t="s">
        <v>8680</v>
      </c>
      <c r="G899" s="15" t="s">
        <v>7283</v>
      </c>
      <c r="H899" s="15" t="s">
        <v>8681</v>
      </c>
      <c r="I899" s="15"/>
      <c r="J899" s="15" t="s">
        <v>2085</v>
      </c>
      <c r="K899" s="15" t="s">
        <v>47</v>
      </c>
      <c r="L899" s="15" t="s">
        <v>8682</v>
      </c>
      <c r="M899" s="15" t="s">
        <v>7286</v>
      </c>
      <c r="N899" s="15" t="s">
        <v>73</v>
      </c>
      <c r="O899" s="16" t="n">
        <v>0</v>
      </c>
      <c r="P899" s="16" t="n">
        <v>0</v>
      </c>
      <c r="Q899" s="16" t="n">
        <v>0</v>
      </c>
      <c r="R899" s="16" t="n">
        <v>0</v>
      </c>
      <c r="S899" s="16" t="n">
        <v>0</v>
      </c>
      <c r="T899" s="17" t="n">
        <f aca="false">AVERAGE(O899:Q899)</f>
        <v>0</v>
      </c>
      <c r="U899" s="18" t="str">
        <f aca="false">IF(T899&gt;=$H$3,"Eligible","Not Eligible")</f>
        <v>Not Eligible</v>
      </c>
      <c r="V899" s="19" t="n">
        <f aca="false">IF(T899&lt;$H$3,0,IFERROR(T899/SUMIF($T$5:$T$999,"&gt;="&amp;$H$3),0))</f>
        <v>0</v>
      </c>
      <c r="W899" s="15" t="str">
        <f aca="false">IF(T899=0,"Win-Back","Active")</f>
        <v>Win-Back</v>
      </c>
      <c r="X899" s="20" t="n">
        <f aca="false">IF(T899=0,0,IF(T899&gt;=$H$3,ROUND(T899*$D$3/SUMIF($T$5:$T$999,"&gt;="&amp;$H$3),0),ROUNDUP(T899*$D$3/SUMIF($T$5:$T$999,"&gt;="&amp;$H$3),0)))</f>
        <v>0</v>
      </c>
      <c r="Y899" s="21"/>
      <c r="Z899" s="16" t="str">
        <f aca="false">IF(X899=0,"",X899-Y899)</f>
        <v/>
      </c>
      <c r="AA899" s="22" t="str">
        <f aca="false">IFERROR(Y899/X899,"")</f>
        <v/>
      </c>
      <c r="AB899" s="16" t="n">
        <v>0</v>
      </c>
      <c r="AC899" s="21"/>
    </row>
    <row r="900" customFormat="false" ht="15" hidden="false" customHeight="true" outlineLevel="0" collapsed="false">
      <c r="A900" s="15" t="s">
        <v>8683</v>
      </c>
      <c r="B900" s="15" t="s">
        <v>8684</v>
      </c>
      <c r="C900" s="15" t="s">
        <v>8685</v>
      </c>
      <c r="D900" s="15" t="s">
        <v>7280</v>
      </c>
      <c r="E900" s="15" t="s">
        <v>7281</v>
      </c>
      <c r="F900" s="15" t="s">
        <v>8686</v>
      </c>
      <c r="G900" s="15" t="s">
        <v>7283</v>
      </c>
      <c r="H900" s="15" t="s">
        <v>8687</v>
      </c>
      <c r="I900" s="15"/>
      <c r="J900" s="15" t="s">
        <v>8688</v>
      </c>
      <c r="K900" s="15" t="s">
        <v>47</v>
      </c>
      <c r="L900" s="15" t="s">
        <v>8689</v>
      </c>
      <c r="M900" s="15" t="s">
        <v>7286</v>
      </c>
      <c r="N900" s="15" t="s">
        <v>73</v>
      </c>
      <c r="O900" s="16" t="n">
        <v>0</v>
      </c>
      <c r="P900" s="16" t="n">
        <v>0</v>
      </c>
      <c r="Q900" s="16" t="n">
        <v>0</v>
      </c>
      <c r="R900" s="16" t="n">
        <v>0</v>
      </c>
      <c r="S900" s="16" t="n">
        <v>0</v>
      </c>
      <c r="T900" s="17" t="n">
        <f aca="false">AVERAGE(O900:Q900)</f>
        <v>0</v>
      </c>
      <c r="U900" s="18" t="str">
        <f aca="false">IF(T900&gt;=$H$3,"Eligible","Not Eligible")</f>
        <v>Not Eligible</v>
      </c>
      <c r="V900" s="19" t="n">
        <f aca="false">IF(T900&lt;$H$3,0,IFERROR(T900/SUMIF($T$5:$T$999,"&gt;="&amp;$H$3),0))</f>
        <v>0</v>
      </c>
      <c r="W900" s="15" t="str">
        <f aca="false">IF(T900=0,"Win-Back","Active")</f>
        <v>Win-Back</v>
      </c>
      <c r="X900" s="20" t="n">
        <f aca="false">IF(T900=0,0,IF(T900&gt;=$H$3,ROUND(T900*$D$3/SUMIF($T$5:$T$999,"&gt;="&amp;$H$3),0),ROUNDUP(T900*$D$3/SUMIF($T$5:$T$999,"&gt;="&amp;$H$3),0)))</f>
        <v>0</v>
      </c>
      <c r="Y900" s="21"/>
      <c r="Z900" s="16" t="str">
        <f aca="false">IF(X900=0,"",X900-Y900)</f>
        <v/>
      </c>
      <c r="AA900" s="22" t="str">
        <f aca="false">IFERROR(Y900/X900,"")</f>
        <v/>
      </c>
      <c r="AB900" s="16" t="n">
        <v>0</v>
      </c>
      <c r="AC900" s="21"/>
    </row>
    <row r="901" customFormat="false" ht="15" hidden="false" customHeight="true" outlineLevel="0" collapsed="false">
      <c r="A901" s="15" t="s">
        <v>8690</v>
      </c>
      <c r="B901" s="15" t="s">
        <v>8691</v>
      </c>
      <c r="C901" s="15" t="s">
        <v>8692</v>
      </c>
      <c r="D901" s="15" t="s">
        <v>8693</v>
      </c>
      <c r="E901" s="15" t="s">
        <v>8694</v>
      </c>
      <c r="F901" s="15" t="s">
        <v>8695</v>
      </c>
      <c r="G901" s="15" t="s">
        <v>8696</v>
      </c>
      <c r="H901" s="15" t="s">
        <v>8697</v>
      </c>
      <c r="I901" s="15"/>
      <c r="J901" s="15" t="s">
        <v>8698</v>
      </c>
      <c r="K901" s="15" t="s">
        <v>2208</v>
      </c>
      <c r="L901" s="15" t="s">
        <v>8699</v>
      </c>
      <c r="M901" s="15" t="s">
        <v>8700</v>
      </c>
      <c r="N901" s="15" t="s">
        <v>73</v>
      </c>
      <c r="O901" s="16" t="n">
        <v>0</v>
      </c>
      <c r="P901" s="16" t="n">
        <v>0</v>
      </c>
      <c r="Q901" s="16" t="n">
        <v>0</v>
      </c>
      <c r="R901" s="16" t="n">
        <v>0</v>
      </c>
      <c r="S901" s="16" t="n">
        <v>0</v>
      </c>
      <c r="T901" s="17" t="n">
        <f aca="false">AVERAGE(O901:Q901)</f>
        <v>0</v>
      </c>
      <c r="U901" s="18" t="str">
        <f aca="false">IF(T901&gt;=$H$3,"Eligible","Not Eligible")</f>
        <v>Not Eligible</v>
      </c>
      <c r="V901" s="19" t="n">
        <f aca="false">IF(T901&lt;$H$3,0,IFERROR(T901/SUMIF($T$5:$T$999,"&gt;="&amp;$H$3),0))</f>
        <v>0</v>
      </c>
      <c r="W901" s="15" t="str">
        <f aca="false">IF(T901=0,"Win-Back","Active")</f>
        <v>Win-Back</v>
      </c>
      <c r="X901" s="20" t="n">
        <f aca="false">IF(T901=0,0,IF(T901&gt;=$H$3,ROUND(T901*$D$3/SUMIF($T$5:$T$999,"&gt;="&amp;$H$3),0),ROUNDUP(T901*$D$3/SUMIF($T$5:$T$999,"&gt;="&amp;$H$3),0)))</f>
        <v>0</v>
      </c>
      <c r="Y901" s="21"/>
      <c r="Z901" s="16" t="str">
        <f aca="false">IF(X901=0,"",X901-Y901)</f>
        <v/>
      </c>
      <c r="AA901" s="22" t="str">
        <f aca="false">IFERROR(Y901/X901,"")</f>
        <v/>
      </c>
      <c r="AB901" s="16" t="n">
        <v>0</v>
      </c>
      <c r="AC901" s="21"/>
    </row>
    <row r="902" customFormat="false" ht="15" hidden="false" customHeight="true" outlineLevel="0" collapsed="false">
      <c r="A902" s="15" t="s">
        <v>8701</v>
      </c>
      <c r="B902" s="15" t="s">
        <v>8702</v>
      </c>
      <c r="C902" s="15" t="s">
        <v>8703</v>
      </c>
      <c r="D902" s="15" t="s">
        <v>8704</v>
      </c>
      <c r="E902" s="15" t="s">
        <v>8705</v>
      </c>
      <c r="F902" s="15" t="s">
        <v>2960</v>
      </c>
      <c r="G902" s="15" t="s">
        <v>2961</v>
      </c>
      <c r="H902" s="15" t="s">
        <v>8706</v>
      </c>
      <c r="I902" s="15"/>
      <c r="J902" s="15" t="s">
        <v>367</v>
      </c>
      <c r="K902" s="15" t="s">
        <v>368</v>
      </c>
      <c r="L902" s="15" t="s">
        <v>8707</v>
      </c>
      <c r="M902" s="15" t="s">
        <v>2964</v>
      </c>
      <c r="N902" s="15" t="s">
        <v>73</v>
      </c>
      <c r="O902" s="16" t="n">
        <v>0</v>
      </c>
      <c r="P902" s="16" t="n">
        <v>0</v>
      </c>
      <c r="Q902" s="16" t="n">
        <v>0</v>
      </c>
      <c r="R902" s="16" t="n">
        <v>0</v>
      </c>
      <c r="S902" s="16" t="n">
        <v>0</v>
      </c>
      <c r="T902" s="17" t="n">
        <f aca="false">AVERAGE(O902:Q902)</f>
        <v>0</v>
      </c>
      <c r="U902" s="18" t="str">
        <f aca="false">IF(T902&gt;=$H$3,"Eligible","Not Eligible")</f>
        <v>Not Eligible</v>
      </c>
      <c r="V902" s="19" t="n">
        <f aca="false">IF(T902&lt;$H$3,0,IFERROR(T902/SUMIF($T$5:$T$999,"&gt;="&amp;$H$3),0))</f>
        <v>0</v>
      </c>
      <c r="W902" s="15" t="str">
        <f aca="false">IF(T902=0,"Win-Back","Active")</f>
        <v>Win-Back</v>
      </c>
      <c r="X902" s="20" t="n">
        <f aca="false">IF(T902=0,0,IF(T902&gt;=$H$3,ROUND(T902*$D$3/SUMIF($T$5:$T$999,"&gt;="&amp;$H$3),0),ROUNDUP(T902*$D$3/SUMIF($T$5:$T$999,"&gt;="&amp;$H$3),0)))</f>
        <v>0</v>
      </c>
      <c r="Y902" s="21" t="n">
        <v>2</v>
      </c>
      <c r="Z902" s="16" t="str">
        <f aca="false">IF(X902=0,"",X902-Y902)</f>
        <v/>
      </c>
      <c r="AA902" s="22" t="str">
        <f aca="false">IFERROR(Y902/X902,"")</f>
        <v/>
      </c>
      <c r="AB902" s="16" t="n">
        <v>0</v>
      </c>
      <c r="AC902" s="21"/>
    </row>
    <row r="903" customFormat="false" ht="15" hidden="false" customHeight="true" outlineLevel="0" collapsed="false">
      <c r="A903" s="15" t="s">
        <v>8708</v>
      </c>
      <c r="B903" s="15" t="s">
        <v>8709</v>
      </c>
      <c r="C903" s="15" t="s">
        <v>8710</v>
      </c>
      <c r="D903" s="15" t="s">
        <v>8711</v>
      </c>
      <c r="E903" s="15" t="s">
        <v>8712</v>
      </c>
      <c r="F903" s="15" t="s">
        <v>8713</v>
      </c>
      <c r="G903" s="15" t="s">
        <v>8714</v>
      </c>
      <c r="H903" s="15" t="s">
        <v>8715</v>
      </c>
      <c r="I903" s="15"/>
      <c r="J903" s="15" t="s">
        <v>1266</v>
      </c>
      <c r="K903" s="15" t="s">
        <v>70</v>
      </c>
      <c r="L903" s="15" t="s">
        <v>1267</v>
      </c>
      <c r="M903" s="15" t="s">
        <v>8716</v>
      </c>
      <c r="N903" s="15" t="s">
        <v>73</v>
      </c>
      <c r="O903" s="16" t="n">
        <v>0</v>
      </c>
      <c r="P903" s="16" t="n">
        <v>0</v>
      </c>
      <c r="Q903" s="16" t="n">
        <v>0</v>
      </c>
      <c r="R903" s="16" t="n">
        <v>0</v>
      </c>
      <c r="S903" s="16" t="n">
        <v>0</v>
      </c>
      <c r="T903" s="17" t="n">
        <f aca="false">AVERAGE(O903:Q903)</f>
        <v>0</v>
      </c>
      <c r="U903" s="18" t="str">
        <f aca="false">IF(T903&gt;=$H$3,"Eligible","Not Eligible")</f>
        <v>Not Eligible</v>
      </c>
      <c r="V903" s="19" t="n">
        <f aca="false">IF(T903&lt;$H$3,0,IFERROR(T903/SUMIF($T$5:$T$999,"&gt;="&amp;$H$3),0))</f>
        <v>0</v>
      </c>
      <c r="W903" s="15" t="str">
        <f aca="false">IF(T903=0,"Win-Back","Active")</f>
        <v>Win-Back</v>
      </c>
      <c r="X903" s="20" t="n">
        <f aca="false">IF(T903=0,0,IF(T903&gt;=$H$3,ROUND(T903*$D$3/SUMIF($T$5:$T$999,"&gt;="&amp;$H$3),0),ROUNDUP(T903*$D$3/SUMIF($T$5:$T$999,"&gt;="&amp;$H$3),0)))</f>
        <v>0</v>
      </c>
      <c r="Y903" s="21"/>
      <c r="Z903" s="16" t="str">
        <f aca="false">IF(X903=0,"",X903-Y903)</f>
        <v/>
      </c>
      <c r="AA903" s="22" t="str">
        <f aca="false">IFERROR(Y903/X903,"")</f>
        <v/>
      </c>
      <c r="AB903" s="16" t="n">
        <v>0</v>
      </c>
      <c r="AC903" s="21"/>
    </row>
    <row r="904" customFormat="false" ht="15" hidden="false" customHeight="true" outlineLevel="0" collapsed="false">
      <c r="A904" s="15" t="s">
        <v>8717</v>
      </c>
      <c r="B904" s="15" t="s">
        <v>8718</v>
      </c>
      <c r="C904" s="15" t="s">
        <v>8719</v>
      </c>
      <c r="D904" s="15" t="s">
        <v>8720</v>
      </c>
      <c r="E904" s="15" t="s">
        <v>8721</v>
      </c>
      <c r="F904" s="15" t="s">
        <v>8722</v>
      </c>
      <c r="G904" s="15" t="s">
        <v>8723</v>
      </c>
      <c r="H904" s="15" t="s">
        <v>8724</v>
      </c>
      <c r="I904" s="15"/>
      <c r="J904" s="15" t="s">
        <v>8725</v>
      </c>
      <c r="K904" s="15" t="s">
        <v>2325</v>
      </c>
      <c r="L904" s="15" t="s">
        <v>8726</v>
      </c>
      <c r="M904" s="15" t="s">
        <v>8727</v>
      </c>
      <c r="N904" s="15" t="s">
        <v>73</v>
      </c>
      <c r="O904" s="16" t="n">
        <v>0</v>
      </c>
      <c r="P904" s="16" t="n">
        <v>0</v>
      </c>
      <c r="Q904" s="16" t="n">
        <v>0</v>
      </c>
      <c r="R904" s="16" t="n">
        <v>0</v>
      </c>
      <c r="S904" s="16" t="n">
        <v>0</v>
      </c>
      <c r="T904" s="17" t="n">
        <f aca="false">AVERAGE(O904:Q904)</f>
        <v>0</v>
      </c>
      <c r="U904" s="18" t="str">
        <f aca="false">IF(T904&gt;=$H$3,"Eligible","Not Eligible")</f>
        <v>Not Eligible</v>
      </c>
      <c r="V904" s="19" t="n">
        <f aca="false">IF(T904&lt;$H$3,0,IFERROR(T904/SUMIF($T$5:$T$999,"&gt;="&amp;$H$3),0))</f>
        <v>0</v>
      </c>
      <c r="W904" s="15" t="str">
        <f aca="false">IF(T904=0,"Win-Back","Active")</f>
        <v>Win-Back</v>
      </c>
      <c r="X904" s="20" t="n">
        <f aca="false">IF(T904=0,0,IF(T904&gt;=$H$3,ROUND(T904*$D$3/SUMIF($T$5:$T$999,"&gt;="&amp;$H$3),0),ROUNDUP(T904*$D$3/SUMIF($T$5:$T$999,"&gt;="&amp;$H$3),0)))</f>
        <v>0</v>
      </c>
      <c r="Y904" s="21"/>
      <c r="Z904" s="16" t="str">
        <f aca="false">IF(X904=0,"",X904-Y904)</f>
        <v/>
      </c>
      <c r="AA904" s="22" t="str">
        <f aca="false">IFERROR(Y904/X904,"")</f>
        <v/>
      </c>
      <c r="AB904" s="16" t="n">
        <v>0</v>
      </c>
      <c r="AC904" s="21"/>
    </row>
    <row r="905" customFormat="false" ht="15" hidden="false" customHeight="true" outlineLevel="0" collapsed="false">
      <c r="A905" s="15" t="s">
        <v>8728</v>
      </c>
      <c r="B905" s="15" t="s">
        <v>8729</v>
      </c>
      <c r="C905" s="15" t="s">
        <v>8730</v>
      </c>
      <c r="D905" s="15" t="s">
        <v>8731</v>
      </c>
      <c r="E905" s="15" t="s">
        <v>8732</v>
      </c>
      <c r="F905" s="15" t="s">
        <v>8733</v>
      </c>
      <c r="G905" s="15" t="s">
        <v>8734</v>
      </c>
      <c r="H905" s="15" t="s">
        <v>8735</v>
      </c>
      <c r="I905" s="15"/>
      <c r="J905" s="15" t="s">
        <v>2085</v>
      </c>
      <c r="K905" s="15" t="s">
        <v>47</v>
      </c>
      <c r="L905" s="15" t="s">
        <v>2546</v>
      </c>
      <c r="M905" s="15" t="s">
        <v>8736</v>
      </c>
      <c r="N905" s="15" t="s">
        <v>73</v>
      </c>
      <c r="O905" s="16" t="n">
        <v>0</v>
      </c>
      <c r="P905" s="16" t="n">
        <v>0</v>
      </c>
      <c r="Q905" s="16" t="n">
        <v>0</v>
      </c>
      <c r="R905" s="16" t="n">
        <v>0</v>
      </c>
      <c r="S905" s="16" t="n">
        <v>0</v>
      </c>
      <c r="T905" s="17" t="n">
        <f aca="false">AVERAGE(O905:Q905)</f>
        <v>0</v>
      </c>
      <c r="U905" s="18" t="str">
        <f aca="false">IF(T905&gt;=$H$3,"Eligible","Not Eligible")</f>
        <v>Not Eligible</v>
      </c>
      <c r="V905" s="19" t="n">
        <f aca="false">IF(T905&lt;$H$3,0,IFERROR(T905/SUMIF($T$5:$T$999,"&gt;="&amp;$H$3),0))</f>
        <v>0</v>
      </c>
      <c r="W905" s="15" t="str">
        <f aca="false">IF(T905=0,"Win-Back","Active")</f>
        <v>Win-Back</v>
      </c>
      <c r="X905" s="20" t="n">
        <f aca="false">IF(T905=0,0,IF(T905&gt;=$H$3,ROUND(T905*$D$3/SUMIF($T$5:$T$999,"&gt;="&amp;$H$3),0),ROUNDUP(T905*$D$3/SUMIF($T$5:$T$999,"&gt;="&amp;$H$3),0)))</f>
        <v>0</v>
      </c>
      <c r="Y905" s="21"/>
      <c r="Z905" s="16" t="str">
        <f aca="false">IF(X905=0,"",X905-Y905)</f>
        <v/>
      </c>
      <c r="AA905" s="22" t="str">
        <f aca="false">IFERROR(Y905/X905,"")</f>
        <v/>
      </c>
      <c r="AB905" s="16" t="n">
        <v>0</v>
      </c>
      <c r="AC905" s="21"/>
    </row>
    <row r="906" customFormat="false" ht="15" hidden="false" customHeight="true" outlineLevel="0" collapsed="false">
      <c r="A906" s="15" t="s">
        <v>8737</v>
      </c>
      <c r="B906" s="15" t="s">
        <v>8738</v>
      </c>
      <c r="C906" s="15" t="s">
        <v>8739</v>
      </c>
      <c r="D906" s="15" t="s">
        <v>8740</v>
      </c>
      <c r="E906" s="15" t="s">
        <v>8741</v>
      </c>
      <c r="F906" s="15" t="s">
        <v>8742</v>
      </c>
      <c r="G906" s="15" t="s">
        <v>8743</v>
      </c>
      <c r="H906" s="15" t="s">
        <v>8744</v>
      </c>
      <c r="I906" s="15"/>
      <c r="J906" s="15" t="s">
        <v>8745</v>
      </c>
      <c r="K906" s="15" t="s">
        <v>563</v>
      </c>
      <c r="L906" s="15" t="s">
        <v>8746</v>
      </c>
      <c r="M906" s="15" t="s">
        <v>8747</v>
      </c>
      <c r="N906" s="15" t="s">
        <v>73</v>
      </c>
      <c r="O906" s="16" t="n">
        <v>0</v>
      </c>
      <c r="P906" s="16" t="n">
        <v>0</v>
      </c>
      <c r="Q906" s="16" t="n">
        <v>0</v>
      </c>
      <c r="R906" s="16" t="n">
        <v>0</v>
      </c>
      <c r="S906" s="16" t="n">
        <v>0</v>
      </c>
      <c r="T906" s="17" t="n">
        <f aca="false">AVERAGE(O906:Q906)</f>
        <v>0</v>
      </c>
      <c r="U906" s="18" t="str">
        <f aca="false">IF(T906&gt;=$H$3,"Eligible","Not Eligible")</f>
        <v>Not Eligible</v>
      </c>
      <c r="V906" s="19" t="n">
        <f aca="false">IF(T906&lt;$H$3,0,IFERROR(T906/SUMIF($T$5:$T$999,"&gt;="&amp;$H$3),0))</f>
        <v>0</v>
      </c>
      <c r="W906" s="15" t="str">
        <f aca="false">IF(T906=0,"Win-Back","Active")</f>
        <v>Win-Back</v>
      </c>
      <c r="X906" s="20" t="n">
        <f aca="false">IF(T906=0,0,IF(T906&gt;=$H$3,ROUND(T906*$D$3/SUMIF($T$5:$T$999,"&gt;="&amp;$H$3),0),ROUNDUP(T906*$D$3/SUMIF($T$5:$T$999,"&gt;="&amp;$H$3),0)))</f>
        <v>0</v>
      </c>
      <c r="Y906" s="21"/>
      <c r="Z906" s="16" t="str">
        <f aca="false">IF(X906=0,"",X906-Y906)</f>
        <v/>
      </c>
      <c r="AA906" s="22" t="str">
        <f aca="false">IFERROR(Y906/X906,"")</f>
        <v/>
      </c>
      <c r="AB906" s="16" t="n">
        <v>0</v>
      </c>
      <c r="AC906" s="21"/>
    </row>
    <row r="907" customFormat="false" ht="15" hidden="false" customHeight="true" outlineLevel="0" collapsed="false">
      <c r="A907" s="15" t="s">
        <v>8748</v>
      </c>
      <c r="B907" s="15" t="s">
        <v>8749</v>
      </c>
      <c r="C907" s="15" t="s">
        <v>8750</v>
      </c>
      <c r="D907" s="15" t="s">
        <v>8751</v>
      </c>
      <c r="E907" s="15" t="s">
        <v>8752</v>
      </c>
      <c r="F907" s="15" t="s">
        <v>8753</v>
      </c>
      <c r="G907" s="15" t="s">
        <v>8754</v>
      </c>
      <c r="H907" s="15" t="s">
        <v>8755</v>
      </c>
      <c r="I907" s="15" t="s">
        <v>4029</v>
      </c>
      <c r="J907" s="15" t="s">
        <v>2608</v>
      </c>
      <c r="K907" s="15" t="s">
        <v>70</v>
      </c>
      <c r="L907" s="15" t="s">
        <v>2609</v>
      </c>
      <c r="M907" s="15" t="s">
        <v>8756</v>
      </c>
      <c r="N907" s="15" t="s">
        <v>73</v>
      </c>
      <c r="O907" s="16" t="n">
        <v>0</v>
      </c>
      <c r="P907" s="16" t="n">
        <v>0</v>
      </c>
      <c r="Q907" s="16" t="n">
        <v>0</v>
      </c>
      <c r="R907" s="16" t="n">
        <v>0</v>
      </c>
      <c r="S907" s="16" t="n">
        <v>0</v>
      </c>
      <c r="T907" s="17" t="n">
        <f aca="false">AVERAGE(O907:Q907)</f>
        <v>0</v>
      </c>
      <c r="U907" s="18" t="str">
        <f aca="false">IF(T907&gt;=$H$3,"Eligible","Not Eligible")</f>
        <v>Not Eligible</v>
      </c>
      <c r="V907" s="19" t="n">
        <f aca="false">IF(T907&lt;$H$3,0,IFERROR(T907/SUMIF($T$5:$T$999,"&gt;="&amp;$H$3),0))</f>
        <v>0</v>
      </c>
      <c r="W907" s="15" t="str">
        <f aca="false">IF(T907=0,"Win-Back","Active")</f>
        <v>Win-Back</v>
      </c>
      <c r="X907" s="20" t="n">
        <f aca="false">IF(T907=0,0,IF(T907&gt;=$H$3,ROUND(T907*$D$3/SUMIF($T$5:$T$999,"&gt;="&amp;$H$3),0),ROUNDUP(T907*$D$3/SUMIF($T$5:$T$999,"&gt;="&amp;$H$3),0)))</f>
        <v>0</v>
      </c>
      <c r="Y907" s="21"/>
      <c r="Z907" s="16" t="str">
        <f aca="false">IF(X907=0,"",X907-Y907)</f>
        <v/>
      </c>
      <c r="AA907" s="22" t="str">
        <f aca="false">IFERROR(Y907/X907,"")</f>
        <v/>
      </c>
      <c r="AB907" s="16" t="n">
        <v>0</v>
      </c>
      <c r="AC907" s="21"/>
    </row>
    <row r="908" customFormat="false" ht="15" hidden="false" customHeight="true" outlineLevel="0" collapsed="false">
      <c r="A908" s="15" t="s">
        <v>8757</v>
      </c>
      <c r="B908" s="15" t="s">
        <v>8758</v>
      </c>
      <c r="C908" s="15" t="s">
        <v>8759</v>
      </c>
      <c r="D908" s="15" t="s">
        <v>8760</v>
      </c>
      <c r="E908" s="15" t="s">
        <v>8761</v>
      </c>
      <c r="F908" s="15" t="s">
        <v>8762</v>
      </c>
      <c r="G908" s="15" t="s">
        <v>8763</v>
      </c>
      <c r="H908" s="15" t="s">
        <v>8764</v>
      </c>
      <c r="I908" s="15" t="s">
        <v>8765</v>
      </c>
      <c r="J908" s="15" t="s">
        <v>8766</v>
      </c>
      <c r="K908" s="15" t="s">
        <v>47</v>
      </c>
      <c r="L908" s="15" t="s">
        <v>2086</v>
      </c>
      <c r="M908" s="15" t="s">
        <v>8767</v>
      </c>
      <c r="N908" s="15" t="s">
        <v>73</v>
      </c>
      <c r="O908" s="16" t="n">
        <v>0</v>
      </c>
      <c r="P908" s="16" t="n">
        <v>0</v>
      </c>
      <c r="Q908" s="16" t="n">
        <v>0</v>
      </c>
      <c r="R908" s="16" t="n">
        <v>0</v>
      </c>
      <c r="S908" s="16" t="n">
        <v>0</v>
      </c>
      <c r="T908" s="17" t="n">
        <f aca="false">AVERAGE(O908:Q908)</f>
        <v>0</v>
      </c>
      <c r="U908" s="18" t="str">
        <f aca="false">IF(T908&gt;=$H$3,"Eligible","Not Eligible")</f>
        <v>Not Eligible</v>
      </c>
      <c r="V908" s="19" t="n">
        <f aca="false">IF(T908&lt;$H$3,0,IFERROR(T908/SUMIF($T$5:$T$999,"&gt;="&amp;$H$3),0))</f>
        <v>0</v>
      </c>
      <c r="W908" s="15" t="str">
        <f aca="false">IF(T908=0,"Win-Back","Active")</f>
        <v>Win-Back</v>
      </c>
      <c r="X908" s="20" t="n">
        <f aca="false">IF(T908=0,0,IF(T908&gt;=$H$3,ROUND(T908*$D$3/SUMIF($T$5:$T$999,"&gt;="&amp;$H$3),0),ROUNDUP(T908*$D$3/SUMIF($T$5:$T$999,"&gt;="&amp;$H$3),0)))</f>
        <v>0</v>
      </c>
      <c r="Y908" s="21"/>
      <c r="Z908" s="16" t="str">
        <f aca="false">IF(X908=0,"",X908-Y908)</f>
        <v/>
      </c>
      <c r="AA908" s="22" t="str">
        <f aca="false">IFERROR(Y908/X908,"")</f>
        <v/>
      </c>
      <c r="AB908" s="16" t="n">
        <v>0</v>
      </c>
      <c r="AC908" s="21"/>
    </row>
    <row r="909" customFormat="false" ht="15" hidden="false" customHeight="true" outlineLevel="0" collapsed="false">
      <c r="A909" s="15" t="s">
        <v>8768</v>
      </c>
      <c r="B909" s="15" t="s">
        <v>8769</v>
      </c>
      <c r="C909" s="15" t="s">
        <v>8770</v>
      </c>
      <c r="D909" s="15" t="s">
        <v>8771</v>
      </c>
      <c r="E909" s="15" t="s">
        <v>8772</v>
      </c>
      <c r="F909" s="15" t="s">
        <v>8773</v>
      </c>
      <c r="G909" s="15" t="s">
        <v>8774</v>
      </c>
      <c r="H909" s="15" t="s">
        <v>8775</v>
      </c>
      <c r="I909" s="15" t="s">
        <v>8776</v>
      </c>
      <c r="J909" s="15" t="s">
        <v>5021</v>
      </c>
      <c r="K909" s="15" t="s">
        <v>70</v>
      </c>
      <c r="L909" s="15" t="s">
        <v>5022</v>
      </c>
      <c r="M909" s="15" t="s">
        <v>8777</v>
      </c>
      <c r="N909" s="15" t="s">
        <v>73</v>
      </c>
      <c r="O909" s="16" t="n">
        <v>0</v>
      </c>
      <c r="P909" s="16" t="n">
        <v>0</v>
      </c>
      <c r="Q909" s="16" t="n">
        <v>0</v>
      </c>
      <c r="R909" s="16" t="n">
        <v>0</v>
      </c>
      <c r="S909" s="16" t="n">
        <v>0</v>
      </c>
      <c r="T909" s="17" t="n">
        <f aca="false">AVERAGE(O909:Q909)</f>
        <v>0</v>
      </c>
      <c r="U909" s="18" t="str">
        <f aca="false">IF(T909&gt;=$H$3,"Eligible","Not Eligible")</f>
        <v>Not Eligible</v>
      </c>
      <c r="V909" s="19" t="n">
        <f aca="false">IF(T909&lt;$H$3,0,IFERROR(T909/SUMIF($T$5:$T$999,"&gt;="&amp;$H$3),0))</f>
        <v>0</v>
      </c>
      <c r="W909" s="15" t="str">
        <f aca="false">IF(T909=0,"Win-Back","Active")</f>
        <v>Win-Back</v>
      </c>
      <c r="X909" s="20" t="n">
        <f aca="false">IF(T909=0,0,IF(T909&gt;=$H$3,ROUND(T909*$D$3/SUMIF($T$5:$T$999,"&gt;="&amp;$H$3),0),ROUNDUP(T909*$D$3/SUMIF($T$5:$T$999,"&gt;="&amp;$H$3),0)))</f>
        <v>0</v>
      </c>
      <c r="Y909" s="21"/>
      <c r="Z909" s="16" t="str">
        <f aca="false">IF(X909=0,"",X909-Y909)</f>
        <v/>
      </c>
      <c r="AA909" s="22" t="str">
        <f aca="false">IFERROR(Y909/X909,"")</f>
        <v/>
      </c>
      <c r="AB909" s="16" t="n">
        <v>0</v>
      </c>
      <c r="AC909" s="21"/>
    </row>
    <row r="910" customFormat="false" ht="15" hidden="false" customHeight="true" outlineLevel="0" collapsed="false">
      <c r="A910" s="15" t="s">
        <v>8778</v>
      </c>
      <c r="B910" s="15" t="s">
        <v>8779</v>
      </c>
      <c r="C910" s="15" t="s">
        <v>8780</v>
      </c>
      <c r="D910" s="15" t="s">
        <v>8781</v>
      </c>
      <c r="E910" s="15" t="s">
        <v>2150</v>
      </c>
      <c r="F910" s="15" t="s">
        <v>8782</v>
      </c>
      <c r="G910" s="15" t="s">
        <v>2152</v>
      </c>
      <c r="H910" s="15" t="s">
        <v>8783</v>
      </c>
      <c r="I910" s="15" t="s">
        <v>8784</v>
      </c>
      <c r="J910" s="15" t="s">
        <v>2619</v>
      </c>
      <c r="K910" s="15" t="s">
        <v>735</v>
      </c>
      <c r="L910" s="15" t="s">
        <v>4234</v>
      </c>
      <c r="M910" s="15" t="s">
        <v>2156</v>
      </c>
      <c r="N910" s="15" t="s">
        <v>73</v>
      </c>
      <c r="O910" s="16" t="n">
        <v>0</v>
      </c>
      <c r="P910" s="16" t="n">
        <v>0</v>
      </c>
      <c r="Q910" s="16" t="n">
        <v>0</v>
      </c>
      <c r="R910" s="16" t="n">
        <v>0</v>
      </c>
      <c r="S910" s="16" t="n">
        <v>0</v>
      </c>
      <c r="T910" s="17" t="n">
        <f aca="false">AVERAGE(O910:Q910)</f>
        <v>0</v>
      </c>
      <c r="U910" s="18" t="str">
        <f aca="false">IF(T910&gt;=$H$3,"Eligible","Not Eligible")</f>
        <v>Not Eligible</v>
      </c>
      <c r="V910" s="19" t="n">
        <f aca="false">IF(T910&lt;$H$3,0,IFERROR(T910/SUMIF($T$5:$T$999,"&gt;="&amp;$H$3),0))</f>
        <v>0</v>
      </c>
      <c r="W910" s="15" t="str">
        <f aca="false">IF(T910=0,"Win-Back","Active")</f>
        <v>Win-Back</v>
      </c>
      <c r="X910" s="20" t="n">
        <f aca="false">IF(T910=0,0,IF(T910&gt;=$H$3,ROUND(T910*$D$3/SUMIF($T$5:$T$999,"&gt;="&amp;$H$3),0),ROUNDUP(T910*$D$3/SUMIF($T$5:$T$999,"&gt;="&amp;$H$3),0)))</f>
        <v>0</v>
      </c>
      <c r="Y910" s="21"/>
      <c r="Z910" s="16" t="str">
        <f aca="false">IF(X910=0,"",X910-Y910)</f>
        <v/>
      </c>
      <c r="AA910" s="22" t="str">
        <f aca="false">IFERROR(Y910/X910,"")</f>
        <v/>
      </c>
      <c r="AB910" s="16" t="n">
        <v>0</v>
      </c>
      <c r="AC910" s="21"/>
    </row>
    <row r="911" customFormat="false" ht="15" hidden="false" customHeight="true" outlineLevel="0" collapsed="false">
      <c r="A911" s="15" t="s">
        <v>8785</v>
      </c>
      <c r="B911" s="15" t="s">
        <v>8786</v>
      </c>
      <c r="C911" s="15" t="s">
        <v>8787</v>
      </c>
      <c r="D911" s="15" t="s">
        <v>8788</v>
      </c>
      <c r="E911" s="15" t="s">
        <v>8789</v>
      </c>
      <c r="F911" s="15" t="s">
        <v>8790</v>
      </c>
      <c r="G911" s="15" t="s">
        <v>8791</v>
      </c>
      <c r="H911" s="15" t="s">
        <v>8792</v>
      </c>
      <c r="I911" s="15"/>
      <c r="J911" s="15" t="s">
        <v>3568</v>
      </c>
      <c r="K911" s="15" t="s">
        <v>2839</v>
      </c>
      <c r="L911" s="15" t="s">
        <v>8793</v>
      </c>
      <c r="M911" s="15" t="s">
        <v>8794</v>
      </c>
      <c r="N911" s="15" t="s">
        <v>73</v>
      </c>
      <c r="O911" s="16" t="n">
        <v>0</v>
      </c>
      <c r="P911" s="16" t="n">
        <v>0</v>
      </c>
      <c r="Q911" s="16" t="n">
        <v>0</v>
      </c>
      <c r="R911" s="16" t="n">
        <v>0</v>
      </c>
      <c r="S911" s="16" t="n">
        <v>0</v>
      </c>
      <c r="T911" s="17" t="n">
        <f aca="false">AVERAGE(O911:Q911)</f>
        <v>0</v>
      </c>
      <c r="U911" s="18" t="str">
        <f aca="false">IF(T911&gt;=$H$3,"Eligible","Not Eligible")</f>
        <v>Not Eligible</v>
      </c>
      <c r="V911" s="19" t="n">
        <f aca="false">IF(T911&lt;$H$3,0,IFERROR(T911/SUMIF($T$5:$T$999,"&gt;="&amp;$H$3),0))</f>
        <v>0</v>
      </c>
      <c r="W911" s="15" t="str">
        <f aca="false">IF(T911=0,"Win-Back","Active")</f>
        <v>Win-Back</v>
      </c>
      <c r="X911" s="20" t="n">
        <f aca="false">IF(T911=0,0,IF(T911&gt;=$H$3,ROUND(T911*$D$3/SUMIF($T$5:$T$999,"&gt;="&amp;$H$3),0),ROUNDUP(T911*$D$3/SUMIF($T$5:$T$999,"&gt;="&amp;$H$3),0)))</f>
        <v>0</v>
      </c>
      <c r="Y911" s="21"/>
      <c r="Z911" s="16" t="str">
        <f aca="false">IF(X911=0,"",X911-Y911)</f>
        <v/>
      </c>
      <c r="AA911" s="22" t="str">
        <f aca="false">IFERROR(Y911/X911,"")</f>
        <v/>
      </c>
      <c r="AB911" s="16" t="n">
        <v>0</v>
      </c>
      <c r="AC911" s="21"/>
    </row>
    <row r="912" customFormat="false" ht="15" hidden="false" customHeight="true" outlineLevel="0" collapsed="false">
      <c r="A912" s="15" t="s">
        <v>8795</v>
      </c>
      <c r="B912" s="15" t="s">
        <v>8796</v>
      </c>
      <c r="C912" s="15" t="s">
        <v>8797</v>
      </c>
      <c r="D912" s="15" t="s">
        <v>8798</v>
      </c>
      <c r="E912" s="15" t="s">
        <v>7936</v>
      </c>
      <c r="F912" s="15" t="s">
        <v>8799</v>
      </c>
      <c r="G912" s="15" t="s">
        <v>8800</v>
      </c>
      <c r="H912" s="15" t="s">
        <v>8801</v>
      </c>
      <c r="I912" s="15" t="s">
        <v>2740</v>
      </c>
      <c r="J912" s="15" t="s">
        <v>8802</v>
      </c>
      <c r="K912" s="15" t="s">
        <v>615</v>
      </c>
      <c r="L912" s="15" t="s">
        <v>8803</v>
      </c>
      <c r="M912" s="15" t="s">
        <v>8804</v>
      </c>
      <c r="N912" s="15" t="s">
        <v>73</v>
      </c>
      <c r="O912" s="16" t="n">
        <v>0</v>
      </c>
      <c r="P912" s="16" t="n">
        <v>0</v>
      </c>
      <c r="Q912" s="16" t="n">
        <v>0</v>
      </c>
      <c r="R912" s="16" t="n">
        <v>0</v>
      </c>
      <c r="S912" s="16" t="n">
        <v>0</v>
      </c>
      <c r="T912" s="17" t="n">
        <f aca="false">AVERAGE(O912:Q912)</f>
        <v>0</v>
      </c>
      <c r="U912" s="18" t="str">
        <f aca="false">IF(T912&gt;=$H$3,"Eligible","Not Eligible")</f>
        <v>Not Eligible</v>
      </c>
      <c r="V912" s="19" t="n">
        <f aca="false">IF(T912&lt;$H$3,0,IFERROR(T912/SUMIF($T$5:$T$999,"&gt;="&amp;$H$3),0))</f>
        <v>0</v>
      </c>
      <c r="W912" s="15" t="str">
        <f aca="false">IF(T912=0,"Win-Back","Active")</f>
        <v>Win-Back</v>
      </c>
      <c r="X912" s="20" t="n">
        <f aca="false">IF(T912=0,0,IF(T912&gt;=$H$3,ROUND(T912*$D$3/SUMIF($T$5:$T$999,"&gt;="&amp;$H$3),0),ROUNDUP(T912*$D$3/SUMIF($T$5:$T$999,"&gt;="&amp;$H$3),0)))</f>
        <v>0</v>
      </c>
      <c r="Y912" s="21" t="n">
        <v>1</v>
      </c>
      <c r="Z912" s="16" t="str">
        <f aca="false">IF(X912=0,"",X912-Y912)</f>
        <v/>
      </c>
      <c r="AA912" s="22" t="str">
        <f aca="false">IFERROR(Y912/X912,"")</f>
        <v/>
      </c>
      <c r="AB912" s="16" t="n">
        <v>0</v>
      </c>
      <c r="AC912" s="21"/>
    </row>
    <row r="913" customFormat="false" ht="15" hidden="false" customHeight="true" outlineLevel="0" collapsed="false">
      <c r="A913" s="15" t="s">
        <v>8805</v>
      </c>
      <c r="B913" s="15" t="s">
        <v>8806</v>
      </c>
      <c r="C913" s="15" t="s">
        <v>8807</v>
      </c>
      <c r="D913" s="15" t="s">
        <v>8808</v>
      </c>
      <c r="E913" s="15" t="s">
        <v>8809</v>
      </c>
      <c r="F913" s="15" t="s">
        <v>8810</v>
      </c>
      <c r="G913" s="15" t="s">
        <v>8811</v>
      </c>
      <c r="H913" s="15" t="s">
        <v>8812</v>
      </c>
      <c r="I913" s="15"/>
      <c r="J913" s="15" t="s">
        <v>1932</v>
      </c>
      <c r="K913" s="15" t="s">
        <v>47</v>
      </c>
      <c r="L913" s="15" t="s">
        <v>8813</v>
      </c>
      <c r="M913" s="15" t="s">
        <v>8814</v>
      </c>
      <c r="N913" s="15" t="s">
        <v>73</v>
      </c>
      <c r="O913" s="16" t="n">
        <v>0</v>
      </c>
      <c r="P913" s="16" t="n">
        <v>0</v>
      </c>
      <c r="Q913" s="16" t="n">
        <v>0</v>
      </c>
      <c r="R913" s="16" t="n">
        <v>0</v>
      </c>
      <c r="S913" s="16" t="n">
        <v>0</v>
      </c>
      <c r="T913" s="17" t="n">
        <f aca="false">AVERAGE(O913:Q913)</f>
        <v>0</v>
      </c>
      <c r="U913" s="18" t="str">
        <f aca="false">IF(T913&gt;=$H$3,"Eligible","Not Eligible")</f>
        <v>Not Eligible</v>
      </c>
      <c r="V913" s="19" t="n">
        <f aca="false">IF(T913&lt;$H$3,0,IFERROR(T913/SUMIF($T$5:$T$999,"&gt;="&amp;$H$3),0))</f>
        <v>0</v>
      </c>
      <c r="W913" s="15" t="str">
        <f aca="false">IF(T913=0,"Win-Back","Active")</f>
        <v>Win-Back</v>
      </c>
      <c r="X913" s="20" t="n">
        <f aca="false">IF(T913=0,0,IF(T913&gt;=$H$3,ROUND(T913*$D$3/SUMIF($T$5:$T$999,"&gt;="&amp;$H$3),0),ROUNDUP(T913*$D$3/SUMIF($T$5:$T$999,"&gt;="&amp;$H$3),0)))</f>
        <v>0</v>
      </c>
      <c r="Y913" s="21"/>
      <c r="Z913" s="16" t="str">
        <f aca="false">IF(X913=0,"",X913-Y913)</f>
        <v/>
      </c>
      <c r="AA913" s="22" t="str">
        <f aca="false">IFERROR(Y913/X913,"")</f>
        <v/>
      </c>
      <c r="AB913" s="16" t="n">
        <v>0</v>
      </c>
      <c r="AC913" s="21"/>
    </row>
    <row r="914" customFormat="false" ht="15" hidden="false" customHeight="true" outlineLevel="0" collapsed="false">
      <c r="A914" s="15" t="s">
        <v>8815</v>
      </c>
      <c r="B914" s="15" t="s">
        <v>8816</v>
      </c>
      <c r="C914" s="15" t="s">
        <v>8817</v>
      </c>
      <c r="D914" s="15" t="s">
        <v>8818</v>
      </c>
      <c r="E914" s="15" t="s">
        <v>8819</v>
      </c>
      <c r="F914" s="15" t="s">
        <v>8820</v>
      </c>
      <c r="G914" s="15" t="s">
        <v>8821</v>
      </c>
      <c r="H914" s="15" t="s">
        <v>8822</v>
      </c>
      <c r="I914" s="15" t="s">
        <v>8823</v>
      </c>
      <c r="J914" s="15" t="s">
        <v>4408</v>
      </c>
      <c r="K914" s="15" t="s">
        <v>1200</v>
      </c>
      <c r="L914" s="15" t="s">
        <v>4409</v>
      </c>
      <c r="M914" s="15" t="s">
        <v>8824</v>
      </c>
      <c r="N914" s="15" t="s">
        <v>73</v>
      </c>
      <c r="O914" s="16" t="n">
        <v>0</v>
      </c>
      <c r="P914" s="16" t="n">
        <v>0</v>
      </c>
      <c r="Q914" s="16" t="n">
        <v>0</v>
      </c>
      <c r="R914" s="16" t="n">
        <v>0</v>
      </c>
      <c r="S914" s="16" t="n">
        <v>0</v>
      </c>
      <c r="T914" s="17" t="n">
        <f aca="false">AVERAGE(O914:Q914)</f>
        <v>0</v>
      </c>
      <c r="U914" s="18" t="str">
        <f aca="false">IF(T914&gt;=$H$3,"Eligible","Not Eligible")</f>
        <v>Not Eligible</v>
      </c>
      <c r="V914" s="19" t="n">
        <f aca="false">IF(T914&lt;$H$3,0,IFERROR(T914/SUMIF($T$5:$T$999,"&gt;="&amp;$H$3),0))</f>
        <v>0</v>
      </c>
      <c r="W914" s="15" t="str">
        <f aca="false">IF(T914=0,"Win-Back","Active")</f>
        <v>Win-Back</v>
      </c>
      <c r="X914" s="20" t="n">
        <f aca="false">IF(T914=0,0,IF(T914&gt;=$H$3,ROUND(T914*$D$3/SUMIF($T$5:$T$999,"&gt;="&amp;$H$3),0),ROUNDUP(T914*$D$3/SUMIF($T$5:$T$999,"&gt;="&amp;$H$3),0)))</f>
        <v>0</v>
      </c>
      <c r="Y914" s="21"/>
      <c r="Z914" s="16" t="str">
        <f aca="false">IF(X914=0,"",X914-Y914)</f>
        <v/>
      </c>
      <c r="AA914" s="22" t="str">
        <f aca="false">IFERROR(Y914/X914,"")</f>
        <v/>
      </c>
      <c r="AB914" s="16" t="n">
        <v>0</v>
      </c>
      <c r="AC914" s="21"/>
    </row>
    <row r="915" customFormat="false" ht="15" hidden="false" customHeight="true" outlineLevel="0" collapsed="false">
      <c r="A915" s="15" t="s">
        <v>8825</v>
      </c>
      <c r="B915" s="15" t="s">
        <v>8826</v>
      </c>
      <c r="C915" s="15" t="s">
        <v>8827</v>
      </c>
      <c r="D915" s="15" t="s">
        <v>8828</v>
      </c>
      <c r="E915" s="15" t="s">
        <v>8829</v>
      </c>
      <c r="F915" s="15" t="s">
        <v>8830</v>
      </c>
      <c r="G915" s="15" t="s">
        <v>8831</v>
      </c>
      <c r="H915" s="15" t="s">
        <v>8832</v>
      </c>
      <c r="I915" s="15" t="s">
        <v>8833</v>
      </c>
      <c r="J915" s="15" t="s">
        <v>367</v>
      </c>
      <c r="K915" s="15" t="s">
        <v>368</v>
      </c>
      <c r="L915" s="15" t="s">
        <v>4399</v>
      </c>
      <c r="M915" s="15" t="s">
        <v>8834</v>
      </c>
      <c r="N915" s="15" t="s">
        <v>73</v>
      </c>
      <c r="O915" s="16" t="n">
        <v>0</v>
      </c>
      <c r="P915" s="16" t="n">
        <v>0</v>
      </c>
      <c r="Q915" s="16" t="n">
        <v>0</v>
      </c>
      <c r="R915" s="16" t="n">
        <v>0</v>
      </c>
      <c r="S915" s="16" t="n">
        <v>0</v>
      </c>
      <c r="T915" s="17" t="n">
        <f aca="false">AVERAGE(O915:Q915)</f>
        <v>0</v>
      </c>
      <c r="U915" s="18" t="str">
        <f aca="false">IF(T915&gt;=$H$3,"Eligible","Not Eligible")</f>
        <v>Not Eligible</v>
      </c>
      <c r="V915" s="19" t="n">
        <f aca="false">IF(T915&lt;$H$3,0,IFERROR(T915/SUMIF($T$5:$T$999,"&gt;="&amp;$H$3),0))</f>
        <v>0</v>
      </c>
      <c r="W915" s="15" t="str">
        <f aca="false">IF(T915=0,"Win-Back","Active")</f>
        <v>Win-Back</v>
      </c>
      <c r="X915" s="20" t="n">
        <f aca="false">IF(T915=0,0,IF(T915&gt;=$H$3,ROUND(T915*$D$3/SUMIF($T$5:$T$999,"&gt;="&amp;$H$3),0),ROUNDUP(T915*$D$3/SUMIF($T$5:$T$999,"&gt;="&amp;$H$3),0)))</f>
        <v>0</v>
      </c>
      <c r="Y915" s="21"/>
      <c r="Z915" s="16" t="str">
        <f aca="false">IF(X915=0,"",X915-Y915)</f>
        <v/>
      </c>
      <c r="AA915" s="22" t="str">
        <f aca="false">IFERROR(Y915/X915,"")</f>
        <v/>
      </c>
      <c r="AB915" s="16" t="n">
        <v>0</v>
      </c>
      <c r="AC915" s="21"/>
    </row>
    <row r="916" customFormat="false" ht="15" hidden="false" customHeight="true" outlineLevel="0" collapsed="false">
      <c r="A916" s="15" t="s">
        <v>8835</v>
      </c>
      <c r="B916" s="15" t="s">
        <v>8836</v>
      </c>
      <c r="C916" s="15" t="s">
        <v>8837</v>
      </c>
      <c r="D916" s="15" t="s">
        <v>8838</v>
      </c>
      <c r="E916" s="15" t="s">
        <v>8839</v>
      </c>
      <c r="F916" s="15" t="s">
        <v>8840</v>
      </c>
      <c r="G916" s="15" t="s">
        <v>8841</v>
      </c>
      <c r="H916" s="15" t="s">
        <v>8842</v>
      </c>
      <c r="I916" s="15" t="s">
        <v>8843</v>
      </c>
      <c r="J916" s="15" t="s">
        <v>367</v>
      </c>
      <c r="K916" s="15" t="s">
        <v>368</v>
      </c>
      <c r="L916" s="15" t="s">
        <v>4399</v>
      </c>
      <c r="M916" s="15" t="s">
        <v>8844</v>
      </c>
      <c r="N916" s="15" t="s">
        <v>73</v>
      </c>
      <c r="O916" s="16" t="n">
        <v>0</v>
      </c>
      <c r="P916" s="16" t="n">
        <v>0</v>
      </c>
      <c r="Q916" s="16" t="n">
        <v>0</v>
      </c>
      <c r="R916" s="16" t="n">
        <v>0</v>
      </c>
      <c r="S916" s="16" t="n">
        <v>0</v>
      </c>
      <c r="T916" s="17" t="n">
        <f aca="false">AVERAGE(O916:Q916)</f>
        <v>0</v>
      </c>
      <c r="U916" s="18" t="str">
        <f aca="false">IF(T916&gt;=$H$3,"Eligible","Not Eligible")</f>
        <v>Not Eligible</v>
      </c>
      <c r="V916" s="19" t="n">
        <f aca="false">IF(T916&lt;$H$3,0,IFERROR(T916/SUMIF($T$5:$T$999,"&gt;="&amp;$H$3),0))</f>
        <v>0</v>
      </c>
      <c r="W916" s="15" t="str">
        <f aca="false">IF(T916=0,"Win-Back","Active")</f>
        <v>Win-Back</v>
      </c>
      <c r="X916" s="20" t="n">
        <f aca="false">IF(T916=0,0,IF(T916&gt;=$H$3,ROUND(T916*$D$3/SUMIF($T$5:$T$999,"&gt;="&amp;$H$3),0),ROUNDUP(T916*$D$3/SUMIF($T$5:$T$999,"&gt;="&amp;$H$3),0)))</f>
        <v>0</v>
      </c>
      <c r="Y916" s="21" t="n">
        <v>1</v>
      </c>
      <c r="Z916" s="16" t="str">
        <f aca="false">IF(X916=0,"",X916-Y916)</f>
        <v/>
      </c>
      <c r="AA916" s="22" t="str">
        <f aca="false">IFERROR(Y916/X916,"")</f>
        <v/>
      </c>
      <c r="AB916" s="16" t="n">
        <v>0</v>
      </c>
      <c r="AC916" s="21"/>
    </row>
    <row r="917" customFormat="false" ht="15" hidden="false" customHeight="true" outlineLevel="0" collapsed="false">
      <c r="A917" s="15" t="s">
        <v>8845</v>
      </c>
      <c r="B917" s="15" t="s">
        <v>8846</v>
      </c>
      <c r="C917" s="15" t="s">
        <v>8847</v>
      </c>
      <c r="D917" s="15" t="s">
        <v>8848</v>
      </c>
      <c r="E917" s="15" t="s">
        <v>8849</v>
      </c>
      <c r="F917" s="15" t="s">
        <v>8850</v>
      </c>
      <c r="G917" s="15" t="s">
        <v>8851</v>
      </c>
      <c r="H917" s="15" t="s">
        <v>8852</v>
      </c>
      <c r="I917" s="15"/>
      <c r="J917" s="15" t="s">
        <v>7737</v>
      </c>
      <c r="K917" s="15" t="s">
        <v>864</v>
      </c>
      <c r="L917" s="15" t="s">
        <v>4141</v>
      </c>
      <c r="M917" s="15" t="s">
        <v>8853</v>
      </c>
      <c r="N917" s="15" t="s">
        <v>73</v>
      </c>
      <c r="O917" s="16" t="n">
        <v>0</v>
      </c>
      <c r="P917" s="16" t="n">
        <v>0</v>
      </c>
      <c r="Q917" s="16" t="n">
        <v>0</v>
      </c>
      <c r="R917" s="16" t="n">
        <v>0</v>
      </c>
      <c r="S917" s="16" t="n">
        <v>0</v>
      </c>
      <c r="T917" s="17" t="n">
        <f aca="false">AVERAGE(O917:Q917)</f>
        <v>0</v>
      </c>
      <c r="U917" s="18" t="str">
        <f aca="false">IF(T917&gt;=$H$3,"Eligible","Not Eligible")</f>
        <v>Not Eligible</v>
      </c>
      <c r="V917" s="19" t="n">
        <f aca="false">IF(T917&lt;$H$3,0,IFERROR(T917/SUMIF($T$5:$T$999,"&gt;="&amp;$H$3),0))</f>
        <v>0</v>
      </c>
      <c r="W917" s="15" t="str">
        <f aca="false">IF(T917=0,"Win-Back","Active")</f>
        <v>Win-Back</v>
      </c>
      <c r="X917" s="20" t="n">
        <f aca="false">IF(T917=0,0,IF(T917&gt;=$H$3,ROUND(T917*$D$3/SUMIF($T$5:$T$999,"&gt;="&amp;$H$3),0),ROUNDUP(T917*$D$3/SUMIF($T$5:$T$999,"&gt;="&amp;$H$3),0)))</f>
        <v>0</v>
      </c>
      <c r="Y917" s="21"/>
      <c r="Z917" s="16" t="str">
        <f aca="false">IF(X917=0,"",X917-Y917)</f>
        <v/>
      </c>
      <c r="AA917" s="22" t="str">
        <f aca="false">IFERROR(Y917/X917,"")</f>
        <v/>
      </c>
      <c r="AB917" s="16" t="n">
        <v>0</v>
      </c>
      <c r="AC917" s="21"/>
    </row>
    <row r="918" customFormat="false" ht="15" hidden="false" customHeight="true" outlineLevel="0" collapsed="false">
      <c r="A918" s="15" t="s">
        <v>8854</v>
      </c>
      <c r="B918" s="15" t="s">
        <v>8855</v>
      </c>
      <c r="C918" s="15" t="s">
        <v>8856</v>
      </c>
      <c r="D918" s="15" t="s">
        <v>8857</v>
      </c>
      <c r="E918" s="15" t="s">
        <v>8858</v>
      </c>
      <c r="F918" s="15" t="s">
        <v>8859</v>
      </c>
      <c r="G918" s="15" t="s">
        <v>8860</v>
      </c>
      <c r="H918" s="15" t="s">
        <v>8861</v>
      </c>
      <c r="I918" s="15" t="s">
        <v>8862</v>
      </c>
      <c r="J918" s="15" t="s">
        <v>8863</v>
      </c>
      <c r="K918" s="15" t="s">
        <v>368</v>
      </c>
      <c r="L918" s="15" t="s">
        <v>8864</v>
      </c>
      <c r="M918" s="15" t="s">
        <v>8865</v>
      </c>
      <c r="N918" s="15" t="s">
        <v>73</v>
      </c>
      <c r="O918" s="16" t="n">
        <v>0</v>
      </c>
      <c r="P918" s="16" t="n">
        <v>0</v>
      </c>
      <c r="Q918" s="16" t="n">
        <v>0</v>
      </c>
      <c r="R918" s="16" t="n">
        <v>0</v>
      </c>
      <c r="S918" s="16" t="n">
        <v>0</v>
      </c>
      <c r="T918" s="17" t="n">
        <f aca="false">AVERAGE(O918:Q918)</f>
        <v>0</v>
      </c>
      <c r="U918" s="18" t="str">
        <f aca="false">IF(T918&gt;=$H$3,"Eligible","Not Eligible")</f>
        <v>Not Eligible</v>
      </c>
      <c r="V918" s="19" t="n">
        <f aca="false">IF(T918&lt;$H$3,0,IFERROR(T918/SUMIF($T$5:$T$999,"&gt;="&amp;$H$3),0))</f>
        <v>0</v>
      </c>
      <c r="W918" s="15" t="str">
        <f aca="false">IF(T918=0,"Win-Back","Active")</f>
        <v>Win-Back</v>
      </c>
      <c r="X918" s="20" t="n">
        <f aca="false">IF(T918=0,0,IF(T918&gt;=$H$3,ROUND(T918*$D$3/SUMIF($T$5:$T$999,"&gt;="&amp;$H$3),0),ROUNDUP(T918*$D$3/SUMIF($T$5:$T$999,"&gt;="&amp;$H$3),0)))</f>
        <v>0</v>
      </c>
      <c r="Y918" s="21"/>
      <c r="Z918" s="16" t="str">
        <f aca="false">IF(X918=0,"",X918-Y918)</f>
        <v/>
      </c>
      <c r="AA918" s="22" t="str">
        <f aca="false">IFERROR(Y918/X918,"")</f>
        <v/>
      </c>
      <c r="AB918" s="16" t="n">
        <v>0</v>
      </c>
      <c r="AC918" s="21"/>
    </row>
    <row r="919" customFormat="false" ht="15" hidden="false" customHeight="true" outlineLevel="0" collapsed="false">
      <c r="A919" s="15" t="s">
        <v>8866</v>
      </c>
      <c r="B919" s="15" t="s">
        <v>8867</v>
      </c>
      <c r="C919" s="15" t="s">
        <v>8868</v>
      </c>
      <c r="D919" s="15" t="s">
        <v>8869</v>
      </c>
      <c r="E919" s="15" t="s">
        <v>8870</v>
      </c>
      <c r="F919" s="15" t="s">
        <v>8871</v>
      </c>
      <c r="G919" s="15" t="s">
        <v>8872</v>
      </c>
      <c r="H919" s="15" t="s">
        <v>8873</v>
      </c>
      <c r="I919" s="15"/>
      <c r="J919" s="15" t="s">
        <v>8874</v>
      </c>
      <c r="K919" s="15" t="s">
        <v>1200</v>
      </c>
      <c r="L919" s="15" t="s">
        <v>8875</v>
      </c>
      <c r="M919" s="15" t="s">
        <v>8876</v>
      </c>
      <c r="N919" s="15" t="s">
        <v>73</v>
      </c>
      <c r="O919" s="16" t="n">
        <v>0</v>
      </c>
      <c r="P919" s="16" t="n">
        <v>0</v>
      </c>
      <c r="Q919" s="16" t="n">
        <v>0</v>
      </c>
      <c r="R919" s="16" t="n">
        <v>0</v>
      </c>
      <c r="S919" s="16" t="n">
        <v>0</v>
      </c>
      <c r="T919" s="17" t="n">
        <f aca="false">AVERAGE(O919:Q919)</f>
        <v>0</v>
      </c>
      <c r="U919" s="18" t="str">
        <f aca="false">IF(T919&gt;=$H$3,"Eligible","Not Eligible")</f>
        <v>Not Eligible</v>
      </c>
      <c r="V919" s="19" t="n">
        <f aca="false">IF(T919&lt;$H$3,0,IFERROR(T919/SUMIF($T$5:$T$999,"&gt;="&amp;$H$3),0))</f>
        <v>0</v>
      </c>
      <c r="W919" s="15" t="str">
        <f aca="false">IF(T919=0,"Win-Back","Active")</f>
        <v>Win-Back</v>
      </c>
      <c r="X919" s="20" t="n">
        <f aca="false">IF(T919=0,0,IF(T919&gt;=$H$3,ROUND(T919*$D$3/SUMIF($T$5:$T$999,"&gt;="&amp;$H$3),0),ROUNDUP(T919*$D$3/SUMIF($T$5:$T$999,"&gt;="&amp;$H$3),0)))</f>
        <v>0</v>
      </c>
      <c r="Y919" s="21"/>
      <c r="Z919" s="16" t="str">
        <f aca="false">IF(X919=0,"",X919-Y919)</f>
        <v/>
      </c>
      <c r="AA919" s="22" t="str">
        <f aca="false">IFERROR(Y919/X919,"")</f>
        <v/>
      </c>
      <c r="AB919" s="16" t="n">
        <v>0</v>
      </c>
      <c r="AC919" s="21"/>
    </row>
    <row r="920" customFormat="false" ht="15" hidden="false" customHeight="true" outlineLevel="0" collapsed="false">
      <c r="A920" s="15" t="s">
        <v>8877</v>
      </c>
      <c r="B920" s="15" t="s">
        <v>8878</v>
      </c>
      <c r="C920" s="15" t="s">
        <v>8879</v>
      </c>
      <c r="D920" s="15" t="s">
        <v>8880</v>
      </c>
      <c r="E920" s="15" t="s">
        <v>8881</v>
      </c>
      <c r="F920" s="15" t="s">
        <v>8882</v>
      </c>
      <c r="G920" s="15" t="s">
        <v>8883</v>
      </c>
      <c r="H920" s="15" t="s">
        <v>8884</v>
      </c>
      <c r="I920" s="15" t="s">
        <v>8885</v>
      </c>
      <c r="J920" s="15" t="s">
        <v>4063</v>
      </c>
      <c r="K920" s="15" t="s">
        <v>1418</v>
      </c>
      <c r="L920" s="15" t="s">
        <v>8886</v>
      </c>
      <c r="M920" s="15" t="s">
        <v>8887</v>
      </c>
      <c r="N920" s="15" t="s">
        <v>73</v>
      </c>
      <c r="O920" s="16" t="n">
        <v>0</v>
      </c>
      <c r="P920" s="16" t="n">
        <v>0</v>
      </c>
      <c r="Q920" s="16" t="n">
        <v>0</v>
      </c>
      <c r="R920" s="16" t="n">
        <v>0</v>
      </c>
      <c r="S920" s="16" t="n">
        <v>0</v>
      </c>
      <c r="T920" s="17" t="n">
        <f aca="false">AVERAGE(O920:Q920)</f>
        <v>0</v>
      </c>
      <c r="U920" s="18" t="str">
        <f aca="false">IF(T920&gt;=$H$3,"Eligible","Not Eligible")</f>
        <v>Not Eligible</v>
      </c>
      <c r="V920" s="19" t="n">
        <f aca="false">IF(T920&lt;$H$3,0,IFERROR(T920/SUMIF($T$5:$T$999,"&gt;="&amp;$H$3),0))</f>
        <v>0</v>
      </c>
      <c r="W920" s="15" t="str">
        <f aca="false">IF(T920=0,"Win-Back","Active")</f>
        <v>Win-Back</v>
      </c>
      <c r="X920" s="20" t="n">
        <f aca="false">IF(T920=0,0,IF(T920&gt;=$H$3,ROUND(T920*$D$3/SUMIF($T$5:$T$999,"&gt;="&amp;$H$3),0),ROUNDUP(T920*$D$3/SUMIF($T$5:$T$999,"&gt;="&amp;$H$3),0)))</f>
        <v>0</v>
      </c>
      <c r="Y920" s="21"/>
      <c r="Z920" s="16" t="str">
        <f aca="false">IF(X920=0,"",X920-Y920)</f>
        <v/>
      </c>
      <c r="AA920" s="22" t="str">
        <f aca="false">IFERROR(Y920/X920,"")</f>
        <v/>
      </c>
      <c r="AB920" s="16" t="n">
        <v>0</v>
      </c>
      <c r="AC920" s="21"/>
    </row>
    <row r="921" customFormat="false" ht="15" hidden="false" customHeight="true" outlineLevel="0" collapsed="false">
      <c r="A921" s="15" t="s">
        <v>8888</v>
      </c>
      <c r="B921" s="15" t="s">
        <v>8889</v>
      </c>
      <c r="C921" s="15" t="s">
        <v>8890</v>
      </c>
      <c r="D921" s="15" t="s">
        <v>8891</v>
      </c>
      <c r="E921" s="15" t="s">
        <v>8892</v>
      </c>
      <c r="F921" s="15" t="s">
        <v>8893</v>
      </c>
      <c r="G921" s="15" t="s">
        <v>8894</v>
      </c>
      <c r="H921" s="15" t="s">
        <v>8895</v>
      </c>
      <c r="I921" s="15"/>
      <c r="J921" s="15" t="s">
        <v>3419</v>
      </c>
      <c r="K921" s="15" t="s">
        <v>368</v>
      </c>
      <c r="L921" s="15" t="s">
        <v>1118</v>
      </c>
      <c r="M921" s="15" t="s">
        <v>8896</v>
      </c>
      <c r="N921" s="15" t="s">
        <v>73</v>
      </c>
      <c r="O921" s="16" t="n">
        <v>0</v>
      </c>
      <c r="P921" s="16" t="n">
        <v>0</v>
      </c>
      <c r="Q921" s="16" t="n">
        <v>0</v>
      </c>
      <c r="R921" s="16" t="n">
        <v>0</v>
      </c>
      <c r="S921" s="16" t="n">
        <v>0</v>
      </c>
      <c r="T921" s="17" t="n">
        <f aca="false">AVERAGE(O921:Q921)</f>
        <v>0</v>
      </c>
      <c r="U921" s="18" t="str">
        <f aca="false">IF(T921&gt;=$H$3,"Eligible","Not Eligible")</f>
        <v>Not Eligible</v>
      </c>
      <c r="V921" s="19" t="n">
        <f aca="false">IF(T921&lt;$H$3,0,IFERROR(T921/SUMIF($T$5:$T$999,"&gt;="&amp;$H$3),0))</f>
        <v>0</v>
      </c>
      <c r="W921" s="15" t="str">
        <f aca="false">IF(T921=0,"Win-Back","Active")</f>
        <v>Win-Back</v>
      </c>
      <c r="X921" s="20" t="n">
        <f aca="false">IF(T921=0,0,IF(T921&gt;=$H$3,ROUND(T921*$D$3/SUMIF($T$5:$T$999,"&gt;="&amp;$H$3),0),ROUNDUP(T921*$D$3/SUMIF($T$5:$T$999,"&gt;="&amp;$H$3),0)))</f>
        <v>0</v>
      </c>
      <c r="Y921" s="21"/>
      <c r="Z921" s="16" t="str">
        <f aca="false">IF(X921=0,"",X921-Y921)</f>
        <v/>
      </c>
      <c r="AA921" s="22" t="str">
        <f aca="false">IFERROR(Y921/X921,"")</f>
        <v/>
      </c>
      <c r="AB921" s="16" t="n">
        <v>0</v>
      </c>
      <c r="AC921" s="21"/>
    </row>
    <row r="922" customFormat="false" ht="15" hidden="false" customHeight="true" outlineLevel="0" collapsed="false">
      <c r="A922" s="15" t="s">
        <v>8897</v>
      </c>
      <c r="B922" s="15" t="s">
        <v>8898</v>
      </c>
      <c r="C922" s="15" t="s">
        <v>8899</v>
      </c>
      <c r="D922" s="15" t="s">
        <v>8900</v>
      </c>
      <c r="E922" s="15" t="s">
        <v>8901</v>
      </c>
      <c r="F922" s="15" t="s">
        <v>8902</v>
      </c>
      <c r="G922" s="15" t="s">
        <v>8903</v>
      </c>
      <c r="H922" s="15" t="s">
        <v>8904</v>
      </c>
      <c r="I922" s="15"/>
      <c r="J922" s="15" t="s">
        <v>8905</v>
      </c>
      <c r="K922" s="15" t="s">
        <v>70</v>
      </c>
      <c r="L922" s="15" t="s">
        <v>8906</v>
      </c>
      <c r="M922" s="15" t="s">
        <v>8907</v>
      </c>
      <c r="N922" s="15" t="s">
        <v>73</v>
      </c>
      <c r="O922" s="16" t="n">
        <v>0</v>
      </c>
      <c r="P922" s="16" t="n">
        <v>0</v>
      </c>
      <c r="Q922" s="16" t="n">
        <v>0</v>
      </c>
      <c r="R922" s="16" t="n">
        <v>0</v>
      </c>
      <c r="S922" s="16" t="n">
        <v>0</v>
      </c>
      <c r="T922" s="17" t="n">
        <f aca="false">AVERAGE(O922:Q922)</f>
        <v>0</v>
      </c>
      <c r="U922" s="18" t="str">
        <f aca="false">IF(T922&gt;=$H$3,"Eligible","Not Eligible")</f>
        <v>Not Eligible</v>
      </c>
      <c r="V922" s="19" t="n">
        <f aca="false">IF(T922&lt;$H$3,0,IFERROR(T922/SUMIF($T$5:$T$999,"&gt;="&amp;$H$3),0))</f>
        <v>0</v>
      </c>
      <c r="W922" s="15" t="str">
        <f aca="false">IF(T922=0,"Win-Back","Active")</f>
        <v>Win-Back</v>
      </c>
      <c r="X922" s="20" t="n">
        <f aca="false">IF(T922=0,0,IF(T922&gt;=$H$3,ROUND(T922*$D$3/SUMIF($T$5:$T$999,"&gt;="&amp;$H$3),0),ROUNDUP(T922*$D$3/SUMIF($T$5:$T$999,"&gt;="&amp;$H$3),0)))</f>
        <v>0</v>
      </c>
      <c r="Y922" s="21"/>
      <c r="Z922" s="16" t="str">
        <f aca="false">IF(X922=0,"",X922-Y922)</f>
        <v/>
      </c>
      <c r="AA922" s="22" t="str">
        <f aca="false">IFERROR(Y922/X922,"")</f>
        <v/>
      </c>
      <c r="AB922" s="16" t="n">
        <v>0</v>
      </c>
      <c r="AC922" s="21"/>
    </row>
    <row r="923" customFormat="false" ht="15" hidden="false" customHeight="true" outlineLevel="0" collapsed="false">
      <c r="A923" s="15" t="s">
        <v>8908</v>
      </c>
      <c r="B923" s="15" t="s">
        <v>8909</v>
      </c>
      <c r="C923" s="15" t="s">
        <v>8910</v>
      </c>
      <c r="D923" s="15" t="s">
        <v>8911</v>
      </c>
      <c r="E923" s="15" t="s">
        <v>8912</v>
      </c>
      <c r="F923" s="15" t="s">
        <v>5541</v>
      </c>
      <c r="G923" s="15" t="s">
        <v>8913</v>
      </c>
      <c r="H923" s="15" t="s">
        <v>8914</v>
      </c>
      <c r="I923" s="15" t="s">
        <v>1782</v>
      </c>
      <c r="J923" s="15" t="s">
        <v>8915</v>
      </c>
      <c r="K923" s="15" t="s">
        <v>70</v>
      </c>
      <c r="L923" s="15" t="s">
        <v>8916</v>
      </c>
      <c r="M923" s="15" t="s">
        <v>8917</v>
      </c>
      <c r="N923" s="15" t="s">
        <v>73</v>
      </c>
      <c r="O923" s="16" t="n">
        <v>0</v>
      </c>
      <c r="P923" s="16" t="n">
        <v>0</v>
      </c>
      <c r="Q923" s="16" t="n">
        <v>0</v>
      </c>
      <c r="R923" s="16" t="n">
        <v>0</v>
      </c>
      <c r="S923" s="16" t="n">
        <v>0</v>
      </c>
      <c r="T923" s="17" t="n">
        <f aca="false">AVERAGE(O923:Q923)</f>
        <v>0</v>
      </c>
      <c r="U923" s="18" t="str">
        <f aca="false">IF(T923&gt;=$H$3,"Eligible","Not Eligible")</f>
        <v>Not Eligible</v>
      </c>
      <c r="V923" s="19" t="n">
        <f aca="false">IF(T923&lt;$H$3,0,IFERROR(T923/SUMIF($T$5:$T$999,"&gt;="&amp;$H$3),0))</f>
        <v>0</v>
      </c>
      <c r="W923" s="15" t="str">
        <f aca="false">IF(T923=0,"Win-Back","Active")</f>
        <v>Win-Back</v>
      </c>
      <c r="X923" s="20" t="n">
        <f aca="false">IF(T923=0,0,IF(T923&gt;=$H$3,ROUND(T923*$D$3/SUMIF($T$5:$T$999,"&gt;="&amp;$H$3),0),ROUNDUP(T923*$D$3/SUMIF($T$5:$T$999,"&gt;="&amp;$H$3),0)))</f>
        <v>0</v>
      </c>
      <c r="Y923" s="21"/>
      <c r="Z923" s="16" t="str">
        <f aca="false">IF(X923=0,"",X923-Y923)</f>
        <v/>
      </c>
      <c r="AA923" s="22" t="str">
        <f aca="false">IFERROR(Y923/X923,"")</f>
        <v/>
      </c>
      <c r="AB923" s="16" t="n">
        <v>0</v>
      </c>
      <c r="AC923" s="21"/>
    </row>
    <row r="924" customFormat="false" ht="15" hidden="false" customHeight="true" outlineLevel="0" collapsed="false">
      <c r="A924" s="15" t="s">
        <v>8918</v>
      </c>
      <c r="B924" s="15" t="s">
        <v>8919</v>
      </c>
      <c r="C924" s="15" t="s">
        <v>8920</v>
      </c>
      <c r="D924" s="15" t="s">
        <v>3705</v>
      </c>
      <c r="E924" s="15" t="s">
        <v>3706</v>
      </c>
      <c r="F924" s="15" t="s">
        <v>8921</v>
      </c>
      <c r="G924" s="15" t="s">
        <v>3708</v>
      </c>
      <c r="H924" s="15" t="s">
        <v>8922</v>
      </c>
      <c r="I924" s="15" t="s">
        <v>2729</v>
      </c>
      <c r="J924" s="15" t="s">
        <v>777</v>
      </c>
      <c r="K924" s="15" t="s">
        <v>70</v>
      </c>
      <c r="L924" s="15" t="s">
        <v>3711</v>
      </c>
      <c r="M924" s="15" t="s">
        <v>3712</v>
      </c>
      <c r="N924" s="15" t="s">
        <v>73</v>
      </c>
      <c r="O924" s="16" t="n">
        <v>0</v>
      </c>
      <c r="P924" s="16" t="n">
        <v>0</v>
      </c>
      <c r="Q924" s="16" t="n">
        <v>0</v>
      </c>
      <c r="R924" s="16" t="n">
        <v>0</v>
      </c>
      <c r="S924" s="16" t="n">
        <v>0</v>
      </c>
      <c r="T924" s="17" t="n">
        <f aca="false">AVERAGE(O924:Q924)</f>
        <v>0</v>
      </c>
      <c r="U924" s="18" t="str">
        <f aca="false">IF(T924&gt;=$H$3,"Eligible","Not Eligible")</f>
        <v>Not Eligible</v>
      </c>
      <c r="V924" s="19" t="n">
        <f aca="false">IF(T924&lt;$H$3,0,IFERROR(T924/SUMIF($T$5:$T$999,"&gt;="&amp;$H$3),0))</f>
        <v>0</v>
      </c>
      <c r="W924" s="15" t="str">
        <f aca="false">IF(T924=0,"Win-Back","Active")</f>
        <v>Win-Back</v>
      </c>
      <c r="X924" s="20" t="n">
        <f aca="false">IF(T924=0,0,IF(T924&gt;=$H$3,ROUND(T924*$D$3/SUMIF($T$5:$T$999,"&gt;="&amp;$H$3),0),ROUNDUP(T924*$D$3/SUMIF($T$5:$T$999,"&gt;="&amp;$H$3),0)))</f>
        <v>0</v>
      </c>
      <c r="Y924" s="21"/>
      <c r="Z924" s="16" t="str">
        <f aca="false">IF(X924=0,"",X924-Y924)</f>
        <v/>
      </c>
      <c r="AA924" s="22" t="str">
        <f aca="false">IFERROR(Y924/X924,"")</f>
        <v/>
      </c>
      <c r="AB924" s="16" t="n">
        <v>0</v>
      </c>
      <c r="AC924" s="21"/>
    </row>
    <row r="925" customFormat="false" ht="15" hidden="false" customHeight="true" outlineLevel="0" collapsed="false">
      <c r="A925" s="15" t="s">
        <v>8923</v>
      </c>
      <c r="B925" s="15" t="s">
        <v>8924</v>
      </c>
      <c r="C925" s="15" t="s">
        <v>8925</v>
      </c>
      <c r="D925" s="15" t="s">
        <v>8926</v>
      </c>
      <c r="E925" s="15" t="s">
        <v>8927</v>
      </c>
      <c r="F925" s="15" t="s">
        <v>8928</v>
      </c>
      <c r="G925" s="15" t="s">
        <v>8929</v>
      </c>
      <c r="H925" s="15" t="s">
        <v>8930</v>
      </c>
      <c r="I925" s="15"/>
      <c r="J925" s="15" t="s">
        <v>8931</v>
      </c>
      <c r="K925" s="15" t="s">
        <v>1418</v>
      </c>
      <c r="L925" s="15" t="s">
        <v>8932</v>
      </c>
      <c r="M925" s="15" t="s">
        <v>8933</v>
      </c>
      <c r="N925" s="15" t="s">
        <v>73</v>
      </c>
      <c r="O925" s="16" t="n">
        <v>0</v>
      </c>
      <c r="P925" s="16" t="n">
        <v>0</v>
      </c>
      <c r="Q925" s="16" t="n">
        <v>0</v>
      </c>
      <c r="R925" s="16" t="n">
        <v>0</v>
      </c>
      <c r="S925" s="16" t="n">
        <v>0</v>
      </c>
      <c r="T925" s="17" t="n">
        <f aca="false">AVERAGE(O925:Q925)</f>
        <v>0</v>
      </c>
      <c r="U925" s="18" t="str">
        <f aca="false">IF(T925&gt;=$H$3,"Eligible","Not Eligible")</f>
        <v>Not Eligible</v>
      </c>
      <c r="V925" s="19" t="n">
        <f aca="false">IF(T925&lt;$H$3,0,IFERROR(T925/SUMIF($T$5:$T$999,"&gt;="&amp;$H$3),0))</f>
        <v>0</v>
      </c>
      <c r="W925" s="15" t="str">
        <f aca="false">IF(T925=0,"Win-Back","Active")</f>
        <v>Win-Back</v>
      </c>
      <c r="X925" s="20" t="n">
        <f aca="false">IF(T925=0,0,IF(T925&gt;=$H$3,ROUND(T925*$D$3/SUMIF($T$5:$T$999,"&gt;="&amp;$H$3),0),ROUNDUP(T925*$D$3/SUMIF($T$5:$T$999,"&gt;="&amp;$H$3),0)))</f>
        <v>0</v>
      </c>
      <c r="Y925" s="21"/>
      <c r="Z925" s="16" t="str">
        <f aca="false">IF(X925=0,"",X925-Y925)</f>
        <v/>
      </c>
      <c r="AA925" s="22" t="str">
        <f aca="false">IFERROR(Y925/X925,"")</f>
        <v/>
      </c>
      <c r="AB925" s="16" t="n">
        <v>0</v>
      </c>
      <c r="AC925" s="21"/>
    </row>
    <row r="926" customFormat="false" ht="15" hidden="false" customHeight="true" outlineLevel="0" collapsed="false">
      <c r="A926" s="15" t="s">
        <v>8934</v>
      </c>
      <c r="B926" s="15" t="s">
        <v>8935</v>
      </c>
      <c r="C926" s="15" t="s">
        <v>8936</v>
      </c>
      <c r="D926" s="15" t="s">
        <v>8937</v>
      </c>
      <c r="E926" s="15" t="s">
        <v>8938</v>
      </c>
      <c r="F926" s="15" t="s">
        <v>8939</v>
      </c>
      <c r="G926" s="15" t="s">
        <v>8940</v>
      </c>
      <c r="H926" s="15" t="s">
        <v>8941</v>
      </c>
      <c r="I926" s="15"/>
      <c r="J926" s="15" t="s">
        <v>809</v>
      </c>
      <c r="K926" s="15" t="s">
        <v>735</v>
      </c>
      <c r="L926" s="15" t="s">
        <v>8942</v>
      </c>
      <c r="M926" s="15" t="s">
        <v>8943</v>
      </c>
      <c r="N926" s="15" t="s">
        <v>73</v>
      </c>
      <c r="O926" s="16" t="n">
        <v>0</v>
      </c>
      <c r="P926" s="16" t="n">
        <v>0</v>
      </c>
      <c r="Q926" s="16" t="n">
        <v>0</v>
      </c>
      <c r="R926" s="16" t="n">
        <v>0</v>
      </c>
      <c r="S926" s="16" t="n">
        <v>0</v>
      </c>
      <c r="T926" s="17" t="n">
        <f aca="false">AVERAGE(O926:Q926)</f>
        <v>0</v>
      </c>
      <c r="U926" s="18" t="str">
        <f aca="false">IF(T926&gt;=$H$3,"Eligible","Not Eligible")</f>
        <v>Not Eligible</v>
      </c>
      <c r="V926" s="19" t="n">
        <f aca="false">IF(T926&lt;$H$3,0,IFERROR(T926/SUMIF($T$5:$T$999,"&gt;="&amp;$H$3),0))</f>
        <v>0</v>
      </c>
      <c r="W926" s="15" t="str">
        <f aca="false">IF(T926=0,"Win-Back","Active")</f>
        <v>Win-Back</v>
      </c>
      <c r="X926" s="20" t="n">
        <f aca="false">IF(T926=0,0,IF(T926&gt;=$H$3,ROUND(T926*$D$3/SUMIF($T$5:$T$999,"&gt;="&amp;$H$3),0),ROUNDUP(T926*$D$3/SUMIF($T$5:$T$999,"&gt;="&amp;$H$3),0)))</f>
        <v>0</v>
      </c>
      <c r="Y926" s="21" t="n">
        <v>1</v>
      </c>
      <c r="Z926" s="16" t="str">
        <f aca="false">IF(X926=0,"",X926-Y926)</f>
        <v/>
      </c>
      <c r="AA926" s="22" t="str">
        <f aca="false">IFERROR(Y926/X926,"")</f>
        <v/>
      </c>
      <c r="AB926" s="16" t="n">
        <v>0</v>
      </c>
      <c r="AC926" s="21"/>
    </row>
    <row r="927" customFormat="false" ht="15" hidden="false" customHeight="true" outlineLevel="0" collapsed="false">
      <c r="A927" s="15" t="s">
        <v>8944</v>
      </c>
      <c r="B927" s="15" t="s">
        <v>8945</v>
      </c>
      <c r="C927" s="15" t="s">
        <v>8946</v>
      </c>
      <c r="D927" s="15" t="s">
        <v>8947</v>
      </c>
      <c r="E927" s="15" t="s">
        <v>1519</v>
      </c>
      <c r="F927" s="15" t="s">
        <v>8948</v>
      </c>
      <c r="G927" s="15" t="s">
        <v>1521</v>
      </c>
      <c r="H927" s="15" t="s">
        <v>8949</v>
      </c>
      <c r="I927" s="15" t="s">
        <v>3667</v>
      </c>
      <c r="J927" s="15" t="s">
        <v>8950</v>
      </c>
      <c r="K927" s="15" t="s">
        <v>735</v>
      </c>
      <c r="L927" s="15" t="s">
        <v>8951</v>
      </c>
      <c r="M927" s="15" t="s">
        <v>1525</v>
      </c>
      <c r="N927" s="15" t="s">
        <v>73</v>
      </c>
      <c r="O927" s="16" t="n">
        <v>0</v>
      </c>
      <c r="P927" s="16" t="n">
        <v>0</v>
      </c>
      <c r="Q927" s="16" t="n">
        <v>0</v>
      </c>
      <c r="R927" s="16" t="n">
        <v>0</v>
      </c>
      <c r="S927" s="16" t="n">
        <v>0</v>
      </c>
      <c r="T927" s="17" t="n">
        <f aca="false">AVERAGE(O927:Q927)</f>
        <v>0</v>
      </c>
      <c r="U927" s="18" t="str">
        <f aca="false">IF(T927&gt;=$H$3,"Eligible","Not Eligible")</f>
        <v>Not Eligible</v>
      </c>
      <c r="V927" s="19" t="n">
        <f aca="false">IF(T927&lt;$H$3,0,IFERROR(T927/SUMIF($T$5:$T$999,"&gt;="&amp;$H$3),0))</f>
        <v>0</v>
      </c>
      <c r="W927" s="15" t="str">
        <f aca="false">IF(T927=0,"Win-Back","Active")</f>
        <v>Win-Back</v>
      </c>
      <c r="X927" s="20" t="n">
        <f aca="false">IF(T927=0,0,IF(T927&gt;=$H$3,ROUND(T927*$D$3/SUMIF($T$5:$T$999,"&gt;="&amp;$H$3),0),ROUNDUP(T927*$D$3/SUMIF($T$5:$T$999,"&gt;="&amp;$H$3),0)))</f>
        <v>0</v>
      </c>
      <c r="Y927" s="21"/>
      <c r="Z927" s="16" t="str">
        <f aca="false">IF(X927=0,"",X927-Y927)</f>
        <v/>
      </c>
      <c r="AA927" s="22" t="str">
        <f aca="false">IFERROR(Y927/X927,"")</f>
        <v/>
      </c>
      <c r="AB927" s="16" t="n">
        <v>0</v>
      </c>
      <c r="AC927" s="21"/>
    </row>
    <row r="928" customFormat="false" ht="15" hidden="false" customHeight="true" outlineLevel="0" collapsed="false">
      <c r="A928" s="15" t="s">
        <v>8952</v>
      </c>
      <c r="B928" s="15" t="s">
        <v>8953</v>
      </c>
      <c r="C928" s="15" t="s">
        <v>8954</v>
      </c>
      <c r="D928" s="15" t="s">
        <v>8955</v>
      </c>
      <c r="E928" s="15" t="s">
        <v>2268</v>
      </c>
      <c r="F928" s="15" t="s">
        <v>2269</v>
      </c>
      <c r="G928" s="15" t="s">
        <v>8956</v>
      </c>
      <c r="H928" s="15" t="s">
        <v>8957</v>
      </c>
      <c r="I928" s="15"/>
      <c r="J928" s="15" t="s">
        <v>8958</v>
      </c>
      <c r="K928" s="15" t="s">
        <v>1418</v>
      </c>
      <c r="L928" s="15" t="s">
        <v>8959</v>
      </c>
      <c r="M928" s="15" t="s">
        <v>8960</v>
      </c>
      <c r="N928" s="15" t="s">
        <v>73</v>
      </c>
      <c r="O928" s="16" t="n">
        <v>0</v>
      </c>
      <c r="P928" s="16" t="n">
        <v>0</v>
      </c>
      <c r="Q928" s="16" t="n">
        <v>0</v>
      </c>
      <c r="R928" s="16" t="n">
        <v>0</v>
      </c>
      <c r="S928" s="16" t="n">
        <v>0</v>
      </c>
      <c r="T928" s="17" t="n">
        <f aca="false">AVERAGE(O928:Q928)</f>
        <v>0</v>
      </c>
      <c r="U928" s="18" t="str">
        <f aca="false">IF(T928&gt;=$H$3,"Eligible","Not Eligible")</f>
        <v>Not Eligible</v>
      </c>
      <c r="V928" s="19" t="n">
        <f aca="false">IF(T928&lt;$H$3,0,IFERROR(T928/SUMIF($T$5:$T$999,"&gt;="&amp;$H$3),0))</f>
        <v>0</v>
      </c>
      <c r="W928" s="15" t="str">
        <f aca="false">IF(T928=0,"Win-Back","Active")</f>
        <v>Win-Back</v>
      </c>
      <c r="X928" s="20" t="n">
        <f aca="false">IF(T928=0,0,IF(T928&gt;=$H$3,ROUND(T928*$D$3/SUMIF($T$5:$T$999,"&gt;="&amp;$H$3),0),ROUNDUP(T928*$D$3/SUMIF($T$5:$T$999,"&gt;="&amp;$H$3),0)))</f>
        <v>0</v>
      </c>
      <c r="Y928" s="21" t="n">
        <v>3</v>
      </c>
      <c r="Z928" s="16" t="str">
        <f aca="false">IF(X928=0,"",X928-Y928)</f>
        <v/>
      </c>
      <c r="AA928" s="22" t="str">
        <f aca="false">IFERROR(Y928/X928,"")</f>
        <v/>
      </c>
      <c r="AB928" s="16" t="n">
        <v>0</v>
      </c>
      <c r="AC928" s="21"/>
    </row>
    <row r="929" customFormat="false" ht="15" hidden="false" customHeight="true" outlineLevel="0" collapsed="false">
      <c r="A929" s="15" t="s">
        <v>8961</v>
      </c>
      <c r="B929" s="15" t="s">
        <v>8962</v>
      </c>
      <c r="C929" s="15" t="s">
        <v>8963</v>
      </c>
      <c r="D929" s="15" t="s">
        <v>8964</v>
      </c>
      <c r="E929" s="15" t="s">
        <v>8965</v>
      </c>
      <c r="F929" s="15" t="s">
        <v>8966</v>
      </c>
      <c r="G929" s="15" t="s">
        <v>8967</v>
      </c>
      <c r="H929" s="15" t="s">
        <v>8968</v>
      </c>
      <c r="I929" s="15" t="s">
        <v>968</v>
      </c>
      <c r="J929" s="15" t="s">
        <v>46</v>
      </c>
      <c r="K929" s="15" t="s">
        <v>47</v>
      </c>
      <c r="L929" s="15" t="s">
        <v>48</v>
      </c>
      <c r="M929" s="15" t="s">
        <v>8969</v>
      </c>
      <c r="N929" s="15" t="s">
        <v>50</v>
      </c>
      <c r="O929" s="16" t="n">
        <v>0</v>
      </c>
      <c r="P929" s="16" t="n">
        <v>0</v>
      </c>
      <c r="Q929" s="16" t="n">
        <v>0</v>
      </c>
      <c r="R929" s="16" t="n">
        <v>0</v>
      </c>
      <c r="S929" s="16" t="n">
        <v>0</v>
      </c>
      <c r="T929" s="17" t="n">
        <f aca="false">AVERAGE(O929:Q929)</f>
        <v>0</v>
      </c>
      <c r="U929" s="18" t="str">
        <f aca="false">IF(T929&gt;=$H$3,"Eligible","Not Eligible")</f>
        <v>Not Eligible</v>
      </c>
      <c r="V929" s="19" t="n">
        <f aca="false">IF(T929&lt;$H$3,0,IFERROR(T929/SUMIF($T$5:$T$999,"&gt;="&amp;$H$3),0))</f>
        <v>0</v>
      </c>
      <c r="W929" s="15" t="str">
        <f aca="false">IF(T929=0,"Win-Back","Active")</f>
        <v>Win-Back</v>
      </c>
      <c r="X929" s="20" t="n">
        <f aca="false">IF(T929=0,0,IF(T929&gt;=$H$3,ROUND(T929*$D$3/SUMIF($T$5:$T$999,"&gt;="&amp;$H$3),0),ROUNDUP(T929*$D$3/SUMIF($T$5:$T$999,"&gt;="&amp;$H$3),0)))</f>
        <v>0</v>
      </c>
      <c r="Y929" s="21"/>
      <c r="Z929" s="16" t="str">
        <f aca="false">IF(X929=0,"",X929-Y929)</f>
        <v/>
      </c>
      <c r="AA929" s="22" t="str">
        <f aca="false">IFERROR(Y929/X929,"")</f>
        <v/>
      </c>
      <c r="AB929" s="16" t="n">
        <v>0</v>
      </c>
      <c r="AC929" s="21"/>
    </row>
    <row r="930" customFormat="false" ht="15" hidden="false" customHeight="true" outlineLevel="0" collapsed="false">
      <c r="A930" s="15" t="s">
        <v>8970</v>
      </c>
      <c r="B930" s="15" t="s">
        <v>8971</v>
      </c>
      <c r="C930" s="15" t="s">
        <v>8972</v>
      </c>
      <c r="D930" s="15" t="s">
        <v>8973</v>
      </c>
      <c r="E930" s="15" t="s">
        <v>8974</v>
      </c>
      <c r="F930" s="15" t="s">
        <v>8975</v>
      </c>
      <c r="G930" s="15" t="s">
        <v>8976</v>
      </c>
      <c r="H930" s="15" t="s">
        <v>8977</v>
      </c>
      <c r="I930" s="15"/>
      <c r="J930" s="15" t="s">
        <v>8978</v>
      </c>
      <c r="K930" s="15" t="s">
        <v>1418</v>
      </c>
      <c r="L930" s="15" t="s">
        <v>8979</v>
      </c>
      <c r="M930" s="15" t="s">
        <v>8980</v>
      </c>
      <c r="N930" s="15" t="s">
        <v>73</v>
      </c>
      <c r="O930" s="16" t="n">
        <v>0</v>
      </c>
      <c r="P930" s="16" t="n">
        <v>0</v>
      </c>
      <c r="Q930" s="16" t="n">
        <v>0</v>
      </c>
      <c r="R930" s="16" t="n">
        <v>0</v>
      </c>
      <c r="S930" s="16" t="n">
        <v>0</v>
      </c>
      <c r="T930" s="17" t="n">
        <f aca="false">AVERAGE(O930:Q930)</f>
        <v>0</v>
      </c>
      <c r="U930" s="18" t="str">
        <f aca="false">IF(T930&gt;=$H$3,"Eligible","Not Eligible")</f>
        <v>Not Eligible</v>
      </c>
      <c r="V930" s="19" t="n">
        <f aca="false">IF(T930&lt;$H$3,0,IFERROR(T930/SUMIF($T$5:$T$999,"&gt;="&amp;$H$3),0))</f>
        <v>0</v>
      </c>
      <c r="W930" s="15" t="str">
        <f aca="false">IF(T930=0,"Win-Back","Active")</f>
        <v>Win-Back</v>
      </c>
      <c r="X930" s="20" t="n">
        <f aca="false">IF(T930=0,0,IF(T930&gt;=$H$3,ROUND(T930*$D$3/SUMIF($T$5:$T$999,"&gt;="&amp;$H$3),0),ROUNDUP(T930*$D$3/SUMIF($T$5:$T$999,"&gt;="&amp;$H$3),0)))</f>
        <v>0</v>
      </c>
      <c r="Y930" s="21"/>
      <c r="Z930" s="16" t="str">
        <f aca="false">IF(X930=0,"",X930-Y930)</f>
        <v/>
      </c>
      <c r="AA930" s="22" t="str">
        <f aca="false">IFERROR(Y930/X930,"")</f>
        <v/>
      </c>
      <c r="AB930" s="16" t="n">
        <v>0</v>
      </c>
      <c r="AC930" s="21"/>
    </row>
    <row r="931" customFormat="false" ht="15" hidden="false" customHeight="true" outlineLevel="0" collapsed="false">
      <c r="A931" s="15" t="s">
        <v>8981</v>
      </c>
      <c r="B931" s="15" t="s">
        <v>8982</v>
      </c>
      <c r="C931" s="15" t="s">
        <v>8983</v>
      </c>
      <c r="D931" s="15" t="s">
        <v>8984</v>
      </c>
      <c r="E931" s="15" t="s">
        <v>8985</v>
      </c>
      <c r="F931" s="15" t="s">
        <v>8986</v>
      </c>
      <c r="G931" s="15" t="s">
        <v>8987</v>
      </c>
      <c r="H931" s="15" t="s">
        <v>8988</v>
      </c>
      <c r="I931" s="15" t="s">
        <v>8989</v>
      </c>
      <c r="J931" s="15" t="s">
        <v>1783</v>
      </c>
      <c r="K931" s="15" t="s">
        <v>1255</v>
      </c>
      <c r="L931" s="15" t="s">
        <v>8990</v>
      </c>
      <c r="M931" s="15" t="s">
        <v>8991</v>
      </c>
      <c r="N931" s="15" t="s">
        <v>73</v>
      </c>
      <c r="O931" s="16" t="n">
        <v>0</v>
      </c>
      <c r="P931" s="16" t="n">
        <v>0</v>
      </c>
      <c r="Q931" s="16" t="n">
        <v>0</v>
      </c>
      <c r="R931" s="16" t="n">
        <v>0</v>
      </c>
      <c r="S931" s="16" t="n">
        <v>0</v>
      </c>
      <c r="T931" s="17" t="n">
        <f aca="false">AVERAGE(O931:Q931)</f>
        <v>0</v>
      </c>
      <c r="U931" s="18" t="str">
        <f aca="false">IF(T931&gt;=$H$3,"Eligible","Not Eligible")</f>
        <v>Not Eligible</v>
      </c>
      <c r="V931" s="19" t="n">
        <f aca="false">IF(T931&lt;$H$3,0,IFERROR(T931/SUMIF($T$5:$T$999,"&gt;="&amp;$H$3),0))</f>
        <v>0</v>
      </c>
      <c r="W931" s="15" t="str">
        <f aca="false">IF(T931=0,"Win-Back","Active")</f>
        <v>Win-Back</v>
      </c>
      <c r="X931" s="20" t="n">
        <f aca="false">IF(T931=0,0,IF(T931&gt;=$H$3,ROUND(T931*$D$3/SUMIF($T$5:$T$999,"&gt;="&amp;$H$3),0),ROUNDUP(T931*$D$3/SUMIF($T$5:$T$999,"&gt;="&amp;$H$3),0)))</f>
        <v>0</v>
      </c>
      <c r="Y931" s="21"/>
      <c r="Z931" s="16" t="str">
        <f aca="false">IF(X931=0,"",X931-Y931)</f>
        <v/>
      </c>
      <c r="AA931" s="22" t="str">
        <f aca="false">IFERROR(Y931/X931,"")</f>
        <v/>
      </c>
      <c r="AB931" s="16" t="n">
        <v>0</v>
      </c>
      <c r="AC931" s="21"/>
    </row>
    <row r="932" customFormat="false" ht="15" hidden="false" customHeight="true" outlineLevel="0" collapsed="false">
      <c r="A932" s="15" t="s">
        <v>8992</v>
      </c>
      <c r="B932" s="15" t="s">
        <v>8993</v>
      </c>
      <c r="C932" s="15" t="s">
        <v>8994</v>
      </c>
      <c r="D932" s="15" t="s">
        <v>8995</v>
      </c>
      <c r="E932" s="15" t="s">
        <v>8996</v>
      </c>
      <c r="F932" s="15" t="s">
        <v>8997</v>
      </c>
      <c r="G932" s="15" t="s">
        <v>8998</v>
      </c>
      <c r="H932" s="15" t="s">
        <v>8999</v>
      </c>
      <c r="I932" s="15" t="s">
        <v>9000</v>
      </c>
      <c r="J932" s="15" t="s">
        <v>6240</v>
      </c>
      <c r="K932" s="15" t="s">
        <v>2839</v>
      </c>
      <c r="L932" s="15" t="s">
        <v>6241</v>
      </c>
      <c r="M932" s="15" t="s">
        <v>9001</v>
      </c>
      <c r="N932" s="15" t="s">
        <v>73</v>
      </c>
      <c r="O932" s="16" t="n">
        <v>0</v>
      </c>
      <c r="P932" s="16" t="n">
        <v>0</v>
      </c>
      <c r="Q932" s="16" t="n">
        <v>0</v>
      </c>
      <c r="R932" s="16" t="n">
        <v>0</v>
      </c>
      <c r="S932" s="16" t="n">
        <v>0</v>
      </c>
      <c r="T932" s="17" t="n">
        <f aca="false">AVERAGE(O932:Q932)</f>
        <v>0</v>
      </c>
      <c r="U932" s="18" t="str">
        <f aca="false">IF(T932&gt;=$H$3,"Eligible","Not Eligible")</f>
        <v>Not Eligible</v>
      </c>
      <c r="V932" s="19" t="n">
        <f aca="false">IF(T932&lt;$H$3,0,IFERROR(T932/SUMIF($T$5:$T$999,"&gt;="&amp;$H$3),0))</f>
        <v>0</v>
      </c>
      <c r="W932" s="15" t="str">
        <f aca="false">IF(T932=0,"Win-Back","Active")</f>
        <v>Win-Back</v>
      </c>
      <c r="X932" s="20" t="n">
        <f aca="false">IF(T932=0,0,IF(T932&gt;=$H$3,ROUND(T932*$D$3/SUMIF($T$5:$T$999,"&gt;="&amp;$H$3),0),ROUNDUP(T932*$D$3/SUMIF($T$5:$T$999,"&gt;="&amp;$H$3),0)))</f>
        <v>0</v>
      </c>
      <c r="Y932" s="21"/>
      <c r="Z932" s="16" t="str">
        <f aca="false">IF(X932=0,"",X932-Y932)</f>
        <v/>
      </c>
      <c r="AA932" s="22" t="str">
        <f aca="false">IFERROR(Y932/X932,"")</f>
        <v/>
      </c>
      <c r="AB932" s="16" t="n">
        <v>0</v>
      </c>
      <c r="AC932" s="21"/>
    </row>
    <row r="933" customFormat="false" ht="15" hidden="false" customHeight="true" outlineLevel="0" collapsed="false">
      <c r="A933" s="15" t="s">
        <v>9002</v>
      </c>
      <c r="B933" s="15" t="s">
        <v>9003</v>
      </c>
      <c r="C933" s="15" t="s">
        <v>9004</v>
      </c>
      <c r="D933" s="15" t="s">
        <v>9005</v>
      </c>
      <c r="E933" s="15" t="s">
        <v>9006</v>
      </c>
      <c r="F933" s="15" t="s">
        <v>9007</v>
      </c>
      <c r="G933" s="15" t="s">
        <v>9008</v>
      </c>
      <c r="H933" s="15" t="s">
        <v>9009</v>
      </c>
      <c r="I933" s="15" t="s">
        <v>4652</v>
      </c>
      <c r="J933" s="15" t="s">
        <v>9010</v>
      </c>
      <c r="K933" s="15" t="s">
        <v>368</v>
      </c>
      <c r="L933" s="15" t="s">
        <v>9011</v>
      </c>
      <c r="M933" s="15" t="s">
        <v>9012</v>
      </c>
      <c r="N933" s="15" t="s">
        <v>73</v>
      </c>
      <c r="O933" s="16" t="n">
        <v>0</v>
      </c>
      <c r="P933" s="16" t="n">
        <v>0</v>
      </c>
      <c r="Q933" s="16" t="n">
        <v>0</v>
      </c>
      <c r="R933" s="16" t="n">
        <v>0</v>
      </c>
      <c r="S933" s="16" t="n">
        <v>0</v>
      </c>
      <c r="T933" s="17" t="n">
        <f aca="false">AVERAGE(O933:Q933)</f>
        <v>0</v>
      </c>
      <c r="U933" s="18" t="str">
        <f aca="false">IF(T933&gt;=$H$3,"Eligible","Not Eligible")</f>
        <v>Not Eligible</v>
      </c>
      <c r="V933" s="19" t="n">
        <f aca="false">IF(T933&lt;$H$3,0,IFERROR(T933/SUMIF($T$5:$T$999,"&gt;="&amp;$H$3),0))</f>
        <v>0</v>
      </c>
      <c r="W933" s="15" t="str">
        <f aca="false">IF(T933=0,"Win-Back","Active")</f>
        <v>Win-Back</v>
      </c>
      <c r="X933" s="20" t="n">
        <f aca="false">IF(T933=0,0,IF(T933&gt;=$H$3,ROUND(T933*$D$3/SUMIF($T$5:$T$999,"&gt;="&amp;$H$3),0),ROUNDUP(T933*$D$3/SUMIF($T$5:$T$999,"&gt;="&amp;$H$3),0)))</f>
        <v>0</v>
      </c>
      <c r="Y933" s="21"/>
      <c r="Z933" s="16" t="str">
        <f aca="false">IF(X933=0,"",X933-Y933)</f>
        <v/>
      </c>
      <c r="AA933" s="22" t="str">
        <f aca="false">IFERROR(Y933/X933,"")</f>
        <v/>
      </c>
      <c r="AB933" s="16" t="n">
        <v>0</v>
      </c>
      <c r="AC933" s="21"/>
    </row>
    <row r="934" customFormat="false" ht="15" hidden="false" customHeight="true" outlineLevel="0" collapsed="false">
      <c r="A934" s="15" t="s">
        <v>9013</v>
      </c>
      <c r="B934" s="15" t="s">
        <v>9014</v>
      </c>
      <c r="C934" s="15" t="s">
        <v>9015</v>
      </c>
      <c r="D934" s="15" t="s">
        <v>9016</v>
      </c>
      <c r="E934" s="15" t="s">
        <v>9017</v>
      </c>
      <c r="F934" s="15" t="s">
        <v>9018</v>
      </c>
      <c r="G934" s="15" t="s">
        <v>9019</v>
      </c>
      <c r="H934" s="15" t="s">
        <v>9020</v>
      </c>
      <c r="I934" s="15"/>
      <c r="J934" s="15" t="s">
        <v>9021</v>
      </c>
      <c r="K934" s="15" t="s">
        <v>47</v>
      </c>
      <c r="L934" s="15" t="s">
        <v>6133</v>
      </c>
      <c r="M934" s="15" t="s">
        <v>9022</v>
      </c>
      <c r="N934" s="15" t="s">
        <v>73</v>
      </c>
      <c r="O934" s="16" t="n">
        <v>0</v>
      </c>
      <c r="P934" s="16" t="n">
        <v>0</v>
      </c>
      <c r="Q934" s="16" t="n">
        <v>0</v>
      </c>
      <c r="R934" s="16" t="n">
        <v>0</v>
      </c>
      <c r="S934" s="16" t="n">
        <v>0</v>
      </c>
      <c r="T934" s="17" t="n">
        <f aca="false">AVERAGE(O934:Q934)</f>
        <v>0</v>
      </c>
      <c r="U934" s="18" t="str">
        <f aca="false">IF(T934&gt;=$H$3,"Eligible","Not Eligible")</f>
        <v>Not Eligible</v>
      </c>
      <c r="V934" s="19" t="n">
        <f aca="false">IF(T934&lt;$H$3,0,IFERROR(T934/SUMIF($T$5:$T$999,"&gt;="&amp;$H$3),0))</f>
        <v>0</v>
      </c>
      <c r="W934" s="15" t="str">
        <f aca="false">IF(T934=0,"Win-Back","Active")</f>
        <v>Win-Back</v>
      </c>
      <c r="X934" s="20" t="n">
        <f aca="false">IF(T934=0,0,IF(T934&gt;=$H$3,ROUND(T934*$D$3/SUMIF($T$5:$T$999,"&gt;="&amp;$H$3),0),ROUNDUP(T934*$D$3/SUMIF($T$5:$T$999,"&gt;="&amp;$H$3),0)))</f>
        <v>0</v>
      </c>
      <c r="Y934" s="21"/>
      <c r="Z934" s="16" t="str">
        <f aca="false">IF(X934=0,"",X934-Y934)</f>
        <v/>
      </c>
      <c r="AA934" s="22" t="str">
        <f aca="false">IFERROR(Y934/X934,"")</f>
        <v/>
      </c>
      <c r="AB934" s="16" t="n">
        <v>0</v>
      </c>
      <c r="AC934" s="21"/>
    </row>
    <row r="935" customFormat="false" ht="15" hidden="false" customHeight="true" outlineLevel="0" collapsed="false">
      <c r="A935" s="15" t="s">
        <v>9023</v>
      </c>
      <c r="B935" s="15" t="s">
        <v>9024</v>
      </c>
      <c r="C935" s="15" t="s">
        <v>9025</v>
      </c>
      <c r="D935" s="15" t="s">
        <v>9026</v>
      </c>
      <c r="E935" s="15" t="s">
        <v>9026</v>
      </c>
      <c r="F935" s="15" t="s">
        <v>9027</v>
      </c>
      <c r="G935" s="15" t="s">
        <v>9028</v>
      </c>
      <c r="H935" s="15" t="s">
        <v>9029</v>
      </c>
      <c r="I935" s="15"/>
      <c r="J935" s="15" t="s">
        <v>9030</v>
      </c>
      <c r="K935" s="15" t="s">
        <v>1200</v>
      </c>
      <c r="L935" s="15" t="s">
        <v>9031</v>
      </c>
      <c r="M935" s="15" t="s">
        <v>9032</v>
      </c>
      <c r="N935" s="15" t="s">
        <v>73</v>
      </c>
      <c r="O935" s="16" t="n">
        <v>0</v>
      </c>
      <c r="P935" s="16" t="n">
        <v>0</v>
      </c>
      <c r="Q935" s="16" t="n">
        <v>0</v>
      </c>
      <c r="R935" s="16" t="n">
        <v>0</v>
      </c>
      <c r="S935" s="16" t="n">
        <v>0</v>
      </c>
      <c r="T935" s="17" t="n">
        <f aca="false">AVERAGE(O935:Q935)</f>
        <v>0</v>
      </c>
      <c r="U935" s="18" t="str">
        <f aca="false">IF(T935&gt;=$H$3,"Eligible","Not Eligible")</f>
        <v>Not Eligible</v>
      </c>
      <c r="V935" s="19" t="n">
        <f aca="false">IF(T935&lt;$H$3,0,IFERROR(T935/SUMIF($T$5:$T$999,"&gt;="&amp;$H$3),0))</f>
        <v>0</v>
      </c>
      <c r="W935" s="15" t="str">
        <f aca="false">IF(T935=0,"Win-Back","Active")</f>
        <v>Win-Back</v>
      </c>
      <c r="X935" s="20" t="n">
        <f aca="false">IF(T935=0,0,IF(T935&gt;=$H$3,ROUND(T935*$D$3/SUMIF($T$5:$T$999,"&gt;="&amp;$H$3),0),ROUNDUP(T935*$D$3/SUMIF($T$5:$T$999,"&gt;="&amp;$H$3),0)))</f>
        <v>0</v>
      </c>
      <c r="Y935" s="21"/>
      <c r="Z935" s="16" t="str">
        <f aca="false">IF(X935=0,"",X935-Y935)</f>
        <v/>
      </c>
      <c r="AA935" s="22" t="str">
        <f aca="false">IFERROR(Y935/X935,"")</f>
        <v/>
      </c>
      <c r="AB935" s="16" t="n">
        <v>0</v>
      </c>
      <c r="AC935" s="21"/>
    </row>
    <row r="936" customFormat="false" ht="15" hidden="false" customHeight="true" outlineLevel="0" collapsed="false">
      <c r="A936" s="15" t="s">
        <v>9033</v>
      </c>
      <c r="B936" s="15" t="s">
        <v>9034</v>
      </c>
      <c r="C936" s="15" t="s">
        <v>9035</v>
      </c>
      <c r="D936" s="15" t="s">
        <v>9036</v>
      </c>
      <c r="E936" s="15" t="s">
        <v>9037</v>
      </c>
      <c r="F936" s="15" t="s">
        <v>9038</v>
      </c>
      <c r="G936" s="15" t="s">
        <v>9039</v>
      </c>
      <c r="H936" s="15" t="s">
        <v>9040</v>
      </c>
      <c r="I936" s="15" t="s">
        <v>3667</v>
      </c>
      <c r="J936" s="15" t="s">
        <v>8931</v>
      </c>
      <c r="K936" s="15" t="s">
        <v>1418</v>
      </c>
      <c r="L936" s="15" t="s">
        <v>9041</v>
      </c>
      <c r="M936" s="15" t="s">
        <v>9042</v>
      </c>
      <c r="N936" s="15" t="s">
        <v>73</v>
      </c>
      <c r="O936" s="16" t="n">
        <v>0</v>
      </c>
      <c r="P936" s="16" t="n">
        <v>0</v>
      </c>
      <c r="Q936" s="16" t="n">
        <v>0</v>
      </c>
      <c r="R936" s="16" t="n">
        <v>0</v>
      </c>
      <c r="S936" s="16" t="n">
        <v>0</v>
      </c>
      <c r="T936" s="17" t="n">
        <f aca="false">AVERAGE(O936:Q936)</f>
        <v>0</v>
      </c>
      <c r="U936" s="18" t="str">
        <f aca="false">IF(T936&gt;=$H$3,"Eligible","Not Eligible")</f>
        <v>Not Eligible</v>
      </c>
      <c r="V936" s="19" t="n">
        <f aca="false">IF(T936&lt;$H$3,0,IFERROR(T936/SUMIF($T$5:$T$999,"&gt;="&amp;$H$3),0))</f>
        <v>0</v>
      </c>
      <c r="W936" s="15" t="str">
        <f aca="false">IF(T936=0,"Win-Back","Active")</f>
        <v>Win-Back</v>
      </c>
      <c r="X936" s="20" t="n">
        <f aca="false">IF(T936=0,0,IF(T936&gt;=$H$3,ROUND(T936*$D$3/SUMIF($T$5:$T$999,"&gt;="&amp;$H$3),0),ROUNDUP(T936*$D$3/SUMIF($T$5:$T$999,"&gt;="&amp;$H$3),0)))</f>
        <v>0</v>
      </c>
      <c r="Y936" s="21"/>
      <c r="Z936" s="16" t="str">
        <f aca="false">IF(X936=0,"",X936-Y936)</f>
        <v/>
      </c>
      <c r="AA936" s="22" t="str">
        <f aca="false">IFERROR(Y936/X936,"")</f>
        <v/>
      </c>
      <c r="AB936" s="16" t="n">
        <v>0</v>
      </c>
      <c r="AC936" s="21"/>
    </row>
    <row r="937" customFormat="false" ht="15" hidden="false" customHeight="true" outlineLevel="0" collapsed="false">
      <c r="A937" s="15" t="s">
        <v>9043</v>
      </c>
      <c r="B937" s="15" t="s">
        <v>9044</v>
      </c>
      <c r="C937" s="15" t="s">
        <v>9045</v>
      </c>
      <c r="D937" s="15" t="s">
        <v>9046</v>
      </c>
      <c r="E937" s="15" t="s">
        <v>9047</v>
      </c>
      <c r="F937" s="15" t="s">
        <v>9048</v>
      </c>
      <c r="G937" s="15" t="s">
        <v>9049</v>
      </c>
      <c r="H937" s="15" t="s">
        <v>9050</v>
      </c>
      <c r="I937" s="15"/>
      <c r="J937" s="15" t="s">
        <v>2619</v>
      </c>
      <c r="K937" s="15" t="s">
        <v>735</v>
      </c>
      <c r="L937" s="15" t="s">
        <v>4234</v>
      </c>
      <c r="M937" s="15" t="s">
        <v>9051</v>
      </c>
      <c r="N937" s="15" t="s">
        <v>73</v>
      </c>
      <c r="O937" s="16" t="n">
        <v>0</v>
      </c>
      <c r="P937" s="16" t="n">
        <v>0</v>
      </c>
      <c r="Q937" s="16" t="n">
        <v>0</v>
      </c>
      <c r="R937" s="16" t="n">
        <v>0</v>
      </c>
      <c r="S937" s="16" t="n">
        <v>0</v>
      </c>
      <c r="T937" s="17" t="n">
        <f aca="false">AVERAGE(O937:Q937)</f>
        <v>0</v>
      </c>
      <c r="U937" s="18" t="str">
        <f aca="false">IF(T937&gt;=$H$3,"Eligible","Not Eligible")</f>
        <v>Not Eligible</v>
      </c>
      <c r="V937" s="19" t="n">
        <f aca="false">IF(T937&lt;$H$3,0,IFERROR(T937/SUMIF($T$5:$T$999,"&gt;="&amp;$H$3),0))</f>
        <v>0</v>
      </c>
      <c r="W937" s="15" t="str">
        <f aca="false">IF(T937=0,"Win-Back","Active")</f>
        <v>Win-Back</v>
      </c>
      <c r="X937" s="20" t="n">
        <f aca="false">IF(T937=0,0,IF(T937&gt;=$H$3,ROUND(T937*$D$3/SUMIF($T$5:$T$999,"&gt;="&amp;$H$3),0),ROUNDUP(T937*$D$3/SUMIF($T$5:$T$999,"&gt;="&amp;$H$3),0)))</f>
        <v>0</v>
      </c>
      <c r="Y937" s="21"/>
      <c r="Z937" s="16" t="str">
        <f aca="false">IF(X937=0,"",X937-Y937)</f>
        <v/>
      </c>
      <c r="AA937" s="22" t="str">
        <f aca="false">IFERROR(Y937/X937,"")</f>
        <v/>
      </c>
      <c r="AB937" s="16" t="n">
        <v>0</v>
      </c>
      <c r="AC937" s="21"/>
    </row>
    <row r="938" customFormat="false" ht="15" hidden="false" customHeight="true" outlineLevel="0" collapsed="false">
      <c r="A938" s="15" t="s">
        <v>9052</v>
      </c>
      <c r="B938" s="15" t="s">
        <v>9053</v>
      </c>
      <c r="C938" s="15" t="s">
        <v>9054</v>
      </c>
      <c r="D938" s="15" t="s">
        <v>9055</v>
      </c>
      <c r="E938" s="15" t="s">
        <v>9056</v>
      </c>
      <c r="F938" s="15" t="s">
        <v>9057</v>
      </c>
      <c r="G938" s="15" t="s">
        <v>9058</v>
      </c>
      <c r="H938" s="15" t="s">
        <v>9059</v>
      </c>
      <c r="I938" s="15"/>
      <c r="J938" s="15" t="s">
        <v>9060</v>
      </c>
      <c r="K938" s="15" t="s">
        <v>864</v>
      </c>
      <c r="L938" s="15" t="s">
        <v>9061</v>
      </c>
      <c r="M938" s="15" t="s">
        <v>9062</v>
      </c>
      <c r="N938" s="15" t="s">
        <v>73</v>
      </c>
      <c r="O938" s="16" t="n">
        <v>0</v>
      </c>
      <c r="P938" s="16" t="n">
        <v>0</v>
      </c>
      <c r="Q938" s="16" t="n">
        <v>0</v>
      </c>
      <c r="R938" s="16" t="n">
        <v>0</v>
      </c>
      <c r="S938" s="16" t="n">
        <v>0</v>
      </c>
      <c r="T938" s="17" t="n">
        <f aca="false">AVERAGE(O938:Q938)</f>
        <v>0</v>
      </c>
      <c r="U938" s="18" t="str">
        <f aca="false">IF(T938&gt;=$H$3,"Eligible","Not Eligible")</f>
        <v>Not Eligible</v>
      </c>
      <c r="V938" s="19" t="n">
        <f aca="false">IF(T938&lt;$H$3,0,IFERROR(T938/SUMIF($T$5:$T$999,"&gt;="&amp;$H$3),0))</f>
        <v>0</v>
      </c>
      <c r="W938" s="15" t="str">
        <f aca="false">IF(T938=0,"Win-Back","Active")</f>
        <v>Win-Back</v>
      </c>
      <c r="X938" s="20" t="n">
        <f aca="false">IF(T938=0,0,IF(T938&gt;=$H$3,ROUND(T938*$D$3/SUMIF($T$5:$T$999,"&gt;="&amp;$H$3),0),ROUNDUP(T938*$D$3/SUMIF($T$5:$T$999,"&gt;="&amp;$H$3),0)))</f>
        <v>0</v>
      </c>
      <c r="Y938" s="21"/>
      <c r="Z938" s="16" t="str">
        <f aca="false">IF(X938=0,"",X938-Y938)</f>
        <v/>
      </c>
      <c r="AA938" s="22" t="str">
        <f aca="false">IFERROR(Y938/X938,"")</f>
        <v/>
      </c>
      <c r="AB938" s="16" t="n">
        <v>0</v>
      </c>
      <c r="AC938" s="21"/>
    </row>
    <row r="939" customFormat="false" ht="15" hidden="false" customHeight="true" outlineLevel="0" collapsed="false">
      <c r="A939" s="15" t="s">
        <v>9063</v>
      </c>
      <c r="B939" s="15" t="s">
        <v>9064</v>
      </c>
      <c r="C939" s="15" t="s">
        <v>9065</v>
      </c>
      <c r="D939" s="15" t="s">
        <v>9066</v>
      </c>
      <c r="E939" s="15" t="s">
        <v>9067</v>
      </c>
      <c r="F939" s="15" t="s">
        <v>9068</v>
      </c>
      <c r="G939" s="15" t="s">
        <v>9069</v>
      </c>
      <c r="H939" s="15" t="s">
        <v>9070</v>
      </c>
      <c r="I939" s="15"/>
      <c r="J939" s="15" t="s">
        <v>9071</v>
      </c>
      <c r="K939" s="15" t="s">
        <v>493</v>
      </c>
      <c r="L939" s="15" t="s">
        <v>9072</v>
      </c>
      <c r="M939" s="15" t="s">
        <v>9073</v>
      </c>
      <c r="N939" s="15" t="s">
        <v>73</v>
      </c>
      <c r="O939" s="16" t="n">
        <v>0</v>
      </c>
      <c r="P939" s="16" t="n">
        <v>0</v>
      </c>
      <c r="Q939" s="16" t="n">
        <v>0</v>
      </c>
      <c r="R939" s="16" t="n">
        <v>0</v>
      </c>
      <c r="S939" s="16" t="n">
        <v>0</v>
      </c>
      <c r="T939" s="17" t="n">
        <f aca="false">AVERAGE(O939:Q939)</f>
        <v>0</v>
      </c>
      <c r="U939" s="18" t="str">
        <f aca="false">IF(T939&gt;=$H$3,"Eligible","Not Eligible")</f>
        <v>Not Eligible</v>
      </c>
      <c r="V939" s="19" t="n">
        <f aca="false">IF(T939&lt;$H$3,0,IFERROR(T939/SUMIF($T$5:$T$999,"&gt;="&amp;$H$3),0))</f>
        <v>0</v>
      </c>
      <c r="W939" s="15" t="str">
        <f aca="false">IF(T939=0,"Win-Back","Active")</f>
        <v>Win-Back</v>
      </c>
      <c r="X939" s="20" t="n">
        <f aca="false">IF(T939=0,0,IF(T939&gt;=$H$3,ROUND(T939*$D$3/SUMIF($T$5:$T$999,"&gt;="&amp;$H$3),0),ROUNDUP(T939*$D$3/SUMIF($T$5:$T$999,"&gt;="&amp;$H$3),0)))</f>
        <v>0</v>
      </c>
      <c r="Y939" s="21"/>
      <c r="Z939" s="16" t="str">
        <f aca="false">IF(X939=0,"",X939-Y939)</f>
        <v/>
      </c>
      <c r="AA939" s="22" t="str">
        <f aca="false">IFERROR(Y939/X939,"")</f>
        <v/>
      </c>
      <c r="AB939" s="16" t="n">
        <v>0</v>
      </c>
      <c r="AC939" s="21"/>
    </row>
    <row r="940" customFormat="false" ht="15" hidden="false" customHeight="true" outlineLevel="0" collapsed="false">
      <c r="A940" s="15" t="s">
        <v>9074</v>
      </c>
      <c r="B940" s="15" t="s">
        <v>9075</v>
      </c>
      <c r="C940" s="15" t="s">
        <v>9076</v>
      </c>
      <c r="D940" s="15" t="s">
        <v>9077</v>
      </c>
      <c r="E940" s="15" t="s">
        <v>9078</v>
      </c>
      <c r="F940" s="15" t="s">
        <v>9079</v>
      </c>
      <c r="G940" s="15" t="s">
        <v>9080</v>
      </c>
      <c r="H940" s="15" t="s">
        <v>9081</v>
      </c>
      <c r="I940" s="15"/>
      <c r="J940" s="15" t="s">
        <v>6332</v>
      </c>
      <c r="K940" s="15" t="s">
        <v>4892</v>
      </c>
      <c r="L940" s="15" t="s">
        <v>9082</v>
      </c>
      <c r="M940" s="15" t="s">
        <v>9083</v>
      </c>
      <c r="N940" s="15" t="s">
        <v>73</v>
      </c>
      <c r="O940" s="16" t="n">
        <v>0</v>
      </c>
      <c r="P940" s="16" t="n">
        <v>0</v>
      </c>
      <c r="Q940" s="16" t="n">
        <v>0</v>
      </c>
      <c r="R940" s="16" t="n">
        <v>0</v>
      </c>
      <c r="S940" s="16" t="n">
        <v>0</v>
      </c>
      <c r="T940" s="17" t="n">
        <f aca="false">AVERAGE(O940:Q940)</f>
        <v>0</v>
      </c>
      <c r="U940" s="18" t="str">
        <f aca="false">IF(T940&gt;=$H$3,"Eligible","Not Eligible")</f>
        <v>Not Eligible</v>
      </c>
      <c r="V940" s="19" t="n">
        <f aca="false">IF(T940&lt;$H$3,0,IFERROR(T940/SUMIF($T$5:$T$999,"&gt;="&amp;$H$3),0))</f>
        <v>0</v>
      </c>
      <c r="W940" s="15" t="str">
        <f aca="false">IF(T940=0,"Win-Back","Active")</f>
        <v>Win-Back</v>
      </c>
      <c r="X940" s="20" t="n">
        <f aca="false">IF(T940=0,0,IF(T940&gt;=$H$3,ROUND(T940*$D$3/SUMIF($T$5:$T$999,"&gt;="&amp;$H$3),0),ROUNDUP(T940*$D$3/SUMIF($T$5:$T$999,"&gt;="&amp;$H$3),0)))</f>
        <v>0</v>
      </c>
      <c r="Y940" s="21"/>
      <c r="Z940" s="16" t="str">
        <f aca="false">IF(X940=0,"",X940-Y940)</f>
        <v/>
      </c>
      <c r="AA940" s="22" t="str">
        <f aca="false">IFERROR(Y940/X940,"")</f>
        <v/>
      </c>
      <c r="AB940" s="16" t="n">
        <v>0</v>
      </c>
      <c r="AC940" s="21"/>
    </row>
    <row r="941" customFormat="false" ht="15" hidden="false" customHeight="true" outlineLevel="0" collapsed="false">
      <c r="A941" s="15" t="s">
        <v>9084</v>
      </c>
      <c r="B941" s="15" t="s">
        <v>9085</v>
      </c>
      <c r="C941" s="15" t="s">
        <v>9086</v>
      </c>
      <c r="D941" s="15" t="s">
        <v>9087</v>
      </c>
      <c r="E941" s="15" t="s">
        <v>9088</v>
      </c>
      <c r="F941" s="15" t="s">
        <v>9089</v>
      </c>
      <c r="G941" s="15" t="s">
        <v>9090</v>
      </c>
      <c r="H941" s="15" t="s">
        <v>9091</v>
      </c>
      <c r="I941" s="15" t="s">
        <v>4632</v>
      </c>
      <c r="J941" s="15" t="s">
        <v>9092</v>
      </c>
      <c r="K941" s="15" t="s">
        <v>1200</v>
      </c>
      <c r="L941" s="15" t="s">
        <v>9093</v>
      </c>
      <c r="M941" s="15" t="s">
        <v>9094</v>
      </c>
      <c r="N941" s="15" t="s">
        <v>73</v>
      </c>
      <c r="O941" s="16" t="n">
        <v>0</v>
      </c>
      <c r="P941" s="16" t="n">
        <v>0</v>
      </c>
      <c r="Q941" s="16" t="n">
        <v>0</v>
      </c>
      <c r="R941" s="16" t="n">
        <v>0</v>
      </c>
      <c r="S941" s="16" t="n">
        <v>0</v>
      </c>
      <c r="T941" s="17" t="n">
        <f aca="false">AVERAGE(O941:Q941)</f>
        <v>0</v>
      </c>
      <c r="U941" s="18" t="str">
        <f aca="false">IF(T941&gt;=$H$3,"Eligible","Not Eligible")</f>
        <v>Not Eligible</v>
      </c>
      <c r="V941" s="19" t="n">
        <f aca="false">IF(T941&lt;$H$3,0,IFERROR(T941/SUMIF($T$5:$T$999,"&gt;="&amp;$H$3),0))</f>
        <v>0</v>
      </c>
      <c r="W941" s="15" t="str">
        <f aca="false">IF(T941=0,"Win-Back","Active")</f>
        <v>Win-Back</v>
      </c>
      <c r="X941" s="20" t="n">
        <f aca="false">IF(T941=0,0,IF(T941&gt;=$H$3,ROUND(T941*$D$3/SUMIF($T$5:$T$999,"&gt;="&amp;$H$3),0),ROUNDUP(T941*$D$3/SUMIF($T$5:$T$999,"&gt;="&amp;$H$3),0)))</f>
        <v>0</v>
      </c>
      <c r="Y941" s="21"/>
      <c r="Z941" s="16" t="str">
        <f aca="false">IF(X941=0,"",X941-Y941)</f>
        <v/>
      </c>
      <c r="AA941" s="22" t="str">
        <f aca="false">IFERROR(Y941/X941,"")</f>
        <v/>
      </c>
      <c r="AB941" s="16" t="n">
        <v>0</v>
      </c>
      <c r="AC941" s="21"/>
    </row>
    <row r="942" customFormat="false" ht="15" hidden="false" customHeight="true" outlineLevel="0" collapsed="false">
      <c r="A942" s="15" t="s">
        <v>9095</v>
      </c>
      <c r="B942" s="15" t="s">
        <v>9096</v>
      </c>
      <c r="C942" s="15" t="s">
        <v>9097</v>
      </c>
      <c r="D942" s="15" t="s">
        <v>9077</v>
      </c>
      <c r="E942" s="15" t="s">
        <v>9078</v>
      </c>
      <c r="F942" s="15" t="s">
        <v>9098</v>
      </c>
      <c r="G942" s="15" t="s">
        <v>9080</v>
      </c>
      <c r="H942" s="15" t="s">
        <v>9099</v>
      </c>
      <c r="I942" s="15"/>
      <c r="J942" s="15" t="s">
        <v>6332</v>
      </c>
      <c r="K942" s="15" t="s">
        <v>4892</v>
      </c>
      <c r="L942" s="15" t="s">
        <v>9100</v>
      </c>
      <c r="M942" s="15" t="s">
        <v>9083</v>
      </c>
      <c r="N942" s="15" t="s">
        <v>73</v>
      </c>
      <c r="O942" s="16" t="n">
        <v>0</v>
      </c>
      <c r="P942" s="16" t="n">
        <v>0</v>
      </c>
      <c r="Q942" s="16" t="n">
        <v>0</v>
      </c>
      <c r="R942" s="16" t="n">
        <v>0</v>
      </c>
      <c r="S942" s="16" t="n">
        <v>0</v>
      </c>
      <c r="T942" s="17" t="n">
        <f aca="false">AVERAGE(O942:Q942)</f>
        <v>0</v>
      </c>
      <c r="U942" s="18" t="str">
        <f aca="false">IF(T942&gt;=$H$3,"Eligible","Not Eligible")</f>
        <v>Not Eligible</v>
      </c>
      <c r="V942" s="19" t="n">
        <f aca="false">IF(T942&lt;$H$3,0,IFERROR(T942/SUMIF($T$5:$T$999,"&gt;="&amp;$H$3),0))</f>
        <v>0</v>
      </c>
      <c r="W942" s="15" t="str">
        <f aca="false">IF(T942=0,"Win-Back","Active")</f>
        <v>Win-Back</v>
      </c>
      <c r="X942" s="20" t="n">
        <f aca="false">IF(T942=0,0,IF(T942&gt;=$H$3,ROUND(T942*$D$3/SUMIF($T$5:$T$999,"&gt;="&amp;$H$3),0),ROUNDUP(T942*$D$3/SUMIF($T$5:$T$999,"&gt;="&amp;$H$3),0)))</f>
        <v>0</v>
      </c>
      <c r="Y942" s="21"/>
      <c r="Z942" s="16" t="str">
        <f aca="false">IF(X942=0,"",X942-Y942)</f>
        <v/>
      </c>
      <c r="AA942" s="22" t="str">
        <f aca="false">IFERROR(Y942/X942,"")</f>
        <v/>
      </c>
      <c r="AB942" s="16" t="n">
        <v>0</v>
      </c>
      <c r="AC942" s="21"/>
    </row>
    <row r="943" customFormat="false" ht="15" hidden="false" customHeight="true" outlineLevel="0" collapsed="false">
      <c r="A943" s="15" t="s">
        <v>9101</v>
      </c>
      <c r="B943" s="15" t="s">
        <v>9102</v>
      </c>
      <c r="C943" s="15" t="s">
        <v>9103</v>
      </c>
      <c r="D943" s="15" t="s">
        <v>9104</v>
      </c>
      <c r="E943" s="15" t="s">
        <v>1662</v>
      </c>
      <c r="F943" s="15" t="s">
        <v>9105</v>
      </c>
      <c r="G943" s="15" t="s">
        <v>9106</v>
      </c>
      <c r="H943" s="15" t="s">
        <v>9107</v>
      </c>
      <c r="I943" s="15" t="s">
        <v>9108</v>
      </c>
      <c r="J943" s="15" t="s">
        <v>6699</v>
      </c>
      <c r="K943" s="15" t="s">
        <v>368</v>
      </c>
      <c r="L943" s="15" t="s">
        <v>6700</v>
      </c>
      <c r="M943" s="15" t="s">
        <v>9109</v>
      </c>
      <c r="N943" s="15" t="s">
        <v>73</v>
      </c>
      <c r="O943" s="16" t="n">
        <v>0</v>
      </c>
      <c r="P943" s="16" t="n">
        <v>0</v>
      </c>
      <c r="Q943" s="16" t="n">
        <v>0</v>
      </c>
      <c r="R943" s="16" t="n">
        <v>0</v>
      </c>
      <c r="S943" s="16" t="n">
        <v>0</v>
      </c>
      <c r="T943" s="17" t="n">
        <f aca="false">AVERAGE(O943:Q943)</f>
        <v>0</v>
      </c>
      <c r="U943" s="18" t="str">
        <f aca="false">IF(T943&gt;=$H$3,"Eligible","Not Eligible")</f>
        <v>Not Eligible</v>
      </c>
      <c r="V943" s="19" t="n">
        <f aca="false">IF(T943&lt;$H$3,0,IFERROR(T943/SUMIF($T$5:$T$999,"&gt;="&amp;$H$3),0))</f>
        <v>0</v>
      </c>
      <c r="W943" s="15" t="str">
        <f aca="false">IF(T943=0,"Win-Back","Active")</f>
        <v>Win-Back</v>
      </c>
      <c r="X943" s="20" t="n">
        <f aca="false">IF(T943=0,0,IF(T943&gt;=$H$3,ROUND(T943*$D$3/SUMIF($T$5:$T$999,"&gt;="&amp;$H$3),0),ROUNDUP(T943*$D$3/SUMIF($T$5:$T$999,"&gt;="&amp;$H$3),0)))</f>
        <v>0</v>
      </c>
      <c r="Y943" s="21"/>
      <c r="Z943" s="16" t="str">
        <f aca="false">IF(X943=0,"",X943-Y943)</f>
        <v/>
      </c>
      <c r="AA943" s="22" t="str">
        <f aca="false">IFERROR(Y943/X943,"")</f>
        <v/>
      </c>
      <c r="AB943" s="16" t="n">
        <v>0</v>
      </c>
      <c r="AC943" s="21"/>
    </row>
    <row r="944" customFormat="false" ht="15" hidden="false" customHeight="true" outlineLevel="0" collapsed="false">
      <c r="A944" s="15" t="s">
        <v>9110</v>
      </c>
      <c r="B944" s="15" t="s">
        <v>9111</v>
      </c>
      <c r="C944" s="15" t="s">
        <v>9112</v>
      </c>
      <c r="D944" s="15" t="s">
        <v>741</v>
      </c>
      <c r="E944" s="15" t="s">
        <v>1145</v>
      </c>
      <c r="F944" s="15" t="s">
        <v>743</v>
      </c>
      <c r="G944" s="15" t="s">
        <v>744</v>
      </c>
      <c r="H944" s="15" t="s">
        <v>9113</v>
      </c>
      <c r="I944" s="15" t="s">
        <v>9114</v>
      </c>
      <c r="J944" s="15" t="s">
        <v>379</v>
      </c>
      <c r="K944" s="15" t="s">
        <v>368</v>
      </c>
      <c r="L944" s="15" t="s">
        <v>747</v>
      </c>
      <c r="M944" s="15" t="s">
        <v>748</v>
      </c>
      <c r="N944" s="15" t="s">
        <v>73</v>
      </c>
      <c r="O944" s="16" t="n">
        <v>0</v>
      </c>
      <c r="P944" s="16" t="n">
        <v>0</v>
      </c>
      <c r="Q944" s="16" t="n">
        <v>0</v>
      </c>
      <c r="R944" s="16" t="n">
        <v>0</v>
      </c>
      <c r="S944" s="16" t="n">
        <v>0</v>
      </c>
      <c r="T944" s="17" t="n">
        <f aca="false">AVERAGE(O944:Q944)</f>
        <v>0</v>
      </c>
      <c r="U944" s="18" t="str">
        <f aca="false">IF(T944&gt;=$H$3,"Eligible","Not Eligible")</f>
        <v>Not Eligible</v>
      </c>
      <c r="V944" s="19" t="n">
        <f aca="false">IF(T944&lt;$H$3,0,IFERROR(T944/SUMIF($T$5:$T$999,"&gt;="&amp;$H$3),0))</f>
        <v>0</v>
      </c>
      <c r="W944" s="15" t="str">
        <f aca="false">IF(T944=0,"Win-Back","Active")</f>
        <v>Win-Back</v>
      </c>
      <c r="X944" s="20" t="n">
        <f aca="false">IF(T944=0,0,IF(T944&gt;=$H$3,ROUND(T944*$D$3/SUMIF($T$5:$T$999,"&gt;="&amp;$H$3),0),ROUNDUP(T944*$D$3/SUMIF($T$5:$T$999,"&gt;="&amp;$H$3),0)))</f>
        <v>0</v>
      </c>
      <c r="Y944" s="21"/>
      <c r="Z944" s="16" t="str">
        <f aca="false">IF(X944=0,"",X944-Y944)</f>
        <v/>
      </c>
      <c r="AA944" s="22" t="str">
        <f aca="false">IFERROR(Y944/X944,"")</f>
        <v/>
      </c>
      <c r="AB944" s="16" t="n">
        <v>0</v>
      </c>
      <c r="AC944" s="21"/>
    </row>
    <row r="945" customFormat="false" ht="15" hidden="false" customHeight="true" outlineLevel="0" collapsed="false">
      <c r="A945" s="15" t="s">
        <v>9115</v>
      </c>
      <c r="B945" s="15" t="s">
        <v>9116</v>
      </c>
      <c r="C945" s="15" t="s">
        <v>9117</v>
      </c>
      <c r="D945" s="15" t="s">
        <v>9118</v>
      </c>
      <c r="E945" s="15" t="s">
        <v>9119</v>
      </c>
      <c r="F945" s="15" t="s">
        <v>9120</v>
      </c>
      <c r="G945" s="15" t="s">
        <v>9121</v>
      </c>
      <c r="H945" s="15" t="s">
        <v>9122</v>
      </c>
      <c r="I945" s="15"/>
      <c r="J945" s="15" t="s">
        <v>9123</v>
      </c>
      <c r="K945" s="15" t="s">
        <v>735</v>
      </c>
      <c r="L945" s="15" t="s">
        <v>9124</v>
      </c>
      <c r="M945" s="15" t="s">
        <v>9125</v>
      </c>
      <c r="N945" s="15" t="s">
        <v>73</v>
      </c>
      <c r="O945" s="16" t="n">
        <v>0</v>
      </c>
      <c r="P945" s="16" t="n">
        <v>0</v>
      </c>
      <c r="Q945" s="16" t="n">
        <v>0</v>
      </c>
      <c r="R945" s="16" t="n">
        <v>0</v>
      </c>
      <c r="S945" s="16" t="n">
        <v>0</v>
      </c>
      <c r="T945" s="17" t="n">
        <f aca="false">AVERAGE(O945:Q945)</f>
        <v>0</v>
      </c>
      <c r="U945" s="18" t="str">
        <f aca="false">IF(T945&gt;=$H$3,"Eligible","Not Eligible")</f>
        <v>Not Eligible</v>
      </c>
      <c r="V945" s="19" t="n">
        <f aca="false">IF(T945&lt;$H$3,0,IFERROR(T945/SUMIF($T$5:$T$999,"&gt;="&amp;$H$3),0))</f>
        <v>0</v>
      </c>
      <c r="W945" s="15" t="str">
        <f aca="false">IF(T945=0,"Win-Back","Active")</f>
        <v>Win-Back</v>
      </c>
      <c r="X945" s="20" t="n">
        <f aca="false">IF(T945=0,0,IF(T945&gt;=$H$3,ROUND(T945*$D$3/SUMIF($T$5:$T$999,"&gt;="&amp;$H$3),0),ROUNDUP(T945*$D$3/SUMIF($T$5:$T$999,"&gt;="&amp;$H$3),0)))</f>
        <v>0</v>
      </c>
      <c r="Y945" s="21"/>
      <c r="Z945" s="16" t="str">
        <f aca="false">IF(X945=0,"",X945-Y945)</f>
        <v/>
      </c>
      <c r="AA945" s="22" t="str">
        <f aca="false">IFERROR(Y945/X945,"")</f>
        <v/>
      </c>
      <c r="AB945" s="16" t="n">
        <v>0</v>
      </c>
      <c r="AC945" s="21"/>
    </row>
    <row r="946" customFormat="false" ht="15" hidden="false" customHeight="true" outlineLevel="0" collapsed="false">
      <c r="A946" s="15" t="s">
        <v>9126</v>
      </c>
      <c r="B946" s="15" t="s">
        <v>9127</v>
      </c>
      <c r="C946" s="15" t="s">
        <v>9128</v>
      </c>
      <c r="D946" s="15" t="s">
        <v>9129</v>
      </c>
      <c r="E946" s="15" t="s">
        <v>9130</v>
      </c>
      <c r="F946" s="15" t="s">
        <v>9131</v>
      </c>
      <c r="G946" s="15" t="s">
        <v>9132</v>
      </c>
      <c r="H946" s="15" t="s">
        <v>9133</v>
      </c>
      <c r="I946" s="15"/>
      <c r="J946" s="15" t="s">
        <v>1064</v>
      </c>
      <c r="K946" s="15" t="s">
        <v>368</v>
      </c>
      <c r="L946" s="15" t="s">
        <v>1065</v>
      </c>
      <c r="M946" s="15" t="s">
        <v>9134</v>
      </c>
      <c r="N946" s="15" t="s">
        <v>73</v>
      </c>
      <c r="O946" s="16" t="n">
        <v>0</v>
      </c>
      <c r="P946" s="16" t="n">
        <v>0</v>
      </c>
      <c r="Q946" s="16" t="n">
        <v>0</v>
      </c>
      <c r="R946" s="16" t="n">
        <v>0</v>
      </c>
      <c r="S946" s="16" t="n">
        <v>0</v>
      </c>
      <c r="T946" s="17" t="n">
        <f aca="false">AVERAGE(O946:Q946)</f>
        <v>0</v>
      </c>
      <c r="U946" s="18" t="str">
        <f aca="false">IF(T946&gt;=$H$3,"Eligible","Not Eligible")</f>
        <v>Not Eligible</v>
      </c>
      <c r="V946" s="19" t="n">
        <f aca="false">IF(T946&lt;$H$3,0,IFERROR(T946/SUMIF($T$5:$T$999,"&gt;="&amp;$H$3),0))</f>
        <v>0</v>
      </c>
      <c r="W946" s="15" t="str">
        <f aca="false">IF(T946=0,"Win-Back","Active")</f>
        <v>Win-Back</v>
      </c>
      <c r="X946" s="20" t="n">
        <f aca="false">IF(T946=0,0,IF(T946&gt;=$H$3,ROUND(T946*$D$3/SUMIF($T$5:$T$999,"&gt;="&amp;$H$3),0),ROUNDUP(T946*$D$3/SUMIF($T$5:$T$999,"&gt;="&amp;$H$3),0)))</f>
        <v>0</v>
      </c>
      <c r="Y946" s="21"/>
      <c r="Z946" s="16" t="str">
        <f aca="false">IF(X946=0,"",X946-Y946)</f>
        <v/>
      </c>
      <c r="AA946" s="22" t="str">
        <f aca="false">IFERROR(Y946/X946,"")</f>
        <v/>
      </c>
      <c r="AB946" s="16" t="n">
        <v>0</v>
      </c>
      <c r="AC946" s="21"/>
    </row>
    <row r="947" customFormat="false" ht="15" hidden="false" customHeight="true" outlineLevel="0" collapsed="false">
      <c r="A947" s="15" t="s">
        <v>9135</v>
      </c>
      <c r="B947" s="15" t="s">
        <v>9136</v>
      </c>
      <c r="C947" s="15" t="s">
        <v>9137</v>
      </c>
      <c r="D947" s="15" t="s">
        <v>9138</v>
      </c>
      <c r="E947" s="15" t="s">
        <v>2150</v>
      </c>
      <c r="F947" s="15" t="s">
        <v>9139</v>
      </c>
      <c r="G947" s="15" t="s">
        <v>2152</v>
      </c>
      <c r="H947" s="15" t="s">
        <v>9140</v>
      </c>
      <c r="I947" s="15"/>
      <c r="J947" s="15" t="s">
        <v>4863</v>
      </c>
      <c r="K947" s="15" t="s">
        <v>735</v>
      </c>
      <c r="L947" s="15" t="s">
        <v>4864</v>
      </c>
      <c r="M947" s="15" t="s">
        <v>7368</v>
      </c>
      <c r="N947" s="15" t="s">
        <v>73</v>
      </c>
      <c r="O947" s="16" t="n">
        <v>0</v>
      </c>
      <c r="P947" s="16" t="n">
        <v>0</v>
      </c>
      <c r="Q947" s="16" t="n">
        <v>0</v>
      </c>
      <c r="R947" s="16" t="n">
        <v>0</v>
      </c>
      <c r="S947" s="16" t="n">
        <v>0</v>
      </c>
      <c r="T947" s="17" t="n">
        <f aca="false">AVERAGE(O947:Q947)</f>
        <v>0</v>
      </c>
      <c r="U947" s="18" t="str">
        <f aca="false">IF(T947&gt;=$H$3,"Eligible","Not Eligible")</f>
        <v>Not Eligible</v>
      </c>
      <c r="V947" s="19" t="n">
        <f aca="false">IF(T947&lt;$H$3,0,IFERROR(T947/SUMIF($T$5:$T$999,"&gt;="&amp;$H$3),0))</f>
        <v>0</v>
      </c>
      <c r="W947" s="15" t="str">
        <f aca="false">IF(T947=0,"Win-Back","Active")</f>
        <v>Win-Back</v>
      </c>
      <c r="X947" s="20" t="n">
        <f aca="false">IF(T947=0,0,IF(T947&gt;=$H$3,ROUND(T947*$D$3/SUMIF($T$5:$T$999,"&gt;="&amp;$H$3),0),ROUNDUP(T947*$D$3/SUMIF($T$5:$T$999,"&gt;="&amp;$H$3),0)))</f>
        <v>0</v>
      </c>
      <c r="Y947" s="21"/>
      <c r="Z947" s="16" t="str">
        <f aca="false">IF(X947=0,"",X947-Y947)</f>
        <v/>
      </c>
      <c r="AA947" s="22" t="str">
        <f aca="false">IFERROR(Y947/X947,"")</f>
        <v/>
      </c>
      <c r="AB947" s="16" t="n">
        <v>0</v>
      </c>
      <c r="AC947" s="21"/>
    </row>
    <row r="948" customFormat="false" ht="15" hidden="false" customHeight="true" outlineLevel="0" collapsed="false">
      <c r="A948" s="15" t="s">
        <v>9141</v>
      </c>
      <c r="B948" s="15" t="s">
        <v>9142</v>
      </c>
      <c r="C948" s="15" t="s">
        <v>9143</v>
      </c>
      <c r="D948" s="15" t="s">
        <v>9144</v>
      </c>
      <c r="E948" s="15" t="s">
        <v>9145</v>
      </c>
      <c r="F948" s="15" t="s">
        <v>9146</v>
      </c>
      <c r="G948" s="15" t="s">
        <v>9147</v>
      </c>
      <c r="H948" s="15" t="s">
        <v>9148</v>
      </c>
      <c r="I948" s="15"/>
      <c r="J948" s="15" t="s">
        <v>9149</v>
      </c>
      <c r="K948" s="15" t="s">
        <v>47</v>
      </c>
      <c r="L948" s="15" t="s">
        <v>9150</v>
      </c>
      <c r="M948" s="15" t="s">
        <v>9151</v>
      </c>
      <c r="N948" s="15" t="s">
        <v>73</v>
      </c>
      <c r="O948" s="16" t="n">
        <v>0</v>
      </c>
      <c r="P948" s="16" t="n">
        <v>0</v>
      </c>
      <c r="Q948" s="16" t="n">
        <v>0</v>
      </c>
      <c r="R948" s="16" t="n">
        <v>0</v>
      </c>
      <c r="S948" s="16" t="n">
        <v>0</v>
      </c>
      <c r="T948" s="17" t="n">
        <f aca="false">AVERAGE(O948:Q948)</f>
        <v>0</v>
      </c>
      <c r="U948" s="18" t="str">
        <f aca="false">IF(T948&gt;=$H$3,"Eligible","Not Eligible")</f>
        <v>Not Eligible</v>
      </c>
      <c r="V948" s="19" t="n">
        <f aca="false">IF(T948&lt;$H$3,0,IFERROR(T948/SUMIF($T$5:$T$999,"&gt;="&amp;$H$3),0))</f>
        <v>0</v>
      </c>
      <c r="W948" s="15" t="str">
        <f aca="false">IF(T948=0,"Win-Back","Active")</f>
        <v>Win-Back</v>
      </c>
      <c r="X948" s="20" t="n">
        <f aca="false">IF(T948=0,0,IF(T948&gt;=$H$3,ROUND(T948*$D$3/SUMIF($T$5:$T$999,"&gt;="&amp;$H$3),0),ROUNDUP(T948*$D$3/SUMIF($T$5:$T$999,"&gt;="&amp;$H$3),0)))</f>
        <v>0</v>
      </c>
      <c r="Y948" s="21"/>
      <c r="Z948" s="16" t="str">
        <f aca="false">IF(X948=0,"",X948-Y948)</f>
        <v/>
      </c>
      <c r="AA948" s="22" t="str">
        <f aca="false">IFERROR(Y948/X948,"")</f>
        <v/>
      </c>
      <c r="AB948" s="16" t="n">
        <v>0</v>
      </c>
      <c r="AC948" s="21"/>
    </row>
    <row r="949" customFormat="false" ht="15" hidden="false" customHeight="true" outlineLevel="0" collapsed="false">
      <c r="A949" s="15" t="s">
        <v>9152</v>
      </c>
      <c r="B949" s="15" t="s">
        <v>9153</v>
      </c>
      <c r="C949" s="15" t="s">
        <v>9154</v>
      </c>
      <c r="D949" s="15" t="s">
        <v>9155</v>
      </c>
      <c r="E949" s="15" t="s">
        <v>9156</v>
      </c>
      <c r="F949" s="15" t="s">
        <v>9157</v>
      </c>
      <c r="G949" s="15" t="s">
        <v>9158</v>
      </c>
      <c r="H949" s="15" t="s">
        <v>9159</v>
      </c>
      <c r="I949" s="15" t="s">
        <v>9160</v>
      </c>
      <c r="J949" s="15" t="s">
        <v>9161</v>
      </c>
      <c r="K949" s="15" t="s">
        <v>70</v>
      </c>
      <c r="L949" s="15" t="s">
        <v>9162</v>
      </c>
      <c r="M949" s="15" t="s">
        <v>9163</v>
      </c>
      <c r="N949" s="15" t="s">
        <v>73</v>
      </c>
      <c r="O949" s="16" t="n">
        <v>0</v>
      </c>
      <c r="P949" s="16" t="n">
        <v>0</v>
      </c>
      <c r="Q949" s="16" t="n">
        <v>0</v>
      </c>
      <c r="R949" s="16" t="n">
        <v>0</v>
      </c>
      <c r="S949" s="16" t="n">
        <v>0</v>
      </c>
      <c r="T949" s="17" t="n">
        <f aca="false">AVERAGE(O949:Q949)</f>
        <v>0</v>
      </c>
      <c r="U949" s="18" t="str">
        <f aca="false">IF(T949&gt;=$H$3,"Eligible","Not Eligible")</f>
        <v>Not Eligible</v>
      </c>
      <c r="V949" s="19" t="n">
        <f aca="false">IF(T949&lt;$H$3,0,IFERROR(T949/SUMIF($T$5:$T$999,"&gt;="&amp;$H$3),0))</f>
        <v>0</v>
      </c>
      <c r="W949" s="15" t="str">
        <f aca="false">IF(T949=0,"Win-Back","Active")</f>
        <v>Win-Back</v>
      </c>
      <c r="X949" s="20" t="n">
        <f aca="false">IF(T949=0,0,IF(T949&gt;=$H$3,ROUND(T949*$D$3/SUMIF($T$5:$T$999,"&gt;="&amp;$H$3),0),ROUNDUP(T949*$D$3/SUMIF($T$5:$T$999,"&gt;="&amp;$H$3),0)))</f>
        <v>0</v>
      </c>
      <c r="Y949" s="21"/>
      <c r="Z949" s="16" t="str">
        <f aca="false">IF(X949=0,"",X949-Y949)</f>
        <v/>
      </c>
      <c r="AA949" s="22" t="str">
        <f aca="false">IFERROR(Y949/X949,"")</f>
        <v/>
      </c>
      <c r="AB949" s="16" t="n">
        <v>0</v>
      </c>
      <c r="AC949" s="21"/>
    </row>
    <row r="950" customFormat="false" ht="15" hidden="false" customHeight="true" outlineLevel="0" collapsed="false">
      <c r="A950" s="15" t="s">
        <v>9164</v>
      </c>
      <c r="B950" s="15" t="s">
        <v>9165</v>
      </c>
      <c r="C950" s="15" t="s">
        <v>9166</v>
      </c>
      <c r="D950" s="15" t="s">
        <v>9167</v>
      </c>
      <c r="E950" s="15" t="s">
        <v>9168</v>
      </c>
      <c r="F950" s="15" t="s">
        <v>9169</v>
      </c>
      <c r="G950" s="15" t="s">
        <v>9170</v>
      </c>
      <c r="H950" s="15" t="s">
        <v>9171</v>
      </c>
      <c r="I950" s="15"/>
      <c r="J950" s="15" t="s">
        <v>1300</v>
      </c>
      <c r="K950" s="15" t="s">
        <v>368</v>
      </c>
      <c r="L950" s="15" t="s">
        <v>3337</v>
      </c>
      <c r="M950" s="15" t="s">
        <v>9172</v>
      </c>
      <c r="N950" s="15" t="s">
        <v>73</v>
      </c>
      <c r="O950" s="16" t="n">
        <v>0</v>
      </c>
      <c r="P950" s="16" t="n">
        <v>0</v>
      </c>
      <c r="Q950" s="16" t="n">
        <v>0</v>
      </c>
      <c r="R950" s="16" t="n">
        <v>0</v>
      </c>
      <c r="S950" s="16" t="n">
        <v>0</v>
      </c>
      <c r="T950" s="17" t="n">
        <f aca="false">AVERAGE(O950:Q950)</f>
        <v>0</v>
      </c>
      <c r="U950" s="18" t="str">
        <f aca="false">IF(T950&gt;=$H$3,"Eligible","Not Eligible")</f>
        <v>Not Eligible</v>
      </c>
      <c r="V950" s="19" t="n">
        <f aca="false">IF(T950&lt;$H$3,0,IFERROR(T950/SUMIF($T$5:$T$999,"&gt;="&amp;$H$3),0))</f>
        <v>0</v>
      </c>
      <c r="W950" s="15" t="str">
        <f aca="false">IF(T950=0,"Win-Back","Active")</f>
        <v>Win-Back</v>
      </c>
      <c r="X950" s="20" t="n">
        <f aca="false">IF(T950=0,0,IF(T950&gt;=$H$3,ROUND(T950*$D$3/SUMIF($T$5:$T$999,"&gt;="&amp;$H$3),0),ROUNDUP(T950*$D$3/SUMIF($T$5:$T$999,"&gt;="&amp;$H$3),0)))</f>
        <v>0</v>
      </c>
      <c r="Y950" s="21"/>
      <c r="Z950" s="16" t="str">
        <f aca="false">IF(X950=0,"",X950-Y950)</f>
        <v/>
      </c>
      <c r="AA950" s="22" t="str">
        <f aca="false">IFERROR(Y950/X950,"")</f>
        <v/>
      </c>
      <c r="AB950" s="16" t="n">
        <v>0</v>
      </c>
      <c r="AC950" s="21"/>
    </row>
    <row r="951" customFormat="false" ht="15" hidden="false" customHeight="true" outlineLevel="0" collapsed="false">
      <c r="A951" s="15" t="s">
        <v>9173</v>
      </c>
      <c r="B951" s="15" t="s">
        <v>9174</v>
      </c>
      <c r="C951" s="15" t="s">
        <v>9175</v>
      </c>
      <c r="D951" s="15" t="s">
        <v>9176</v>
      </c>
      <c r="E951" s="15" t="s">
        <v>9177</v>
      </c>
      <c r="F951" s="15" t="s">
        <v>9178</v>
      </c>
      <c r="G951" s="15" t="s">
        <v>9179</v>
      </c>
      <c r="H951" s="15" t="s">
        <v>9180</v>
      </c>
      <c r="I951" s="15" t="s">
        <v>9181</v>
      </c>
      <c r="J951" s="15" t="s">
        <v>5991</v>
      </c>
      <c r="K951" s="15" t="s">
        <v>1418</v>
      </c>
      <c r="L951" s="15" t="s">
        <v>5992</v>
      </c>
      <c r="M951" s="15" t="s">
        <v>9182</v>
      </c>
      <c r="N951" s="15" t="s">
        <v>73</v>
      </c>
      <c r="O951" s="16" t="n">
        <v>0</v>
      </c>
      <c r="P951" s="16" t="n">
        <v>0</v>
      </c>
      <c r="Q951" s="16" t="n">
        <v>0</v>
      </c>
      <c r="R951" s="16" t="n">
        <v>0</v>
      </c>
      <c r="S951" s="16" t="n">
        <v>0</v>
      </c>
      <c r="T951" s="17" t="n">
        <f aca="false">AVERAGE(O951:Q951)</f>
        <v>0</v>
      </c>
      <c r="U951" s="18" t="str">
        <f aca="false">IF(T951&gt;=$H$3,"Eligible","Not Eligible")</f>
        <v>Not Eligible</v>
      </c>
      <c r="V951" s="19" t="n">
        <f aca="false">IF(T951&lt;$H$3,0,IFERROR(T951/SUMIF($T$5:$T$999,"&gt;="&amp;$H$3),0))</f>
        <v>0</v>
      </c>
      <c r="W951" s="15" t="str">
        <f aca="false">IF(T951=0,"Win-Back","Active")</f>
        <v>Win-Back</v>
      </c>
      <c r="X951" s="20" t="n">
        <f aca="false">IF(T951=0,0,IF(T951&gt;=$H$3,ROUND(T951*$D$3/SUMIF($T$5:$T$999,"&gt;="&amp;$H$3),0),ROUNDUP(T951*$D$3/SUMIF($T$5:$T$999,"&gt;="&amp;$H$3),0)))</f>
        <v>0</v>
      </c>
      <c r="Y951" s="21"/>
      <c r="Z951" s="16" t="str">
        <f aca="false">IF(X951=0,"",X951-Y951)</f>
        <v/>
      </c>
      <c r="AA951" s="22" t="str">
        <f aca="false">IFERROR(Y951/X951,"")</f>
        <v/>
      </c>
      <c r="AB951" s="16" t="n">
        <v>0</v>
      </c>
      <c r="AC951" s="21"/>
    </row>
    <row r="952" customFormat="false" ht="15" hidden="false" customHeight="true" outlineLevel="0" collapsed="false">
      <c r="A952" s="15" t="s">
        <v>9183</v>
      </c>
      <c r="B952" s="15" t="s">
        <v>9184</v>
      </c>
      <c r="C952" s="15" t="s">
        <v>9185</v>
      </c>
      <c r="D952" s="15" t="s">
        <v>9186</v>
      </c>
      <c r="E952" s="15" t="s">
        <v>9187</v>
      </c>
      <c r="F952" s="15" t="s">
        <v>9188</v>
      </c>
      <c r="G952" s="15" t="s">
        <v>9189</v>
      </c>
      <c r="H952" s="15" t="s">
        <v>9190</v>
      </c>
      <c r="I952" s="15" t="s">
        <v>3407</v>
      </c>
      <c r="J952" s="15" t="s">
        <v>7450</v>
      </c>
      <c r="K952" s="15" t="s">
        <v>368</v>
      </c>
      <c r="L952" s="15" t="s">
        <v>9191</v>
      </c>
      <c r="M952" s="15" t="s">
        <v>9192</v>
      </c>
      <c r="N952" s="15" t="s">
        <v>73</v>
      </c>
      <c r="O952" s="16" t="n">
        <v>0</v>
      </c>
      <c r="P952" s="16" t="n">
        <v>0</v>
      </c>
      <c r="Q952" s="16" t="n">
        <v>0</v>
      </c>
      <c r="R952" s="16" t="n">
        <v>0</v>
      </c>
      <c r="S952" s="16" t="n">
        <v>0</v>
      </c>
      <c r="T952" s="17" t="n">
        <f aca="false">AVERAGE(O952:Q952)</f>
        <v>0</v>
      </c>
      <c r="U952" s="18" t="str">
        <f aca="false">IF(T952&gt;=$H$3,"Eligible","Not Eligible")</f>
        <v>Not Eligible</v>
      </c>
      <c r="V952" s="19" t="n">
        <f aca="false">IF(T952&lt;$H$3,0,IFERROR(T952/SUMIF($T$5:$T$999,"&gt;="&amp;$H$3),0))</f>
        <v>0</v>
      </c>
      <c r="W952" s="15" t="str">
        <f aca="false">IF(T952=0,"Win-Back","Active")</f>
        <v>Win-Back</v>
      </c>
      <c r="X952" s="20" t="n">
        <f aca="false">IF(T952=0,0,IF(T952&gt;=$H$3,ROUND(T952*$D$3/SUMIF($T$5:$T$999,"&gt;="&amp;$H$3),0),ROUNDUP(T952*$D$3/SUMIF($T$5:$T$999,"&gt;="&amp;$H$3),0)))</f>
        <v>0</v>
      </c>
      <c r="Y952" s="21"/>
      <c r="Z952" s="16" t="str">
        <f aca="false">IF(X952=0,"",X952-Y952)</f>
        <v/>
      </c>
      <c r="AA952" s="22" t="str">
        <f aca="false">IFERROR(Y952/X952,"")</f>
        <v/>
      </c>
      <c r="AB952" s="16" t="n">
        <v>0</v>
      </c>
      <c r="AC952" s="21"/>
    </row>
    <row r="953" customFormat="false" ht="15" hidden="false" customHeight="true" outlineLevel="0" collapsed="false">
      <c r="A953" s="15" t="s">
        <v>9193</v>
      </c>
      <c r="B953" s="15" t="s">
        <v>9194</v>
      </c>
      <c r="C953" s="15" t="s">
        <v>9195</v>
      </c>
      <c r="D953" s="15" t="s">
        <v>9196</v>
      </c>
      <c r="E953" s="15" t="s">
        <v>9197</v>
      </c>
      <c r="F953" s="15" t="s">
        <v>9198</v>
      </c>
      <c r="G953" s="15" t="s">
        <v>9199</v>
      </c>
      <c r="H953" s="15" t="s">
        <v>9200</v>
      </c>
      <c r="I953" s="15"/>
      <c r="J953" s="15" t="s">
        <v>9201</v>
      </c>
      <c r="K953" s="15" t="s">
        <v>735</v>
      </c>
      <c r="L953" s="15" t="s">
        <v>9202</v>
      </c>
      <c r="M953" s="15" t="s">
        <v>9203</v>
      </c>
      <c r="N953" s="15" t="s">
        <v>73</v>
      </c>
      <c r="O953" s="16" t="n">
        <v>0</v>
      </c>
      <c r="P953" s="16" t="n">
        <v>0</v>
      </c>
      <c r="Q953" s="16" t="n">
        <v>0</v>
      </c>
      <c r="R953" s="16" t="n">
        <v>0</v>
      </c>
      <c r="S953" s="16" t="n">
        <v>0</v>
      </c>
      <c r="T953" s="17" t="n">
        <f aca="false">AVERAGE(O953:Q953)</f>
        <v>0</v>
      </c>
      <c r="U953" s="18" t="str">
        <f aca="false">IF(T953&gt;=$H$3,"Eligible","Not Eligible")</f>
        <v>Not Eligible</v>
      </c>
      <c r="V953" s="19" t="n">
        <f aca="false">IF(T953&lt;$H$3,0,IFERROR(T953/SUMIF($T$5:$T$999,"&gt;="&amp;$H$3),0))</f>
        <v>0</v>
      </c>
      <c r="W953" s="15" t="str">
        <f aca="false">IF(T953=0,"Win-Back","Active")</f>
        <v>Win-Back</v>
      </c>
      <c r="X953" s="20" t="n">
        <f aca="false">IF(T953=0,0,IF(T953&gt;=$H$3,ROUND(T953*$D$3/SUMIF($T$5:$T$999,"&gt;="&amp;$H$3),0),ROUNDUP(T953*$D$3/SUMIF($T$5:$T$999,"&gt;="&amp;$H$3),0)))</f>
        <v>0</v>
      </c>
      <c r="Y953" s="21"/>
      <c r="Z953" s="16" t="str">
        <f aca="false">IF(X953=0,"",X953-Y953)</f>
        <v/>
      </c>
      <c r="AA953" s="22" t="str">
        <f aca="false">IFERROR(Y953/X953,"")</f>
        <v/>
      </c>
      <c r="AB953" s="16" t="n">
        <v>0</v>
      </c>
      <c r="AC953" s="21"/>
    </row>
    <row r="954" customFormat="false" ht="15" hidden="false" customHeight="true" outlineLevel="0" collapsed="false">
      <c r="A954" s="15" t="s">
        <v>9204</v>
      </c>
      <c r="B954" s="15" t="s">
        <v>9205</v>
      </c>
      <c r="C954" s="15" t="s">
        <v>9206</v>
      </c>
      <c r="D954" s="15" t="s">
        <v>9207</v>
      </c>
      <c r="E954" s="15" t="s">
        <v>9208</v>
      </c>
      <c r="F954" s="15" t="s">
        <v>9209</v>
      </c>
      <c r="G954" s="15" t="s">
        <v>9210</v>
      </c>
      <c r="H954" s="15" t="s">
        <v>9211</v>
      </c>
      <c r="I954" s="15"/>
      <c r="J954" s="15" t="s">
        <v>9212</v>
      </c>
      <c r="K954" s="15" t="s">
        <v>402</v>
      </c>
      <c r="L954" s="15" t="s">
        <v>9213</v>
      </c>
      <c r="M954" s="15" t="s">
        <v>9214</v>
      </c>
      <c r="N954" s="15" t="s">
        <v>73</v>
      </c>
      <c r="O954" s="16" t="n">
        <v>0</v>
      </c>
      <c r="P954" s="16" t="n">
        <v>0</v>
      </c>
      <c r="Q954" s="16" t="n">
        <v>0</v>
      </c>
      <c r="R954" s="16" t="n">
        <v>0</v>
      </c>
      <c r="S954" s="16" t="n">
        <v>0</v>
      </c>
      <c r="T954" s="17" t="n">
        <f aca="false">AVERAGE(O954:Q954)</f>
        <v>0</v>
      </c>
      <c r="U954" s="18" t="str">
        <f aca="false">IF(T954&gt;=$H$3,"Eligible","Not Eligible")</f>
        <v>Not Eligible</v>
      </c>
      <c r="V954" s="19" t="n">
        <f aca="false">IF(T954&lt;$H$3,0,IFERROR(T954/SUMIF($T$5:$T$999,"&gt;="&amp;$H$3),0))</f>
        <v>0</v>
      </c>
      <c r="W954" s="15" t="str">
        <f aca="false">IF(T954=0,"Win-Back","Active")</f>
        <v>Win-Back</v>
      </c>
      <c r="X954" s="20" t="n">
        <f aca="false">IF(T954=0,0,IF(T954&gt;=$H$3,ROUND(T954*$D$3/SUMIF($T$5:$T$999,"&gt;="&amp;$H$3),0),ROUNDUP(T954*$D$3/SUMIF($T$5:$T$999,"&gt;="&amp;$H$3),0)))</f>
        <v>0</v>
      </c>
      <c r="Y954" s="21"/>
      <c r="Z954" s="16" t="str">
        <f aca="false">IF(X954=0,"",X954-Y954)</f>
        <v/>
      </c>
      <c r="AA954" s="22" t="str">
        <f aca="false">IFERROR(Y954/X954,"")</f>
        <v/>
      </c>
      <c r="AB954" s="16" t="n">
        <v>0</v>
      </c>
      <c r="AC954" s="21"/>
    </row>
    <row r="955" customFormat="false" ht="15" hidden="false" customHeight="true" outlineLevel="0" collapsed="false">
      <c r="A955" s="15" t="s">
        <v>9215</v>
      </c>
      <c r="B955" s="15" t="s">
        <v>9216</v>
      </c>
      <c r="C955" s="15" t="s">
        <v>9217</v>
      </c>
      <c r="D955" s="15" t="s">
        <v>9218</v>
      </c>
      <c r="E955" s="15" t="s">
        <v>9219</v>
      </c>
      <c r="F955" s="15" t="s">
        <v>9220</v>
      </c>
      <c r="G955" s="15" t="s">
        <v>9221</v>
      </c>
      <c r="H955" s="15" t="s">
        <v>9222</v>
      </c>
      <c r="I955" s="15"/>
      <c r="J955" s="15" t="s">
        <v>1428</v>
      </c>
      <c r="K955" s="15" t="s">
        <v>563</v>
      </c>
      <c r="L955" s="15" t="s">
        <v>1429</v>
      </c>
      <c r="M955" s="15" t="s">
        <v>9223</v>
      </c>
      <c r="N955" s="15" t="s">
        <v>73</v>
      </c>
      <c r="O955" s="16" t="n">
        <v>0</v>
      </c>
      <c r="P955" s="16" t="n">
        <v>0</v>
      </c>
      <c r="Q955" s="16" t="n">
        <v>0</v>
      </c>
      <c r="R955" s="16" t="n">
        <v>0</v>
      </c>
      <c r="S955" s="16" t="n">
        <v>0</v>
      </c>
      <c r="T955" s="17" t="n">
        <f aca="false">AVERAGE(O955:Q955)</f>
        <v>0</v>
      </c>
      <c r="U955" s="18" t="str">
        <f aca="false">IF(T955&gt;=$H$3,"Eligible","Not Eligible")</f>
        <v>Not Eligible</v>
      </c>
      <c r="V955" s="19" t="n">
        <f aca="false">IF(T955&lt;$H$3,0,IFERROR(T955/SUMIF($T$5:$T$999,"&gt;="&amp;$H$3),0))</f>
        <v>0</v>
      </c>
      <c r="W955" s="15" t="str">
        <f aca="false">IF(T955=0,"Win-Back","Active")</f>
        <v>Win-Back</v>
      </c>
      <c r="X955" s="20" t="n">
        <f aca="false">IF(T955=0,0,IF(T955&gt;=$H$3,ROUND(T955*$D$3/SUMIF($T$5:$T$999,"&gt;="&amp;$H$3),0),ROUNDUP(T955*$D$3/SUMIF($T$5:$T$999,"&gt;="&amp;$H$3),0)))</f>
        <v>0</v>
      </c>
      <c r="Y955" s="21"/>
      <c r="Z955" s="16" t="str">
        <f aca="false">IF(X955=0,"",X955-Y955)</f>
        <v/>
      </c>
      <c r="AA955" s="22" t="str">
        <f aca="false">IFERROR(Y955/X955,"")</f>
        <v/>
      </c>
      <c r="AB955" s="16" t="n">
        <v>0</v>
      </c>
      <c r="AC955" s="21"/>
    </row>
    <row r="956" customFormat="false" ht="15" hidden="false" customHeight="true" outlineLevel="0" collapsed="false">
      <c r="A956" s="15" t="s">
        <v>9224</v>
      </c>
      <c r="B956" s="15" t="s">
        <v>9225</v>
      </c>
      <c r="C956" s="15" t="s">
        <v>9226</v>
      </c>
      <c r="D956" s="15" t="s">
        <v>9227</v>
      </c>
      <c r="E956" s="15" t="s">
        <v>9228</v>
      </c>
      <c r="F956" s="15" t="s">
        <v>9229</v>
      </c>
      <c r="G956" s="15" t="s">
        <v>9230</v>
      </c>
      <c r="H956" s="15" t="s">
        <v>9231</v>
      </c>
      <c r="I956" s="15"/>
      <c r="J956" s="15" t="s">
        <v>9232</v>
      </c>
      <c r="K956" s="15" t="s">
        <v>1418</v>
      </c>
      <c r="L956" s="15" t="s">
        <v>9233</v>
      </c>
      <c r="M956" s="15" t="s">
        <v>9234</v>
      </c>
      <c r="N956" s="15" t="s">
        <v>73</v>
      </c>
      <c r="O956" s="16" t="n">
        <v>0</v>
      </c>
      <c r="P956" s="16" t="n">
        <v>0</v>
      </c>
      <c r="Q956" s="16" t="n">
        <v>0</v>
      </c>
      <c r="R956" s="16" t="n">
        <v>0</v>
      </c>
      <c r="S956" s="16" t="n">
        <v>0</v>
      </c>
      <c r="T956" s="17" t="n">
        <f aca="false">AVERAGE(O956:Q956)</f>
        <v>0</v>
      </c>
      <c r="U956" s="18" t="str">
        <f aca="false">IF(T956&gt;=$H$3,"Eligible","Not Eligible")</f>
        <v>Not Eligible</v>
      </c>
      <c r="V956" s="19" t="n">
        <f aca="false">IF(T956&lt;$H$3,0,IFERROR(T956/SUMIF($T$5:$T$999,"&gt;="&amp;$H$3),0))</f>
        <v>0</v>
      </c>
      <c r="W956" s="15" t="str">
        <f aca="false">IF(T956=0,"Win-Back","Active")</f>
        <v>Win-Back</v>
      </c>
      <c r="X956" s="20" t="n">
        <f aca="false">IF(T956=0,0,IF(T956&gt;=$H$3,ROUND(T956*$D$3/SUMIF($T$5:$T$999,"&gt;="&amp;$H$3),0),ROUNDUP(T956*$D$3/SUMIF($T$5:$T$999,"&gt;="&amp;$H$3),0)))</f>
        <v>0</v>
      </c>
      <c r="Y956" s="21"/>
      <c r="Z956" s="16" t="str">
        <f aca="false">IF(X956=0,"",X956-Y956)</f>
        <v/>
      </c>
      <c r="AA956" s="22" t="str">
        <f aca="false">IFERROR(Y956/X956,"")</f>
        <v/>
      </c>
      <c r="AB956" s="16" t="n">
        <v>0</v>
      </c>
      <c r="AC956" s="21"/>
    </row>
    <row r="957" customFormat="false" ht="15" hidden="false" customHeight="true" outlineLevel="0" collapsed="false">
      <c r="A957" s="15" t="s">
        <v>9235</v>
      </c>
      <c r="B957" s="15" t="s">
        <v>9236</v>
      </c>
      <c r="C957" s="15" t="s">
        <v>9237</v>
      </c>
      <c r="D957" s="15" t="s">
        <v>9238</v>
      </c>
      <c r="E957" s="15" t="s">
        <v>9239</v>
      </c>
      <c r="F957" s="15" t="s">
        <v>9240</v>
      </c>
      <c r="G957" s="15" t="s">
        <v>9241</v>
      </c>
      <c r="H957" s="15" t="s">
        <v>9242</v>
      </c>
      <c r="I957" s="15"/>
      <c r="J957" s="15" t="s">
        <v>367</v>
      </c>
      <c r="K957" s="15" t="s">
        <v>368</v>
      </c>
      <c r="L957" s="15" t="s">
        <v>9243</v>
      </c>
      <c r="M957" s="15" t="s">
        <v>9244</v>
      </c>
      <c r="N957" s="15" t="s">
        <v>73</v>
      </c>
      <c r="O957" s="16" t="n">
        <v>0</v>
      </c>
      <c r="P957" s="16" t="n">
        <v>0</v>
      </c>
      <c r="Q957" s="16" t="n">
        <v>0</v>
      </c>
      <c r="R957" s="16" t="n">
        <v>0</v>
      </c>
      <c r="S957" s="16" t="n">
        <v>0</v>
      </c>
      <c r="T957" s="17" t="n">
        <f aca="false">AVERAGE(O957:Q957)</f>
        <v>0</v>
      </c>
      <c r="U957" s="18" t="str">
        <f aca="false">IF(T957&gt;=$H$3,"Eligible","Not Eligible")</f>
        <v>Not Eligible</v>
      </c>
      <c r="V957" s="19" t="n">
        <f aca="false">IF(T957&lt;$H$3,0,IFERROR(T957/SUMIF($T$5:$T$999,"&gt;="&amp;$H$3),0))</f>
        <v>0</v>
      </c>
      <c r="W957" s="15" t="str">
        <f aca="false">IF(T957=0,"Win-Back","Active")</f>
        <v>Win-Back</v>
      </c>
      <c r="X957" s="20" t="n">
        <f aca="false">IF(T957=0,0,IF(T957&gt;=$H$3,ROUND(T957*$D$3/SUMIF($T$5:$T$999,"&gt;="&amp;$H$3),0),ROUNDUP(T957*$D$3/SUMIF($T$5:$T$999,"&gt;="&amp;$H$3),0)))</f>
        <v>0</v>
      </c>
      <c r="Y957" s="21"/>
      <c r="Z957" s="16" t="str">
        <f aca="false">IF(X957=0,"",X957-Y957)</f>
        <v/>
      </c>
      <c r="AA957" s="22" t="str">
        <f aca="false">IFERROR(Y957/X957,"")</f>
        <v/>
      </c>
      <c r="AB957" s="16" t="n">
        <v>0</v>
      </c>
      <c r="AC957" s="21"/>
    </row>
    <row r="958" customFormat="false" ht="15" hidden="false" customHeight="true" outlineLevel="0" collapsed="false">
      <c r="A958" s="15" t="s">
        <v>9245</v>
      </c>
      <c r="B958" s="15" t="s">
        <v>9246</v>
      </c>
      <c r="C958" s="15" t="s">
        <v>9247</v>
      </c>
      <c r="D958" s="15" t="s">
        <v>9248</v>
      </c>
      <c r="E958" s="15" t="s">
        <v>9249</v>
      </c>
      <c r="F958" s="15" t="s">
        <v>9250</v>
      </c>
      <c r="G958" s="15" t="s">
        <v>9251</v>
      </c>
      <c r="H958" s="15" t="s">
        <v>9252</v>
      </c>
      <c r="I958" s="15" t="s">
        <v>9253</v>
      </c>
      <c r="J958" s="15" t="s">
        <v>9254</v>
      </c>
      <c r="K958" s="15" t="s">
        <v>1890</v>
      </c>
      <c r="L958" s="15" t="s">
        <v>9255</v>
      </c>
      <c r="M958" s="15" t="s">
        <v>9256</v>
      </c>
      <c r="N958" s="15" t="s">
        <v>73</v>
      </c>
      <c r="O958" s="16" t="n">
        <v>0</v>
      </c>
      <c r="P958" s="16" t="n">
        <v>0</v>
      </c>
      <c r="Q958" s="16" t="n">
        <v>0</v>
      </c>
      <c r="R958" s="16" t="n">
        <v>0</v>
      </c>
      <c r="S958" s="16" t="n">
        <v>0</v>
      </c>
      <c r="T958" s="17" t="n">
        <f aca="false">AVERAGE(O958:Q958)</f>
        <v>0</v>
      </c>
      <c r="U958" s="18" t="str">
        <f aca="false">IF(T958&gt;=$H$3,"Eligible","Not Eligible")</f>
        <v>Not Eligible</v>
      </c>
      <c r="V958" s="19" t="n">
        <f aca="false">IF(T958&lt;$H$3,0,IFERROR(T958/SUMIF($T$5:$T$999,"&gt;="&amp;$H$3),0))</f>
        <v>0</v>
      </c>
      <c r="W958" s="15" t="str">
        <f aca="false">IF(T958=0,"Win-Back","Active")</f>
        <v>Win-Back</v>
      </c>
      <c r="X958" s="20" t="n">
        <f aca="false">IF(T958=0,0,IF(T958&gt;=$H$3,ROUND(T958*$D$3/SUMIF($T$5:$T$999,"&gt;="&amp;$H$3),0),ROUNDUP(T958*$D$3/SUMIF($T$5:$T$999,"&gt;="&amp;$H$3),0)))</f>
        <v>0</v>
      </c>
      <c r="Y958" s="21"/>
      <c r="Z958" s="16" t="str">
        <f aca="false">IF(X958=0,"",X958-Y958)</f>
        <v/>
      </c>
      <c r="AA958" s="22" t="str">
        <f aca="false">IFERROR(Y958/X958,"")</f>
        <v/>
      </c>
      <c r="AB958" s="16" t="n">
        <v>0</v>
      </c>
      <c r="AC958" s="21"/>
    </row>
    <row r="959" customFormat="false" ht="15" hidden="false" customHeight="true" outlineLevel="0" collapsed="false">
      <c r="A959" s="15" t="s">
        <v>9257</v>
      </c>
      <c r="B959" s="15" t="s">
        <v>9258</v>
      </c>
      <c r="C959" s="15" t="s">
        <v>9259</v>
      </c>
      <c r="D959" s="15" t="s">
        <v>9260</v>
      </c>
      <c r="E959" s="15" t="s">
        <v>9261</v>
      </c>
      <c r="F959" s="15" t="s">
        <v>9262</v>
      </c>
      <c r="G959" s="15" t="s">
        <v>9263</v>
      </c>
      <c r="H959" s="15" t="s">
        <v>9264</v>
      </c>
      <c r="I959" s="15"/>
      <c r="J959" s="15" t="s">
        <v>9265</v>
      </c>
      <c r="K959" s="15" t="s">
        <v>368</v>
      </c>
      <c r="L959" s="15" t="s">
        <v>9266</v>
      </c>
      <c r="M959" s="15" t="s">
        <v>9267</v>
      </c>
      <c r="N959" s="15" t="s">
        <v>73</v>
      </c>
      <c r="O959" s="16" t="n">
        <v>0</v>
      </c>
      <c r="P959" s="16" t="n">
        <v>0</v>
      </c>
      <c r="Q959" s="16" t="n">
        <v>0</v>
      </c>
      <c r="R959" s="16" t="n">
        <v>0</v>
      </c>
      <c r="S959" s="16" t="n">
        <v>0</v>
      </c>
      <c r="T959" s="17" t="n">
        <f aca="false">AVERAGE(O959:Q959)</f>
        <v>0</v>
      </c>
      <c r="U959" s="18" t="str">
        <f aca="false">IF(T959&gt;=$H$3,"Eligible","Not Eligible")</f>
        <v>Not Eligible</v>
      </c>
      <c r="V959" s="19" t="n">
        <f aca="false">IF(T959&lt;$H$3,0,IFERROR(T959/SUMIF($T$5:$T$999,"&gt;="&amp;$H$3),0))</f>
        <v>0</v>
      </c>
      <c r="W959" s="15" t="str">
        <f aca="false">IF(T959=0,"Win-Back","Active")</f>
        <v>Win-Back</v>
      </c>
      <c r="X959" s="20" t="n">
        <f aca="false">IF(T959=0,0,IF(T959&gt;=$H$3,ROUND(T959*$D$3/SUMIF($T$5:$T$999,"&gt;="&amp;$H$3),0),ROUNDUP(T959*$D$3/SUMIF($T$5:$T$999,"&gt;="&amp;$H$3),0)))</f>
        <v>0</v>
      </c>
      <c r="Y959" s="21"/>
      <c r="Z959" s="16" t="str">
        <f aca="false">IF(X959=0,"",X959-Y959)</f>
        <v/>
      </c>
      <c r="AA959" s="22" t="str">
        <f aca="false">IFERROR(Y959/X959,"")</f>
        <v/>
      </c>
      <c r="AB959" s="16" t="n">
        <v>0</v>
      </c>
      <c r="AC959" s="21"/>
    </row>
    <row r="960" customFormat="false" ht="15" hidden="false" customHeight="true" outlineLevel="0" collapsed="false">
      <c r="A960" s="15" t="s">
        <v>9268</v>
      </c>
      <c r="B960" s="15" t="s">
        <v>9269</v>
      </c>
      <c r="C960" s="15" t="s">
        <v>9270</v>
      </c>
      <c r="D960" s="15" t="s">
        <v>9271</v>
      </c>
      <c r="E960" s="15" t="s">
        <v>9272</v>
      </c>
      <c r="F960" s="15" t="s">
        <v>9273</v>
      </c>
      <c r="G960" s="15" t="s">
        <v>9274</v>
      </c>
      <c r="H960" s="15" t="s">
        <v>9275</v>
      </c>
      <c r="I960" s="15" t="s">
        <v>9276</v>
      </c>
      <c r="J960" s="15" t="s">
        <v>3377</v>
      </c>
      <c r="K960" s="15" t="s">
        <v>615</v>
      </c>
      <c r="L960" s="15" t="s">
        <v>3378</v>
      </c>
      <c r="M960" s="15" t="s">
        <v>9277</v>
      </c>
      <c r="N960" s="15" t="s">
        <v>73</v>
      </c>
      <c r="O960" s="16" t="n">
        <v>0</v>
      </c>
      <c r="P960" s="16" t="n">
        <v>0</v>
      </c>
      <c r="Q960" s="16" t="n">
        <v>0</v>
      </c>
      <c r="R960" s="16" t="n">
        <v>0</v>
      </c>
      <c r="S960" s="16" t="n">
        <v>0</v>
      </c>
      <c r="T960" s="17" t="n">
        <f aca="false">AVERAGE(O960:Q960)</f>
        <v>0</v>
      </c>
      <c r="U960" s="18" t="str">
        <f aca="false">IF(T960&gt;=$H$3,"Eligible","Not Eligible")</f>
        <v>Not Eligible</v>
      </c>
      <c r="V960" s="19" t="n">
        <f aca="false">IF(T960&lt;$H$3,0,IFERROR(T960/SUMIF($T$5:$T$999,"&gt;="&amp;$H$3),0))</f>
        <v>0</v>
      </c>
      <c r="W960" s="15" t="str">
        <f aca="false">IF(T960=0,"Win-Back","Active")</f>
        <v>Win-Back</v>
      </c>
      <c r="X960" s="20" t="n">
        <f aca="false">IF(T960=0,0,IF(T960&gt;=$H$3,ROUND(T960*$D$3/SUMIF($T$5:$T$999,"&gt;="&amp;$H$3),0),ROUNDUP(T960*$D$3/SUMIF($T$5:$T$999,"&gt;="&amp;$H$3),0)))</f>
        <v>0</v>
      </c>
      <c r="Y960" s="21"/>
      <c r="Z960" s="16" t="str">
        <f aca="false">IF(X960=0,"",X960-Y960)</f>
        <v/>
      </c>
      <c r="AA960" s="22" t="str">
        <f aca="false">IFERROR(Y960/X960,"")</f>
        <v/>
      </c>
      <c r="AB960" s="16" t="n">
        <v>0</v>
      </c>
      <c r="AC960" s="21"/>
    </row>
    <row r="961" customFormat="false" ht="15" hidden="false" customHeight="true" outlineLevel="0" collapsed="false">
      <c r="A961" s="15" t="s">
        <v>9278</v>
      </c>
      <c r="B961" s="15" t="s">
        <v>9279</v>
      </c>
      <c r="C961" s="15" t="s">
        <v>9280</v>
      </c>
      <c r="D961" s="15" t="s">
        <v>9281</v>
      </c>
      <c r="E961" s="15" t="s">
        <v>9282</v>
      </c>
      <c r="F961" s="15" t="s">
        <v>9283</v>
      </c>
      <c r="G961" s="15" t="s">
        <v>9284</v>
      </c>
      <c r="H961" s="15" t="s">
        <v>9285</v>
      </c>
      <c r="I961" s="15"/>
      <c r="J961" s="15" t="s">
        <v>1998</v>
      </c>
      <c r="K961" s="15" t="s">
        <v>70</v>
      </c>
      <c r="L961" s="15" t="s">
        <v>5460</v>
      </c>
      <c r="M961" s="15" t="s">
        <v>9286</v>
      </c>
      <c r="N961" s="15" t="s">
        <v>73</v>
      </c>
      <c r="O961" s="16" t="n">
        <v>0</v>
      </c>
      <c r="P961" s="16" t="n">
        <v>0</v>
      </c>
      <c r="Q961" s="16" t="n">
        <v>0</v>
      </c>
      <c r="R961" s="16" t="n">
        <v>0</v>
      </c>
      <c r="S961" s="16" t="n">
        <v>0</v>
      </c>
      <c r="T961" s="17" t="n">
        <f aca="false">AVERAGE(O961:Q961)</f>
        <v>0</v>
      </c>
      <c r="U961" s="18" t="str">
        <f aca="false">IF(T961&gt;=$H$3,"Eligible","Not Eligible")</f>
        <v>Not Eligible</v>
      </c>
      <c r="V961" s="19" t="n">
        <f aca="false">IF(T961&lt;$H$3,0,IFERROR(T961/SUMIF($T$5:$T$999,"&gt;="&amp;$H$3),0))</f>
        <v>0</v>
      </c>
      <c r="W961" s="15" t="str">
        <f aca="false">IF(T961=0,"Win-Back","Active")</f>
        <v>Win-Back</v>
      </c>
      <c r="X961" s="20" t="n">
        <f aca="false">IF(T961=0,0,IF(T961&gt;=$H$3,ROUND(T961*$D$3/SUMIF($T$5:$T$999,"&gt;="&amp;$H$3),0),ROUNDUP(T961*$D$3/SUMIF($T$5:$T$999,"&gt;="&amp;$H$3),0)))</f>
        <v>0</v>
      </c>
      <c r="Y961" s="21"/>
      <c r="Z961" s="16" t="str">
        <f aca="false">IF(X961=0,"",X961-Y961)</f>
        <v/>
      </c>
      <c r="AA961" s="22" t="str">
        <f aca="false">IFERROR(Y961/X961,"")</f>
        <v/>
      </c>
      <c r="AB961" s="16" t="n">
        <v>0</v>
      </c>
      <c r="AC961" s="21"/>
    </row>
    <row r="962" customFormat="false" ht="15" hidden="false" customHeight="true" outlineLevel="0" collapsed="false">
      <c r="A962" s="15" t="s">
        <v>9287</v>
      </c>
      <c r="B962" s="15" t="s">
        <v>9288</v>
      </c>
      <c r="C962" s="15" t="s">
        <v>9289</v>
      </c>
      <c r="D962" s="15" t="s">
        <v>9290</v>
      </c>
      <c r="E962" s="15" t="s">
        <v>9291</v>
      </c>
      <c r="F962" s="15" t="s">
        <v>9292</v>
      </c>
      <c r="G962" s="15" t="s">
        <v>9293</v>
      </c>
      <c r="H962" s="15" t="s">
        <v>9294</v>
      </c>
      <c r="I962" s="15" t="s">
        <v>1782</v>
      </c>
      <c r="J962" s="15" t="s">
        <v>1921</v>
      </c>
      <c r="K962" s="15" t="s">
        <v>615</v>
      </c>
      <c r="L962" s="15" t="s">
        <v>9295</v>
      </c>
      <c r="M962" s="15" t="s">
        <v>9296</v>
      </c>
      <c r="N962" s="15" t="s">
        <v>73</v>
      </c>
      <c r="O962" s="16" t="n">
        <v>0</v>
      </c>
      <c r="P962" s="16" t="n">
        <v>0</v>
      </c>
      <c r="Q962" s="16" t="n">
        <v>0</v>
      </c>
      <c r="R962" s="16" t="n">
        <v>0</v>
      </c>
      <c r="S962" s="16" t="n">
        <v>0</v>
      </c>
      <c r="T962" s="17" t="n">
        <f aca="false">AVERAGE(O962:Q962)</f>
        <v>0</v>
      </c>
      <c r="U962" s="18" t="str">
        <f aca="false">IF(T962&gt;=$H$3,"Eligible","Not Eligible")</f>
        <v>Not Eligible</v>
      </c>
      <c r="V962" s="19" t="n">
        <f aca="false">IF(T962&lt;$H$3,0,IFERROR(T962/SUMIF($T$5:$T$999,"&gt;="&amp;$H$3),0))</f>
        <v>0</v>
      </c>
      <c r="W962" s="15" t="str">
        <f aca="false">IF(T962=0,"Win-Back","Active")</f>
        <v>Win-Back</v>
      </c>
      <c r="X962" s="20" t="n">
        <f aca="false">IF(T962=0,0,IF(T962&gt;=$H$3,ROUND(T962*$D$3/SUMIF($T$5:$T$999,"&gt;="&amp;$H$3),0),ROUNDUP(T962*$D$3/SUMIF($T$5:$T$999,"&gt;="&amp;$H$3),0)))</f>
        <v>0</v>
      </c>
      <c r="Y962" s="21"/>
      <c r="Z962" s="16" t="str">
        <f aca="false">IF(X962=0,"",X962-Y962)</f>
        <v/>
      </c>
      <c r="AA962" s="22" t="str">
        <f aca="false">IFERROR(Y962/X962,"")</f>
        <v/>
      </c>
      <c r="AB962" s="16" t="n">
        <v>0</v>
      </c>
      <c r="AC962" s="21"/>
    </row>
    <row r="963" customFormat="false" ht="15" hidden="false" customHeight="true" outlineLevel="0" collapsed="false">
      <c r="A963" s="15" t="s">
        <v>9297</v>
      </c>
      <c r="B963" s="15" t="s">
        <v>9298</v>
      </c>
      <c r="C963" s="15" t="s">
        <v>9299</v>
      </c>
      <c r="D963" s="15" t="s">
        <v>9300</v>
      </c>
      <c r="E963" s="15" t="s">
        <v>9301</v>
      </c>
      <c r="F963" s="15" t="s">
        <v>9302</v>
      </c>
      <c r="G963" s="15" t="s">
        <v>9303</v>
      </c>
      <c r="H963" s="15" t="s">
        <v>9304</v>
      </c>
      <c r="I963" s="15"/>
      <c r="J963" s="15" t="s">
        <v>2878</v>
      </c>
      <c r="K963" s="15" t="s">
        <v>563</v>
      </c>
      <c r="L963" s="15" t="s">
        <v>9305</v>
      </c>
      <c r="M963" s="15" t="s">
        <v>9306</v>
      </c>
      <c r="N963" s="15" t="s">
        <v>73</v>
      </c>
      <c r="O963" s="16" t="n">
        <v>0</v>
      </c>
      <c r="P963" s="16" t="n">
        <v>0</v>
      </c>
      <c r="Q963" s="16" t="n">
        <v>0</v>
      </c>
      <c r="R963" s="16" t="n">
        <v>0</v>
      </c>
      <c r="S963" s="16" t="n">
        <v>0</v>
      </c>
      <c r="T963" s="17" t="n">
        <f aca="false">AVERAGE(O963:Q963)</f>
        <v>0</v>
      </c>
      <c r="U963" s="18" t="str">
        <f aca="false">IF(T963&gt;=$H$3,"Eligible","Not Eligible")</f>
        <v>Not Eligible</v>
      </c>
      <c r="V963" s="19" t="n">
        <f aca="false">IF(T963&lt;$H$3,0,IFERROR(T963/SUMIF($T$5:$T$999,"&gt;="&amp;$H$3),0))</f>
        <v>0</v>
      </c>
      <c r="W963" s="15" t="str">
        <f aca="false">IF(T963=0,"Win-Back","Active")</f>
        <v>Win-Back</v>
      </c>
      <c r="X963" s="20" t="n">
        <f aca="false">IF(T963=0,0,IF(T963&gt;=$H$3,ROUND(T963*$D$3/SUMIF($T$5:$T$999,"&gt;="&amp;$H$3),0),ROUNDUP(T963*$D$3/SUMIF($T$5:$T$999,"&gt;="&amp;$H$3),0)))</f>
        <v>0</v>
      </c>
      <c r="Y963" s="21"/>
      <c r="Z963" s="16" t="str">
        <f aca="false">IF(X963=0,"",X963-Y963)</f>
        <v/>
      </c>
      <c r="AA963" s="22" t="str">
        <f aca="false">IFERROR(Y963/X963,"")</f>
        <v/>
      </c>
      <c r="AB963" s="16" t="n">
        <v>0</v>
      </c>
      <c r="AC963" s="21"/>
    </row>
    <row r="964" customFormat="false" ht="15" hidden="false" customHeight="true" outlineLevel="0" collapsed="false">
      <c r="A964" s="15" t="s">
        <v>9307</v>
      </c>
      <c r="B964" s="15" t="s">
        <v>9308</v>
      </c>
      <c r="C964" s="15" t="s">
        <v>9309</v>
      </c>
      <c r="D964" s="15" t="s">
        <v>9310</v>
      </c>
      <c r="E964" s="15" t="s">
        <v>4386</v>
      </c>
      <c r="F964" s="15" t="s">
        <v>9311</v>
      </c>
      <c r="G964" s="15" t="s">
        <v>9312</v>
      </c>
      <c r="H964" s="15" t="s">
        <v>9313</v>
      </c>
      <c r="I964" s="15"/>
      <c r="J964" s="15" t="s">
        <v>9314</v>
      </c>
      <c r="K964" s="15" t="s">
        <v>70</v>
      </c>
      <c r="L964" s="15" t="s">
        <v>9315</v>
      </c>
      <c r="M964" s="15" t="s">
        <v>9316</v>
      </c>
      <c r="N964" s="15" t="s">
        <v>73</v>
      </c>
      <c r="O964" s="16" t="n">
        <v>0</v>
      </c>
      <c r="P964" s="16" t="n">
        <v>0</v>
      </c>
      <c r="Q964" s="16" t="n">
        <v>0</v>
      </c>
      <c r="R964" s="16" t="n">
        <v>0</v>
      </c>
      <c r="S964" s="16" t="n">
        <v>0</v>
      </c>
      <c r="T964" s="17" t="n">
        <f aca="false">AVERAGE(O964:Q964)</f>
        <v>0</v>
      </c>
      <c r="U964" s="18" t="str">
        <f aca="false">IF(T964&gt;=$H$3,"Eligible","Not Eligible")</f>
        <v>Not Eligible</v>
      </c>
      <c r="V964" s="19" t="n">
        <f aca="false">IF(T964&lt;$H$3,0,IFERROR(T964/SUMIF($T$5:$T$999,"&gt;="&amp;$H$3),0))</f>
        <v>0</v>
      </c>
      <c r="W964" s="15" t="str">
        <f aca="false">IF(T964=0,"Win-Back","Active")</f>
        <v>Win-Back</v>
      </c>
      <c r="X964" s="20" t="n">
        <f aca="false">IF(T964=0,0,IF(T964&gt;=$H$3,ROUND(T964*$D$3/SUMIF($T$5:$T$999,"&gt;="&amp;$H$3),0),ROUNDUP(T964*$D$3/SUMIF($T$5:$T$999,"&gt;="&amp;$H$3),0)))</f>
        <v>0</v>
      </c>
      <c r="Y964" s="21"/>
      <c r="Z964" s="16" t="str">
        <f aca="false">IF(X964=0,"",X964-Y964)</f>
        <v/>
      </c>
      <c r="AA964" s="22" t="str">
        <f aca="false">IFERROR(Y964/X964,"")</f>
        <v/>
      </c>
      <c r="AB964" s="16" t="n">
        <v>0</v>
      </c>
      <c r="AC964" s="21"/>
    </row>
    <row r="965" customFormat="false" ht="15" hidden="false" customHeight="true" outlineLevel="0" collapsed="false">
      <c r="A965" s="15" t="s">
        <v>9317</v>
      </c>
      <c r="B965" s="15" t="s">
        <v>9318</v>
      </c>
      <c r="C965" s="15" t="s">
        <v>9319</v>
      </c>
      <c r="D965" s="15" t="s">
        <v>9320</v>
      </c>
      <c r="E965" s="15" t="s">
        <v>9321</v>
      </c>
      <c r="F965" s="15" t="s">
        <v>9322</v>
      </c>
      <c r="G965" s="15" t="s">
        <v>9323</v>
      </c>
      <c r="H965" s="15" t="s">
        <v>9324</v>
      </c>
      <c r="I965" s="15"/>
      <c r="J965" s="15" t="s">
        <v>2878</v>
      </c>
      <c r="K965" s="15" t="s">
        <v>563</v>
      </c>
      <c r="L965" s="15" t="s">
        <v>9325</v>
      </c>
      <c r="M965" s="15" t="s">
        <v>9326</v>
      </c>
      <c r="N965" s="15" t="s">
        <v>73</v>
      </c>
      <c r="O965" s="16" t="n">
        <v>0</v>
      </c>
      <c r="P965" s="16" t="n">
        <v>0</v>
      </c>
      <c r="Q965" s="16" t="n">
        <v>0</v>
      </c>
      <c r="R965" s="16" t="n">
        <v>0</v>
      </c>
      <c r="S965" s="16" t="n">
        <v>0</v>
      </c>
      <c r="T965" s="17" t="n">
        <f aca="false">AVERAGE(O965:Q965)</f>
        <v>0</v>
      </c>
      <c r="U965" s="18" t="str">
        <f aca="false">IF(T965&gt;=$H$3,"Eligible","Not Eligible")</f>
        <v>Not Eligible</v>
      </c>
      <c r="V965" s="19" t="n">
        <f aca="false">IF(T965&lt;$H$3,0,IFERROR(T965/SUMIF($T$5:$T$999,"&gt;="&amp;$H$3),0))</f>
        <v>0</v>
      </c>
      <c r="W965" s="15" t="str">
        <f aca="false">IF(T965=0,"Win-Back","Active")</f>
        <v>Win-Back</v>
      </c>
      <c r="X965" s="20" t="n">
        <f aca="false">IF(T965=0,0,IF(T965&gt;=$H$3,ROUND(T965*$D$3/SUMIF($T$5:$T$999,"&gt;="&amp;$H$3),0),ROUNDUP(T965*$D$3/SUMIF($T$5:$T$999,"&gt;="&amp;$H$3),0)))</f>
        <v>0</v>
      </c>
      <c r="Y965" s="21"/>
      <c r="Z965" s="16" t="str">
        <f aca="false">IF(X965=0,"",X965-Y965)</f>
        <v/>
      </c>
      <c r="AA965" s="22" t="str">
        <f aca="false">IFERROR(Y965/X965,"")</f>
        <v/>
      </c>
      <c r="AB965" s="16" t="n">
        <v>0</v>
      </c>
      <c r="AC965" s="21"/>
    </row>
    <row r="966" customFormat="false" ht="15" hidden="false" customHeight="true" outlineLevel="0" collapsed="false">
      <c r="A966" s="15" t="s">
        <v>9327</v>
      </c>
      <c r="B966" s="15" t="s">
        <v>9328</v>
      </c>
      <c r="C966" s="15" t="s">
        <v>9329</v>
      </c>
      <c r="D966" s="15" t="s">
        <v>9330</v>
      </c>
      <c r="E966" s="15" t="s">
        <v>9331</v>
      </c>
      <c r="F966" s="15" t="s">
        <v>9332</v>
      </c>
      <c r="G966" s="15" t="s">
        <v>9333</v>
      </c>
      <c r="H966" s="15" t="s">
        <v>9334</v>
      </c>
      <c r="I966" s="15"/>
      <c r="J966" s="15" t="s">
        <v>9030</v>
      </c>
      <c r="K966" s="15" t="s">
        <v>1200</v>
      </c>
      <c r="L966" s="15" t="s">
        <v>9335</v>
      </c>
      <c r="M966" s="15" t="s">
        <v>9336</v>
      </c>
      <c r="N966" s="15" t="s">
        <v>73</v>
      </c>
      <c r="O966" s="16" t="n">
        <v>0</v>
      </c>
      <c r="P966" s="16" t="n">
        <v>0</v>
      </c>
      <c r="Q966" s="16" t="n">
        <v>0</v>
      </c>
      <c r="R966" s="16" t="n">
        <v>0</v>
      </c>
      <c r="S966" s="16" t="n">
        <v>0</v>
      </c>
      <c r="T966" s="17" t="n">
        <f aca="false">AVERAGE(O966:Q966)</f>
        <v>0</v>
      </c>
      <c r="U966" s="18" t="str">
        <f aca="false">IF(T966&gt;=$H$3,"Eligible","Not Eligible")</f>
        <v>Not Eligible</v>
      </c>
      <c r="V966" s="19" t="n">
        <f aca="false">IF(T966&lt;$H$3,0,IFERROR(T966/SUMIF($T$5:$T$999,"&gt;="&amp;$H$3),0))</f>
        <v>0</v>
      </c>
      <c r="W966" s="15" t="str">
        <f aca="false">IF(T966=0,"Win-Back","Active")</f>
        <v>Win-Back</v>
      </c>
      <c r="X966" s="20" t="n">
        <f aca="false">IF(T966=0,0,IF(T966&gt;=$H$3,ROUND(T966*$D$3/SUMIF($T$5:$T$999,"&gt;="&amp;$H$3),0),ROUNDUP(T966*$D$3/SUMIF($T$5:$T$999,"&gt;="&amp;$H$3),0)))</f>
        <v>0</v>
      </c>
      <c r="Y966" s="21"/>
      <c r="Z966" s="16" t="str">
        <f aca="false">IF(X966=0,"",X966-Y966)</f>
        <v/>
      </c>
      <c r="AA966" s="22" t="str">
        <f aca="false">IFERROR(Y966/X966,"")</f>
        <v/>
      </c>
      <c r="AB966" s="16" t="n">
        <v>0</v>
      </c>
      <c r="AC966" s="21"/>
    </row>
    <row r="967" customFormat="false" ht="15" hidden="false" customHeight="true" outlineLevel="0" collapsed="false">
      <c r="A967" s="15" t="s">
        <v>9337</v>
      </c>
      <c r="B967" s="15" t="s">
        <v>9338</v>
      </c>
      <c r="C967" s="15" t="s">
        <v>9339</v>
      </c>
      <c r="D967" s="15" t="s">
        <v>9340</v>
      </c>
      <c r="E967" s="15" t="s">
        <v>9341</v>
      </c>
      <c r="F967" s="15" t="s">
        <v>9342</v>
      </c>
      <c r="G967" s="15" t="s">
        <v>9343</v>
      </c>
      <c r="H967" s="15" t="s">
        <v>9344</v>
      </c>
      <c r="I967" s="15"/>
      <c r="J967" s="15" t="s">
        <v>4084</v>
      </c>
      <c r="K967" s="15" t="s">
        <v>4085</v>
      </c>
      <c r="L967" s="15" t="s">
        <v>4086</v>
      </c>
      <c r="M967" s="15" t="s">
        <v>9345</v>
      </c>
      <c r="N967" s="15" t="s">
        <v>73</v>
      </c>
      <c r="O967" s="16" t="n">
        <v>0</v>
      </c>
      <c r="P967" s="16" t="n">
        <v>0</v>
      </c>
      <c r="Q967" s="16" t="n">
        <v>0</v>
      </c>
      <c r="R967" s="16" t="n">
        <v>0</v>
      </c>
      <c r="S967" s="16" t="n">
        <v>0</v>
      </c>
      <c r="T967" s="17" t="n">
        <f aca="false">AVERAGE(O967:Q967)</f>
        <v>0</v>
      </c>
      <c r="U967" s="18" t="str">
        <f aca="false">IF(T967&gt;=$H$3,"Eligible","Not Eligible")</f>
        <v>Not Eligible</v>
      </c>
      <c r="V967" s="19" t="n">
        <f aca="false">IF(T967&lt;$H$3,0,IFERROR(T967/SUMIF($T$5:$T$999,"&gt;="&amp;$H$3),0))</f>
        <v>0</v>
      </c>
      <c r="W967" s="15" t="str">
        <f aca="false">IF(T967=0,"Win-Back","Active")</f>
        <v>Win-Back</v>
      </c>
      <c r="X967" s="20" t="n">
        <f aca="false">IF(T967=0,0,IF(T967&gt;=$H$3,ROUND(T967*$D$3/SUMIF($T$5:$T$999,"&gt;="&amp;$H$3),0),ROUNDUP(T967*$D$3/SUMIF($T$5:$T$999,"&gt;="&amp;$H$3),0)))</f>
        <v>0</v>
      </c>
      <c r="Y967" s="21"/>
      <c r="Z967" s="16" t="str">
        <f aca="false">IF(X967=0,"",X967-Y967)</f>
        <v/>
      </c>
      <c r="AA967" s="22" t="str">
        <f aca="false">IFERROR(Y967/X967,"")</f>
        <v/>
      </c>
      <c r="AB967" s="16" t="n">
        <v>0</v>
      </c>
      <c r="AC967" s="21"/>
    </row>
    <row r="968" customFormat="false" ht="15" hidden="false" customHeight="true" outlineLevel="0" collapsed="false">
      <c r="A968" s="15" t="s">
        <v>9346</v>
      </c>
      <c r="B968" s="15" t="s">
        <v>9347</v>
      </c>
      <c r="C968" s="15" t="s">
        <v>9348</v>
      </c>
      <c r="D968" s="15" t="s">
        <v>9349</v>
      </c>
      <c r="E968" s="15" t="s">
        <v>9350</v>
      </c>
      <c r="F968" s="15" t="s">
        <v>9351</v>
      </c>
      <c r="G968" s="15" t="s">
        <v>9352</v>
      </c>
      <c r="H968" s="15" t="s">
        <v>9353</v>
      </c>
      <c r="I968" s="15"/>
      <c r="J968" s="15" t="s">
        <v>777</v>
      </c>
      <c r="K968" s="15" t="s">
        <v>70</v>
      </c>
      <c r="L968" s="15" t="s">
        <v>1761</v>
      </c>
      <c r="M968" s="15" t="s">
        <v>9354</v>
      </c>
      <c r="N968" s="15" t="s">
        <v>73</v>
      </c>
      <c r="O968" s="16" t="n">
        <v>0</v>
      </c>
      <c r="P968" s="16" t="n">
        <v>0</v>
      </c>
      <c r="Q968" s="16" t="n">
        <v>0</v>
      </c>
      <c r="R968" s="16" t="n">
        <v>0</v>
      </c>
      <c r="S968" s="16" t="n">
        <v>0</v>
      </c>
      <c r="T968" s="17" t="n">
        <f aca="false">AVERAGE(O968:Q968)</f>
        <v>0</v>
      </c>
      <c r="U968" s="18" t="str">
        <f aca="false">IF(T968&gt;=$H$3,"Eligible","Not Eligible")</f>
        <v>Not Eligible</v>
      </c>
      <c r="V968" s="19" t="n">
        <f aca="false">IF(T968&lt;$H$3,0,IFERROR(T968/SUMIF($T$5:$T$999,"&gt;="&amp;$H$3),0))</f>
        <v>0</v>
      </c>
      <c r="W968" s="15" t="str">
        <f aca="false">IF(T968=0,"Win-Back","Active")</f>
        <v>Win-Back</v>
      </c>
      <c r="X968" s="20" t="n">
        <f aca="false">IF(T968=0,0,IF(T968&gt;=$H$3,ROUND(T968*$D$3/SUMIF($T$5:$T$999,"&gt;="&amp;$H$3),0),ROUNDUP(T968*$D$3/SUMIF($T$5:$T$999,"&gt;="&amp;$H$3),0)))</f>
        <v>0</v>
      </c>
      <c r="Y968" s="21"/>
      <c r="Z968" s="16" t="str">
        <f aca="false">IF(X968=0,"",X968-Y968)</f>
        <v/>
      </c>
      <c r="AA968" s="22" t="str">
        <f aca="false">IFERROR(Y968/X968,"")</f>
        <v/>
      </c>
      <c r="AB968" s="16" t="n">
        <v>0</v>
      </c>
      <c r="AC968" s="21"/>
    </row>
    <row r="969" customFormat="false" ht="15" hidden="false" customHeight="true" outlineLevel="0" collapsed="false">
      <c r="A969" s="15" t="s">
        <v>9355</v>
      </c>
      <c r="B969" s="15" t="s">
        <v>9356</v>
      </c>
      <c r="C969" s="15" t="s">
        <v>9357</v>
      </c>
      <c r="D969" s="15" t="s">
        <v>9358</v>
      </c>
      <c r="E969" s="15" t="s">
        <v>3736</v>
      </c>
      <c r="F969" s="15" t="s">
        <v>9359</v>
      </c>
      <c r="G969" s="15" t="s">
        <v>3738</v>
      </c>
      <c r="H969" s="15" t="s">
        <v>9360</v>
      </c>
      <c r="I969" s="15" t="s">
        <v>9361</v>
      </c>
      <c r="J969" s="15" t="s">
        <v>9362</v>
      </c>
      <c r="K969" s="15" t="s">
        <v>368</v>
      </c>
      <c r="L969" s="15" t="s">
        <v>9363</v>
      </c>
      <c r="M969" s="15" t="s">
        <v>3742</v>
      </c>
      <c r="N969" s="15" t="s">
        <v>73</v>
      </c>
      <c r="O969" s="16" t="n">
        <v>0</v>
      </c>
      <c r="P969" s="16" t="n">
        <v>0</v>
      </c>
      <c r="Q969" s="16" t="n">
        <v>0</v>
      </c>
      <c r="R969" s="16" t="n">
        <v>0</v>
      </c>
      <c r="S969" s="16" t="n">
        <v>0</v>
      </c>
      <c r="T969" s="17" t="n">
        <f aca="false">AVERAGE(O969:Q969)</f>
        <v>0</v>
      </c>
      <c r="U969" s="18" t="str">
        <f aca="false">IF(T969&gt;=$H$3,"Eligible","Not Eligible")</f>
        <v>Not Eligible</v>
      </c>
      <c r="V969" s="19" t="n">
        <f aca="false">IF(T969&lt;$H$3,0,IFERROR(T969/SUMIF($T$5:$T$999,"&gt;="&amp;$H$3),0))</f>
        <v>0</v>
      </c>
      <c r="W969" s="15" t="str">
        <f aca="false">IF(T969=0,"Win-Back","Active")</f>
        <v>Win-Back</v>
      </c>
      <c r="X969" s="20" t="n">
        <f aca="false">IF(T969=0,0,IF(T969&gt;=$H$3,ROUND(T969*$D$3/SUMIF($T$5:$T$999,"&gt;="&amp;$H$3),0),ROUNDUP(T969*$D$3/SUMIF($T$5:$T$999,"&gt;="&amp;$H$3),0)))</f>
        <v>0</v>
      </c>
      <c r="Y969" s="21"/>
      <c r="Z969" s="16" t="str">
        <f aca="false">IF(X969=0,"",X969-Y969)</f>
        <v/>
      </c>
      <c r="AA969" s="22" t="str">
        <f aca="false">IFERROR(Y969/X969,"")</f>
        <v/>
      </c>
      <c r="AB969" s="16" t="n">
        <v>0</v>
      </c>
      <c r="AC969" s="21"/>
    </row>
    <row r="970" customFormat="false" ht="15" hidden="false" customHeight="true" outlineLevel="0" collapsed="false">
      <c r="A970" s="15" t="s">
        <v>9364</v>
      </c>
      <c r="B970" s="15" t="s">
        <v>9365</v>
      </c>
      <c r="C970" s="15" t="s">
        <v>9366</v>
      </c>
      <c r="D970" s="15" t="s">
        <v>9367</v>
      </c>
      <c r="E970" s="15" t="s">
        <v>9368</v>
      </c>
      <c r="F970" s="15" t="s">
        <v>9369</v>
      </c>
      <c r="G970" s="15" t="s">
        <v>9370</v>
      </c>
      <c r="H970" s="15" t="s">
        <v>9371</v>
      </c>
      <c r="I970" s="15"/>
      <c r="J970" s="15" t="s">
        <v>8247</v>
      </c>
      <c r="K970" s="15" t="s">
        <v>70</v>
      </c>
      <c r="L970" s="15" t="s">
        <v>6962</v>
      </c>
      <c r="M970" s="15" t="s">
        <v>9372</v>
      </c>
      <c r="N970" s="15" t="s">
        <v>73</v>
      </c>
      <c r="O970" s="16" t="n">
        <v>0</v>
      </c>
      <c r="P970" s="16" t="n">
        <v>0</v>
      </c>
      <c r="Q970" s="16" t="n">
        <v>0</v>
      </c>
      <c r="R970" s="16" t="n">
        <v>0</v>
      </c>
      <c r="S970" s="16" t="n">
        <v>0</v>
      </c>
      <c r="T970" s="17" t="n">
        <f aca="false">AVERAGE(O970:Q970)</f>
        <v>0</v>
      </c>
      <c r="U970" s="18" t="str">
        <f aca="false">IF(T970&gt;=$H$3,"Eligible","Not Eligible")</f>
        <v>Not Eligible</v>
      </c>
      <c r="V970" s="19" t="n">
        <f aca="false">IF(T970&lt;$H$3,0,IFERROR(T970/SUMIF($T$5:$T$999,"&gt;="&amp;$H$3),0))</f>
        <v>0</v>
      </c>
      <c r="W970" s="15" t="str">
        <f aca="false">IF(T970=0,"Win-Back","Active")</f>
        <v>Win-Back</v>
      </c>
      <c r="X970" s="20" t="n">
        <f aca="false">IF(T970=0,0,IF(T970&gt;=$H$3,ROUND(T970*$D$3/SUMIF($T$5:$T$999,"&gt;="&amp;$H$3),0),ROUNDUP(T970*$D$3/SUMIF($T$5:$T$999,"&gt;="&amp;$H$3),0)))</f>
        <v>0</v>
      </c>
      <c r="Y970" s="21"/>
      <c r="Z970" s="16" t="str">
        <f aca="false">IF(X970=0,"",X970-Y970)</f>
        <v/>
      </c>
      <c r="AA970" s="22" t="str">
        <f aca="false">IFERROR(Y970/X970,"")</f>
        <v/>
      </c>
      <c r="AB970" s="16" t="n">
        <v>0</v>
      </c>
      <c r="AC970" s="21"/>
    </row>
    <row r="971" customFormat="false" ht="15" hidden="false" customHeight="true" outlineLevel="0" collapsed="false">
      <c r="A971" s="15" t="s">
        <v>9373</v>
      </c>
      <c r="B971" s="15" t="s">
        <v>9374</v>
      </c>
      <c r="C971" s="15" t="s">
        <v>9375</v>
      </c>
      <c r="D971" s="15" t="s">
        <v>9376</v>
      </c>
      <c r="E971" s="15" t="s">
        <v>7339</v>
      </c>
      <c r="F971" s="15" t="s">
        <v>9377</v>
      </c>
      <c r="G971" s="15" t="s">
        <v>7341</v>
      </c>
      <c r="H971" s="15" t="s">
        <v>9378</v>
      </c>
      <c r="I971" s="15"/>
      <c r="J971" s="15" t="s">
        <v>9379</v>
      </c>
      <c r="K971" s="15" t="s">
        <v>2098</v>
      </c>
      <c r="L971" s="15" t="s">
        <v>9380</v>
      </c>
      <c r="M971" s="15" t="s">
        <v>9381</v>
      </c>
      <c r="N971" s="15" t="s">
        <v>73</v>
      </c>
      <c r="O971" s="16" t="n">
        <v>0</v>
      </c>
      <c r="P971" s="16" t="n">
        <v>0</v>
      </c>
      <c r="Q971" s="16" t="n">
        <v>0</v>
      </c>
      <c r="R971" s="16" t="n">
        <v>0</v>
      </c>
      <c r="S971" s="16" t="n">
        <v>0</v>
      </c>
      <c r="T971" s="17" t="n">
        <f aca="false">AVERAGE(O971:Q971)</f>
        <v>0</v>
      </c>
      <c r="U971" s="18" t="str">
        <f aca="false">IF(T971&gt;=$H$3,"Eligible","Not Eligible")</f>
        <v>Not Eligible</v>
      </c>
      <c r="V971" s="19" t="n">
        <f aca="false">IF(T971&lt;$H$3,0,IFERROR(T971/SUMIF($T$5:$T$999,"&gt;="&amp;$H$3),0))</f>
        <v>0</v>
      </c>
      <c r="W971" s="15" t="str">
        <f aca="false">IF(T971=0,"Win-Back","Active")</f>
        <v>Win-Back</v>
      </c>
      <c r="X971" s="20" t="n">
        <f aca="false">IF(T971=0,0,IF(T971&gt;=$H$3,ROUND(T971*$D$3/SUMIF($T$5:$T$999,"&gt;="&amp;$H$3),0),ROUNDUP(T971*$D$3/SUMIF($T$5:$T$999,"&gt;="&amp;$H$3),0)))</f>
        <v>0</v>
      </c>
      <c r="Y971" s="21"/>
      <c r="Z971" s="16" t="str">
        <f aca="false">IF(X971=0,"",X971-Y971)</f>
        <v/>
      </c>
      <c r="AA971" s="22" t="str">
        <f aca="false">IFERROR(Y971/X971,"")</f>
        <v/>
      </c>
      <c r="AB971" s="16" t="n">
        <v>0</v>
      </c>
      <c r="AC971" s="21"/>
    </row>
    <row r="972" customFormat="false" ht="15" hidden="false" customHeight="true" outlineLevel="0" collapsed="false">
      <c r="A972" s="15" t="s">
        <v>9382</v>
      </c>
      <c r="B972" s="15" t="s">
        <v>9383</v>
      </c>
      <c r="C972" s="15" t="s">
        <v>9384</v>
      </c>
      <c r="D972" s="15" t="s">
        <v>9385</v>
      </c>
      <c r="E972" s="15" t="s">
        <v>9386</v>
      </c>
      <c r="F972" s="15" t="s">
        <v>9387</v>
      </c>
      <c r="G972" s="15" t="s">
        <v>9388</v>
      </c>
      <c r="H972" s="15" t="s">
        <v>9389</v>
      </c>
      <c r="I972" s="15"/>
      <c r="J972" s="15" t="s">
        <v>9390</v>
      </c>
      <c r="K972" s="15" t="s">
        <v>864</v>
      </c>
      <c r="L972" s="15" t="s">
        <v>9391</v>
      </c>
      <c r="M972" s="15" t="s">
        <v>9392</v>
      </c>
      <c r="N972" s="15" t="s">
        <v>73</v>
      </c>
      <c r="O972" s="16" t="n">
        <v>0</v>
      </c>
      <c r="P972" s="16" t="n">
        <v>0</v>
      </c>
      <c r="Q972" s="16" t="n">
        <v>0</v>
      </c>
      <c r="R972" s="16" t="n">
        <v>0</v>
      </c>
      <c r="S972" s="16" t="n">
        <v>0</v>
      </c>
      <c r="T972" s="17" t="n">
        <f aca="false">AVERAGE(O972:Q972)</f>
        <v>0</v>
      </c>
      <c r="U972" s="18" t="str">
        <f aca="false">IF(T972&gt;=$H$3,"Eligible","Not Eligible")</f>
        <v>Not Eligible</v>
      </c>
      <c r="V972" s="19" t="n">
        <f aca="false">IF(T972&lt;$H$3,0,IFERROR(T972/SUMIF($T$5:$T$999,"&gt;="&amp;$H$3),0))</f>
        <v>0</v>
      </c>
      <c r="W972" s="15" t="str">
        <f aca="false">IF(T972=0,"Win-Back","Active")</f>
        <v>Win-Back</v>
      </c>
      <c r="X972" s="20" t="n">
        <f aca="false">IF(T972=0,0,IF(T972&gt;=$H$3,ROUND(T972*$D$3/SUMIF($T$5:$T$999,"&gt;="&amp;$H$3),0),ROUNDUP(T972*$D$3/SUMIF($T$5:$T$999,"&gt;="&amp;$H$3),0)))</f>
        <v>0</v>
      </c>
      <c r="Y972" s="21"/>
      <c r="Z972" s="16" t="str">
        <f aca="false">IF(X972=0,"",X972-Y972)</f>
        <v/>
      </c>
      <c r="AA972" s="22" t="str">
        <f aca="false">IFERROR(Y972/X972,"")</f>
        <v/>
      </c>
      <c r="AB972" s="16" t="n">
        <v>0</v>
      </c>
      <c r="AC972" s="21"/>
    </row>
    <row r="973" customFormat="false" ht="15" hidden="false" customHeight="true" outlineLevel="0" collapsed="false">
      <c r="A973" s="15" t="s">
        <v>9393</v>
      </c>
      <c r="B973" s="15" t="s">
        <v>9394</v>
      </c>
      <c r="C973" s="15" t="s">
        <v>9395</v>
      </c>
      <c r="D973" s="15" t="s">
        <v>9396</v>
      </c>
      <c r="E973" s="15" t="s">
        <v>9397</v>
      </c>
      <c r="F973" s="15" t="s">
        <v>9398</v>
      </c>
      <c r="G973" s="15" t="s">
        <v>9399</v>
      </c>
      <c r="H973" s="15" t="s">
        <v>9400</v>
      </c>
      <c r="I973" s="15"/>
      <c r="J973" s="15" t="s">
        <v>5869</v>
      </c>
      <c r="K973" s="15" t="s">
        <v>70</v>
      </c>
      <c r="L973" s="15" t="s">
        <v>5870</v>
      </c>
      <c r="M973" s="15" t="s">
        <v>9401</v>
      </c>
      <c r="N973" s="15" t="s">
        <v>73</v>
      </c>
      <c r="O973" s="16" t="n">
        <v>0</v>
      </c>
      <c r="P973" s="16" t="n">
        <v>0</v>
      </c>
      <c r="Q973" s="16" t="n">
        <v>0</v>
      </c>
      <c r="R973" s="16" t="n">
        <v>0</v>
      </c>
      <c r="S973" s="16" t="n">
        <v>0</v>
      </c>
      <c r="T973" s="17" t="n">
        <f aca="false">AVERAGE(O973:Q973)</f>
        <v>0</v>
      </c>
      <c r="U973" s="18" t="str">
        <f aca="false">IF(T973&gt;=$H$3,"Eligible","Not Eligible")</f>
        <v>Not Eligible</v>
      </c>
      <c r="V973" s="19" t="n">
        <f aca="false">IF(T973&lt;$H$3,0,IFERROR(T973/SUMIF($T$5:$T$999,"&gt;="&amp;$H$3),0))</f>
        <v>0</v>
      </c>
      <c r="W973" s="15" t="str">
        <f aca="false">IF(T973=0,"Win-Back","Active")</f>
        <v>Win-Back</v>
      </c>
      <c r="X973" s="20" t="n">
        <f aca="false">IF(T973=0,0,IF(T973&gt;=$H$3,ROUND(T973*$D$3/SUMIF($T$5:$T$999,"&gt;="&amp;$H$3),0),ROUNDUP(T973*$D$3/SUMIF($T$5:$T$999,"&gt;="&amp;$H$3),0)))</f>
        <v>0</v>
      </c>
      <c r="Y973" s="21"/>
      <c r="Z973" s="16" t="str">
        <f aca="false">IF(X973=0,"",X973-Y973)</f>
        <v/>
      </c>
      <c r="AA973" s="22" t="str">
        <f aca="false">IFERROR(Y973/X973,"")</f>
        <v/>
      </c>
      <c r="AB973" s="16" t="n">
        <v>0</v>
      </c>
      <c r="AC973" s="21"/>
    </row>
    <row r="974" customFormat="false" ht="15" hidden="false" customHeight="true" outlineLevel="0" collapsed="false">
      <c r="A974" s="15" t="s">
        <v>9402</v>
      </c>
      <c r="B974" s="15" t="s">
        <v>9403</v>
      </c>
      <c r="C974" s="15" t="s">
        <v>9404</v>
      </c>
      <c r="D974" s="15" t="s">
        <v>9405</v>
      </c>
      <c r="E974" s="15" t="s">
        <v>9406</v>
      </c>
      <c r="F974" s="15" t="s">
        <v>9407</v>
      </c>
      <c r="G974" s="15" t="s">
        <v>9408</v>
      </c>
      <c r="H974" s="15" t="s">
        <v>9409</v>
      </c>
      <c r="I974" s="15"/>
      <c r="J974" s="15" t="s">
        <v>3771</v>
      </c>
      <c r="K974" s="15" t="s">
        <v>70</v>
      </c>
      <c r="L974" s="15" t="s">
        <v>3772</v>
      </c>
      <c r="M974" s="15" t="s">
        <v>9410</v>
      </c>
      <c r="N974" s="15" t="s">
        <v>73</v>
      </c>
      <c r="O974" s="16" t="n">
        <v>0</v>
      </c>
      <c r="P974" s="16" t="n">
        <v>0</v>
      </c>
      <c r="Q974" s="16" t="n">
        <v>0</v>
      </c>
      <c r="R974" s="16" t="n">
        <v>0</v>
      </c>
      <c r="S974" s="16" t="n">
        <v>0</v>
      </c>
      <c r="T974" s="17" t="n">
        <f aca="false">AVERAGE(O974:Q974)</f>
        <v>0</v>
      </c>
      <c r="U974" s="18" t="str">
        <f aca="false">IF(T974&gt;=$H$3,"Eligible","Not Eligible")</f>
        <v>Not Eligible</v>
      </c>
      <c r="V974" s="19" t="n">
        <f aca="false">IF(T974&lt;$H$3,0,IFERROR(T974/SUMIF($T$5:$T$999,"&gt;="&amp;$H$3),0))</f>
        <v>0</v>
      </c>
      <c r="W974" s="15" t="str">
        <f aca="false">IF(T974=0,"Win-Back","Active")</f>
        <v>Win-Back</v>
      </c>
      <c r="X974" s="20" t="n">
        <f aca="false">IF(T974=0,0,IF(T974&gt;=$H$3,ROUND(T974*$D$3/SUMIF($T$5:$T$999,"&gt;="&amp;$H$3),0),ROUNDUP(T974*$D$3/SUMIF($T$5:$T$999,"&gt;="&amp;$H$3),0)))</f>
        <v>0</v>
      </c>
      <c r="Y974" s="21"/>
      <c r="Z974" s="16" t="str">
        <f aca="false">IF(X974=0,"",X974-Y974)</f>
        <v/>
      </c>
      <c r="AA974" s="22" t="str">
        <f aca="false">IFERROR(Y974/X974,"")</f>
        <v/>
      </c>
      <c r="AB974" s="16" t="n">
        <v>0</v>
      </c>
      <c r="AC974" s="21"/>
    </row>
    <row r="975" customFormat="false" ht="15" hidden="false" customHeight="true" outlineLevel="0" collapsed="false">
      <c r="A975" s="15" t="s">
        <v>9411</v>
      </c>
      <c r="B975" s="15" t="s">
        <v>9412</v>
      </c>
      <c r="C975" s="15" t="s">
        <v>9413</v>
      </c>
      <c r="D975" s="15" t="s">
        <v>9414</v>
      </c>
      <c r="E975" s="15" t="s">
        <v>9415</v>
      </c>
      <c r="F975" s="15" t="s">
        <v>9416</v>
      </c>
      <c r="G975" s="15" t="s">
        <v>9417</v>
      </c>
      <c r="H975" s="15" t="s">
        <v>9418</v>
      </c>
      <c r="I975" s="15"/>
      <c r="J975" s="15" t="s">
        <v>777</v>
      </c>
      <c r="K975" s="15" t="s">
        <v>70</v>
      </c>
      <c r="L975" s="15" t="s">
        <v>1556</v>
      </c>
      <c r="M975" s="15" t="s">
        <v>9419</v>
      </c>
      <c r="N975" s="15" t="s">
        <v>73</v>
      </c>
      <c r="O975" s="16" t="n">
        <v>0</v>
      </c>
      <c r="P975" s="16" t="n">
        <v>0</v>
      </c>
      <c r="Q975" s="16" t="n">
        <v>0</v>
      </c>
      <c r="R975" s="16" t="n">
        <v>0</v>
      </c>
      <c r="S975" s="16" t="n">
        <v>0</v>
      </c>
      <c r="T975" s="17" t="n">
        <f aca="false">AVERAGE(O975:Q975)</f>
        <v>0</v>
      </c>
      <c r="U975" s="18" t="str">
        <f aca="false">IF(T975&gt;=$H$3,"Eligible","Not Eligible")</f>
        <v>Not Eligible</v>
      </c>
      <c r="V975" s="19" t="n">
        <f aca="false">IF(T975&lt;$H$3,0,IFERROR(T975/SUMIF($T$5:$T$999,"&gt;="&amp;$H$3),0))</f>
        <v>0</v>
      </c>
      <c r="W975" s="15" t="str">
        <f aca="false">IF(T975=0,"Win-Back","Active")</f>
        <v>Win-Back</v>
      </c>
      <c r="X975" s="20" t="n">
        <f aca="false">IF(T975=0,0,IF(T975&gt;=$H$3,ROUND(T975*$D$3/SUMIF($T$5:$T$999,"&gt;="&amp;$H$3),0),ROUNDUP(T975*$D$3/SUMIF($T$5:$T$999,"&gt;="&amp;$H$3),0)))</f>
        <v>0</v>
      </c>
      <c r="Y975" s="21"/>
      <c r="Z975" s="16" t="str">
        <f aca="false">IF(X975=0,"",X975-Y975)</f>
        <v/>
      </c>
      <c r="AA975" s="22" t="str">
        <f aca="false">IFERROR(Y975/X975,"")</f>
        <v/>
      </c>
      <c r="AB975" s="16" t="n">
        <v>0</v>
      </c>
      <c r="AC975" s="21"/>
    </row>
    <row r="976" customFormat="false" ht="15" hidden="false" customHeight="true" outlineLevel="0" collapsed="false">
      <c r="A976" s="15" t="s">
        <v>9420</v>
      </c>
      <c r="B976" s="15" t="s">
        <v>9421</v>
      </c>
      <c r="C976" s="15" t="s">
        <v>9422</v>
      </c>
      <c r="D976" s="15" t="s">
        <v>9423</v>
      </c>
      <c r="E976" s="15" t="s">
        <v>1519</v>
      </c>
      <c r="F976" s="15" t="s">
        <v>9424</v>
      </c>
      <c r="G976" s="15" t="s">
        <v>1521</v>
      </c>
      <c r="H976" s="15" t="s">
        <v>9425</v>
      </c>
      <c r="I976" s="15"/>
      <c r="J976" s="15" t="s">
        <v>9426</v>
      </c>
      <c r="K976" s="15" t="s">
        <v>735</v>
      </c>
      <c r="L976" s="15" t="s">
        <v>9427</v>
      </c>
      <c r="M976" s="15" t="s">
        <v>1525</v>
      </c>
      <c r="N976" s="15" t="s">
        <v>73</v>
      </c>
      <c r="O976" s="16" t="n">
        <v>0</v>
      </c>
      <c r="P976" s="16" t="n">
        <v>0</v>
      </c>
      <c r="Q976" s="16" t="n">
        <v>0</v>
      </c>
      <c r="R976" s="16" t="n">
        <v>0</v>
      </c>
      <c r="S976" s="16" t="n">
        <v>0</v>
      </c>
      <c r="T976" s="17" t="n">
        <f aca="false">AVERAGE(O976:Q976)</f>
        <v>0</v>
      </c>
      <c r="U976" s="18" t="str">
        <f aca="false">IF(T976&gt;=$H$3,"Eligible","Not Eligible")</f>
        <v>Not Eligible</v>
      </c>
      <c r="V976" s="19" t="n">
        <f aca="false">IF(T976&lt;$H$3,0,IFERROR(T976/SUMIF($T$5:$T$999,"&gt;="&amp;$H$3),0))</f>
        <v>0</v>
      </c>
      <c r="W976" s="15" t="str">
        <f aca="false">IF(T976=0,"Win-Back","Active")</f>
        <v>Win-Back</v>
      </c>
      <c r="X976" s="20" t="n">
        <f aca="false">IF(T976=0,0,IF(T976&gt;=$H$3,ROUND(T976*$D$3/SUMIF($T$5:$T$999,"&gt;="&amp;$H$3),0),ROUNDUP(T976*$D$3/SUMIF($T$5:$T$999,"&gt;="&amp;$H$3),0)))</f>
        <v>0</v>
      </c>
      <c r="Y976" s="21"/>
      <c r="Z976" s="16" t="str">
        <f aca="false">IF(X976=0,"",X976-Y976)</f>
        <v/>
      </c>
      <c r="AA976" s="22" t="str">
        <f aca="false">IFERROR(Y976/X976,"")</f>
        <v/>
      </c>
      <c r="AB976" s="16" t="n">
        <v>0</v>
      </c>
      <c r="AC976" s="21"/>
    </row>
    <row r="977" customFormat="false" ht="15" hidden="false" customHeight="true" outlineLevel="0" collapsed="false">
      <c r="A977" s="15" t="s">
        <v>9428</v>
      </c>
      <c r="B977" s="15" t="s">
        <v>9429</v>
      </c>
      <c r="C977" s="15" t="s">
        <v>9430</v>
      </c>
      <c r="D977" s="15" t="s">
        <v>9431</v>
      </c>
      <c r="E977" s="15" t="s">
        <v>9432</v>
      </c>
      <c r="F977" s="15" t="s">
        <v>9433</v>
      </c>
      <c r="G977" s="15" t="s">
        <v>9434</v>
      </c>
      <c r="H977" s="15" t="s">
        <v>9435</v>
      </c>
      <c r="I977" s="15"/>
      <c r="J977" s="15" t="s">
        <v>9436</v>
      </c>
      <c r="K977" s="15" t="s">
        <v>47</v>
      </c>
      <c r="L977" s="15" t="s">
        <v>9437</v>
      </c>
      <c r="M977" s="15" t="s">
        <v>9438</v>
      </c>
      <c r="N977" s="15" t="s">
        <v>73</v>
      </c>
      <c r="O977" s="16" t="n">
        <v>0</v>
      </c>
      <c r="P977" s="16" t="n">
        <v>0</v>
      </c>
      <c r="Q977" s="16" t="n">
        <v>0</v>
      </c>
      <c r="R977" s="16" t="n">
        <v>0</v>
      </c>
      <c r="S977" s="16" t="n">
        <v>0</v>
      </c>
      <c r="T977" s="17" t="n">
        <f aca="false">AVERAGE(O977:Q977)</f>
        <v>0</v>
      </c>
      <c r="U977" s="18" t="str">
        <f aca="false">IF(T977&gt;=$H$3,"Eligible","Not Eligible")</f>
        <v>Not Eligible</v>
      </c>
      <c r="V977" s="19" t="n">
        <f aca="false">IF(T977&lt;$H$3,0,IFERROR(T977/SUMIF($T$5:$T$999,"&gt;="&amp;$H$3),0))</f>
        <v>0</v>
      </c>
      <c r="W977" s="15" t="str">
        <f aca="false">IF(T977=0,"Win-Back","Active")</f>
        <v>Win-Back</v>
      </c>
      <c r="X977" s="20" t="n">
        <f aca="false">IF(T977=0,0,IF(T977&gt;=$H$3,ROUND(T977*$D$3/SUMIF($T$5:$T$999,"&gt;="&amp;$H$3),0),ROUNDUP(T977*$D$3/SUMIF($T$5:$T$999,"&gt;="&amp;$H$3),0)))</f>
        <v>0</v>
      </c>
      <c r="Y977" s="21"/>
      <c r="Z977" s="16" t="str">
        <f aca="false">IF(X977=0,"",X977-Y977)</f>
        <v/>
      </c>
      <c r="AA977" s="22" t="str">
        <f aca="false">IFERROR(Y977/X977,"")</f>
        <v/>
      </c>
      <c r="AB977" s="16" t="n">
        <v>0</v>
      </c>
      <c r="AC977" s="21"/>
    </row>
    <row r="978" customFormat="false" ht="15" hidden="false" customHeight="true" outlineLevel="0" collapsed="false">
      <c r="A978" s="15" t="s">
        <v>9439</v>
      </c>
      <c r="B978" s="15" t="s">
        <v>9440</v>
      </c>
      <c r="C978" s="15" t="s">
        <v>9441</v>
      </c>
      <c r="D978" s="15" t="s">
        <v>9442</v>
      </c>
      <c r="E978" s="15" t="s">
        <v>9443</v>
      </c>
      <c r="F978" s="15" t="s">
        <v>9444</v>
      </c>
      <c r="G978" s="15" t="s">
        <v>9445</v>
      </c>
      <c r="H978" s="15" t="s">
        <v>9446</v>
      </c>
      <c r="I978" s="15"/>
      <c r="J978" s="15" t="s">
        <v>9447</v>
      </c>
      <c r="K978" s="15" t="s">
        <v>70</v>
      </c>
      <c r="L978" s="15" t="s">
        <v>9448</v>
      </c>
      <c r="M978" s="15" t="s">
        <v>9449</v>
      </c>
      <c r="N978" s="15" t="s">
        <v>73</v>
      </c>
      <c r="O978" s="16" t="n">
        <v>0</v>
      </c>
      <c r="P978" s="16" t="n">
        <v>0</v>
      </c>
      <c r="Q978" s="16" t="n">
        <v>0</v>
      </c>
      <c r="R978" s="16" t="n">
        <v>0</v>
      </c>
      <c r="S978" s="16" t="n">
        <v>0</v>
      </c>
      <c r="T978" s="17" t="n">
        <f aca="false">AVERAGE(O978:Q978)</f>
        <v>0</v>
      </c>
      <c r="U978" s="18" t="str">
        <f aca="false">IF(T978&gt;=$H$3,"Eligible","Not Eligible")</f>
        <v>Not Eligible</v>
      </c>
      <c r="V978" s="19" t="n">
        <f aca="false">IF(T978&lt;$H$3,0,IFERROR(T978/SUMIF($T$5:$T$999,"&gt;="&amp;$H$3),0))</f>
        <v>0</v>
      </c>
      <c r="W978" s="15" t="str">
        <f aca="false">IF(T978=0,"Win-Back","Active")</f>
        <v>Win-Back</v>
      </c>
      <c r="X978" s="20" t="n">
        <f aca="false">IF(T978=0,0,IF(T978&gt;=$H$3,ROUND(T978*$D$3/SUMIF($T$5:$T$999,"&gt;="&amp;$H$3),0),ROUNDUP(T978*$D$3/SUMIF($T$5:$T$999,"&gt;="&amp;$H$3),0)))</f>
        <v>0</v>
      </c>
      <c r="Y978" s="21"/>
      <c r="Z978" s="16" t="str">
        <f aca="false">IF(X978=0,"",X978-Y978)</f>
        <v/>
      </c>
      <c r="AA978" s="22" t="str">
        <f aca="false">IFERROR(Y978/X978,"")</f>
        <v/>
      </c>
      <c r="AB978" s="16" t="n">
        <v>0</v>
      </c>
      <c r="AC978" s="21"/>
    </row>
    <row r="979" customFormat="false" ht="15" hidden="false" customHeight="true" outlineLevel="0" collapsed="false">
      <c r="A979" s="15" t="s">
        <v>9450</v>
      </c>
      <c r="B979" s="15" t="s">
        <v>9451</v>
      </c>
      <c r="C979" s="15" t="s">
        <v>9452</v>
      </c>
      <c r="D979" s="15" t="s">
        <v>9453</v>
      </c>
      <c r="E979" s="15" t="s">
        <v>9454</v>
      </c>
      <c r="F979" s="15" t="s">
        <v>9455</v>
      </c>
      <c r="G979" s="15" t="s">
        <v>9456</v>
      </c>
      <c r="H979" s="15" t="s">
        <v>9457</v>
      </c>
      <c r="I979" s="15"/>
      <c r="J979" s="15" t="s">
        <v>9458</v>
      </c>
      <c r="K979" s="15" t="s">
        <v>1255</v>
      </c>
      <c r="L979" s="15" t="s">
        <v>9459</v>
      </c>
      <c r="M979" s="15" t="s">
        <v>9460</v>
      </c>
      <c r="N979" s="15" t="s">
        <v>73</v>
      </c>
      <c r="O979" s="16" t="n">
        <v>0</v>
      </c>
      <c r="P979" s="16" t="n">
        <v>0</v>
      </c>
      <c r="Q979" s="16" t="n">
        <v>0</v>
      </c>
      <c r="R979" s="16" t="n">
        <v>0</v>
      </c>
      <c r="S979" s="16" t="n">
        <v>0</v>
      </c>
      <c r="T979" s="17" t="n">
        <f aca="false">AVERAGE(O979:Q979)</f>
        <v>0</v>
      </c>
      <c r="U979" s="18" t="str">
        <f aca="false">IF(T979&gt;=$H$3,"Eligible","Not Eligible")</f>
        <v>Not Eligible</v>
      </c>
      <c r="V979" s="19" t="n">
        <f aca="false">IF(T979&lt;$H$3,0,IFERROR(T979/SUMIF($T$5:$T$999,"&gt;="&amp;$H$3),0))</f>
        <v>0</v>
      </c>
      <c r="W979" s="15" t="str">
        <f aca="false">IF(T979=0,"Win-Back","Active")</f>
        <v>Win-Back</v>
      </c>
      <c r="X979" s="20" t="n">
        <f aca="false">IF(T979=0,0,IF(T979&gt;=$H$3,ROUND(T979*$D$3/SUMIF($T$5:$T$999,"&gt;="&amp;$H$3),0),ROUNDUP(T979*$D$3/SUMIF($T$5:$T$999,"&gt;="&amp;$H$3),0)))</f>
        <v>0</v>
      </c>
      <c r="Y979" s="21"/>
      <c r="Z979" s="16" t="str">
        <f aca="false">IF(X979=0,"",X979-Y979)</f>
        <v/>
      </c>
      <c r="AA979" s="22" t="str">
        <f aca="false">IFERROR(Y979/X979,"")</f>
        <v/>
      </c>
      <c r="AB979" s="16" t="n">
        <v>0</v>
      </c>
      <c r="AC979" s="21"/>
    </row>
    <row r="980" customFormat="false" ht="15" hidden="false" customHeight="true" outlineLevel="0" collapsed="false">
      <c r="A980" s="15" t="s">
        <v>9461</v>
      </c>
      <c r="B980" s="15" t="s">
        <v>9462</v>
      </c>
      <c r="C980" s="15" t="s">
        <v>9463</v>
      </c>
      <c r="D980" s="15" t="s">
        <v>9464</v>
      </c>
      <c r="E980" s="15" t="s">
        <v>9465</v>
      </c>
      <c r="F980" s="15" t="s">
        <v>9466</v>
      </c>
      <c r="G980" s="15" t="s">
        <v>9467</v>
      </c>
      <c r="H980" s="15" t="s">
        <v>9468</v>
      </c>
      <c r="I980" s="15"/>
      <c r="J980" s="15" t="s">
        <v>777</v>
      </c>
      <c r="K980" s="15" t="s">
        <v>70</v>
      </c>
      <c r="L980" s="15" t="s">
        <v>778</v>
      </c>
      <c r="M980" s="15" t="s">
        <v>9469</v>
      </c>
      <c r="N980" s="15" t="s">
        <v>73</v>
      </c>
      <c r="O980" s="16" t="n">
        <v>0</v>
      </c>
      <c r="P980" s="16" t="n">
        <v>0</v>
      </c>
      <c r="Q980" s="16" t="n">
        <v>0</v>
      </c>
      <c r="R980" s="16" t="n">
        <v>0</v>
      </c>
      <c r="S980" s="16" t="n">
        <v>0</v>
      </c>
      <c r="T980" s="17" t="n">
        <f aca="false">AVERAGE(O980:Q980)</f>
        <v>0</v>
      </c>
      <c r="U980" s="18" t="str">
        <f aca="false">IF(T980&gt;=$H$3,"Eligible","Not Eligible")</f>
        <v>Not Eligible</v>
      </c>
      <c r="V980" s="19" t="n">
        <f aca="false">IF(T980&lt;$H$3,0,IFERROR(T980/SUMIF($T$5:$T$999,"&gt;="&amp;$H$3),0))</f>
        <v>0</v>
      </c>
      <c r="W980" s="15" t="str">
        <f aca="false">IF(T980=0,"Win-Back","Active")</f>
        <v>Win-Back</v>
      </c>
      <c r="X980" s="20" t="n">
        <f aca="false">IF(T980=0,0,IF(T980&gt;=$H$3,ROUND(T980*$D$3/SUMIF($T$5:$T$999,"&gt;="&amp;$H$3),0),ROUNDUP(T980*$D$3/SUMIF($T$5:$T$999,"&gt;="&amp;$H$3),0)))</f>
        <v>0</v>
      </c>
      <c r="Y980" s="21"/>
      <c r="Z980" s="16" t="str">
        <f aca="false">IF(X980=0,"",X980-Y980)</f>
        <v/>
      </c>
      <c r="AA980" s="22" t="str">
        <f aca="false">IFERROR(Y980/X980,"")</f>
        <v/>
      </c>
      <c r="AB980" s="16" t="n">
        <v>0</v>
      </c>
      <c r="AC980" s="21"/>
    </row>
    <row r="981" customFormat="false" ht="15" hidden="false" customHeight="true" outlineLevel="0" collapsed="false">
      <c r="A981" s="15" t="s">
        <v>9470</v>
      </c>
      <c r="B981" s="15" t="s">
        <v>9471</v>
      </c>
      <c r="C981" s="15" t="s">
        <v>9472</v>
      </c>
      <c r="D981" s="15" t="s">
        <v>9473</v>
      </c>
      <c r="E981" s="15" t="s">
        <v>9474</v>
      </c>
      <c r="F981" s="15" t="s">
        <v>9475</v>
      </c>
      <c r="G981" s="15" t="s">
        <v>9476</v>
      </c>
      <c r="H981" s="15" t="s">
        <v>9477</v>
      </c>
      <c r="I981" s="15"/>
      <c r="J981" s="15" t="s">
        <v>9478</v>
      </c>
      <c r="K981" s="15" t="s">
        <v>1890</v>
      </c>
      <c r="L981" s="15" t="s">
        <v>9479</v>
      </c>
      <c r="M981" s="15" t="s">
        <v>9480</v>
      </c>
      <c r="N981" s="15" t="s">
        <v>73</v>
      </c>
      <c r="O981" s="16" t="n">
        <v>0</v>
      </c>
      <c r="P981" s="16" t="n">
        <v>0</v>
      </c>
      <c r="Q981" s="16" t="n">
        <v>0</v>
      </c>
      <c r="R981" s="16" t="n">
        <v>0</v>
      </c>
      <c r="S981" s="16" t="n">
        <v>0</v>
      </c>
      <c r="T981" s="17" t="n">
        <f aca="false">AVERAGE(O981:Q981)</f>
        <v>0</v>
      </c>
      <c r="U981" s="18" t="str">
        <f aca="false">IF(T981&gt;=$H$3,"Eligible","Not Eligible")</f>
        <v>Not Eligible</v>
      </c>
      <c r="V981" s="19" t="n">
        <f aca="false">IF(T981&lt;$H$3,0,IFERROR(T981/SUMIF($T$5:$T$999,"&gt;="&amp;$H$3),0))</f>
        <v>0</v>
      </c>
      <c r="W981" s="15" t="str">
        <f aca="false">IF(T981=0,"Win-Back","Active")</f>
        <v>Win-Back</v>
      </c>
      <c r="X981" s="20" t="n">
        <f aca="false">IF(T981=0,0,IF(T981&gt;=$H$3,ROUND(T981*$D$3/SUMIF($T$5:$T$999,"&gt;="&amp;$H$3),0),ROUNDUP(T981*$D$3/SUMIF($T$5:$T$999,"&gt;="&amp;$H$3),0)))</f>
        <v>0</v>
      </c>
      <c r="Y981" s="21"/>
      <c r="Z981" s="16" t="str">
        <f aca="false">IF(X981=0,"",X981-Y981)</f>
        <v/>
      </c>
      <c r="AA981" s="22" t="str">
        <f aca="false">IFERROR(Y981/X981,"")</f>
        <v/>
      </c>
      <c r="AB981" s="16" t="n">
        <v>0</v>
      </c>
      <c r="AC981" s="21"/>
    </row>
    <row r="982" customFormat="false" ht="15" hidden="false" customHeight="true" outlineLevel="0" collapsed="false">
      <c r="A982" s="15" t="s">
        <v>9481</v>
      </c>
      <c r="B982" s="15" t="s">
        <v>9482</v>
      </c>
      <c r="C982" s="15" t="s">
        <v>9483</v>
      </c>
      <c r="D982" s="15" t="s">
        <v>9484</v>
      </c>
      <c r="E982" s="15" t="s">
        <v>9485</v>
      </c>
      <c r="F982" s="15" t="s">
        <v>9486</v>
      </c>
      <c r="G982" s="15" t="s">
        <v>9487</v>
      </c>
      <c r="H982" s="15" t="s">
        <v>9488</v>
      </c>
      <c r="I982" s="15"/>
      <c r="J982" s="15" t="s">
        <v>9489</v>
      </c>
      <c r="K982" s="15" t="s">
        <v>1255</v>
      </c>
      <c r="L982" s="15" t="s">
        <v>9490</v>
      </c>
      <c r="M982" s="15" t="s">
        <v>9491</v>
      </c>
      <c r="N982" s="15" t="s">
        <v>73</v>
      </c>
      <c r="O982" s="16" t="n">
        <v>0</v>
      </c>
      <c r="P982" s="16" t="n">
        <v>0</v>
      </c>
      <c r="Q982" s="16" t="n">
        <v>0</v>
      </c>
      <c r="R982" s="16" t="n">
        <v>0</v>
      </c>
      <c r="S982" s="16" t="n">
        <v>0</v>
      </c>
      <c r="T982" s="17" t="n">
        <f aca="false">AVERAGE(O982:Q982)</f>
        <v>0</v>
      </c>
      <c r="U982" s="18" t="str">
        <f aca="false">IF(T982&gt;=$H$3,"Eligible","Not Eligible")</f>
        <v>Not Eligible</v>
      </c>
      <c r="V982" s="19" t="n">
        <f aca="false">IF(T982&lt;$H$3,0,IFERROR(T982/SUMIF($T$5:$T$999,"&gt;="&amp;$H$3),0))</f>
        <v>0</v>
      </c>
      <c r="W982" s="15" t="str">
        <f aca="false">IF(T982=0,"Win-Back","Active")</f>
        <v>Win-Back</v>
      </c>
      <c r="X982" s="20" t="n">
        <f aca="false">IF(T982=0,0,IF(T982&gt;=$H$3,ROUND(T982*$D$3/SUMIF($T$5:$T$999,"&gt;="&amp;$H$3),0),ROUNDUP(T982*$D$3/SUMIF($T$5:$T$999,"&gt;="&amp;$H$3),0)))</f>
        <v>0</v>
      </c>
      <c r="Y982" s="21" t="n">
        <v>1</v>
      </c>
      <c r="Z982" s="16" t="str">
        <f aca="false">IF(X982=0,"",X982-Y982)</f>
        <v/>
      </c>
      <c r="AA982" s="22" t="str">
        <f aca="false">IFERROR(Y982/X982,"")</f>
        <v/>
      </c>
      <c r="AB982" s="16" t="n">
        <v>0</v>
      </c>
      <c r="AC982" s="21"/>
    </row>
    <row r="983" customFormat="false" ht="15" hidden="false" customHeight="true" outlineLevel="0" collapsed="false">
      <c r="A983" s="15" t="s">
        <v>9492</v>
      </c>
      <c r="B983" s="15" t="s">
        <v>9493</v>
      </c>
      <c r="C983" s="15" t="s">
        <v>9494</v>
      </c>
      <c r="D983" s="15" t="s">
        <v>9495</v>
      </c>
      <c r="E983" s="15" t="s">
        <v>9496</v>
      </c>
      <c r="F983" s="15" t="s">
        <v>9497</v>
      </c>
      <c r="G983" s="15" t="s">
        <v>9498</v>
      </c>
      <c r="H983" s="15" t="s">
        <v>9499</v>
      </c>
      <c r="I983" s="15"/>
      <c r="J983" s="15" t="s">
        <v>9500</v>
      </c>
      <c r="K983" s="15" t="s">
        <v>1890</v>
      </c>
      <c r="L983" s="15" t="s">
        <v>9501</v>
      </c>
      <c r="M983" s="15" t="s">
        <v>9502</v>
      </c>
      <c r="N983" s="15" t="s">
        <v>73</v>
      </c>
      <c r="O983" s="16" t="n">
        <v>0</v>
      </c>
      <c r="P983" s="16" t="n">
        <v>0</v>
      </c>
      <c r="Q983" s="16" t="n">
        <v>0</v>
      </c>
      <c r="R983" s="16" t="n">
        <v>0</v>
      </c>
      <c r="S983" s="16" t="n">
        <v>0</v>
      </c>
      <c r="T983" s="17" t="n">
        <f aca="false">AVERAGE(O983:Q983)</f>
        <v>0</v>
      </c>
      <c r="U983" s="18" t="str">
        <f aca="false">IF(T983&gt;=$H$3,"Eligible","Not Eligible")</f>
        <v>Not Eligible</v>
      </c>
      <c r="V983" s="19" t="n">
        <f aca="false">IF(T983&lt;$H$3,0,IFERROR(T983/SUMIF($T$5:$T$999,"&gt;="&amp;$H$3),0))</f>
        <v>0</v>
      </c>
      <c r="W983" s="15" t="str">
        <f aca="false">IF(T983=0,"Win-Back","Active")</f>
        <v>Win-Back</v>
      </c>
      <c r="X983" s="20" t="n">
        <f aca="false">IF(T983=0,0,IF(T983&gt;=$H$3,ROUND(T983*$D$3/SUMIF($T$5:$T$999,"&gt;="&amp;$H$3),0),ROUNDUP(T983*$D$3/SUMIF($T$5:$T$999,"&gt;="&amp;$H$3),0)))</f>
        <v>0</v>
      </c>
      <c r="Y983" s="21"/>
      <c r="Z983" s="16" t="str">
        <f aca="false">IF(X983=0,"",X983-Y983)</f>
        <v/>
      </c>
      <c r="AA983" s="22" t="str">
        <f aca="false">IFERROR(Y983/X983,"")</f>
        <v/>
      </c>
      <c r="AB983" s="16" t="n">
        <v>0</v>
      </c>
      <c r="AC983" s="21"/>
    </row>
    <row r="984" customFormat="false" ht="15" hidden="false" customHeight="true" outlineLevel="0" collapsed="false">
      <c r="A984" s="15" t="s">
        <v>9503</v>
      </c>
      <c r="B984" s="15" t="s">
        <v>9504</v>
      </c>
      <c r="C984" s="15" t="s">
        <v>9505</v>
      </c>
      <c r="D984" s="15" t="s">
        <v>9506</v>
      </c>
      <c r="E984" s="15" t="s">
        <v>9507</v>
      </c>
      <c r="F984" s="15" t="s">
        <v>9508</v>
      </c>
      <c r="G984" s="15" t="s">
        <v>9509</v>
      </c>
      <c r="H984" s="15" t="s">
        <v>9510</v>
      </c>
      <c r="I984" s="15" t="s">
        <v>9511</v>
      </c>
      <c r="J984" s="15" t="s">
        <v>9512</v>
      </c>
      <c r="K984" s="15" t="s">
        <v>2557</v>
      </c>
      <c r="L984" s="15" t="s">
        <v>9513</v>
      </c>
      <c r="M984" s="15" t="s">
        <v>9514</v>
      </c>
      <c r="N984" s="15" t="s">
        <v>73</v>
      </c>
      <c r="O984" s="16" t="n">
        <v>0</v>
      </c>
      <c r="P984" s="16" t="n">
        <v>0</v>
      </c>
      <c r="Q984" s="16" t="n">
        <v>0</v>
      </c>
      <c r="R984" s="16" t="n">
        <v>0</v>
      </c>
      <c r="S984" s="16" t="n">
        <v>0</v>
      </c>
      <c r="T984" s="17" t="n">
        <f aca="false">AVERAGE(O984:Q984)</f>
        <v>0</v>
      </c>
      <c r="U984" s="18" t="str">
        <f aca="false">IF(T984&gt;=$H$3,"Eligible","Not Eligible")</f>
        <v>Not Eligible</v>
      </c>
      <c r="V984" s="19" t="n">
        <f aca="false">IF(T984&lt;$H$3,0,IFERROR(T984/SUMIF($T$5:$T$999,"&gt;="&amp;$H$3),0))</f>
        <v>0</v>
      </c>
      <c r="W984" s="15" t="str">
        <f aca="false">IF(T984=0,"Win-Back","Active")</f>
        <v>Win-Back</v>
      </c>
      <c r="X984" s="20" t="n">
        <f aca="false">IF(T984=0,0,IF(T984&gt;=$H$3,ROUND(T984*$D$3/SUMIF($T$5:$T$999,"&gt;="&amp;$H$3),0),ROUNDUP(T984*$D$3/SUMIF($T$5:$T$999,"&gt;="&amp;$H$3),0)))</f>
        <v>0</v>
      </c>
      <c r="Y984" s="21"/>
      <c r="Z984" s="16" t="str">
        <f aca="false">IF(X984=0,"",X984-Y984)</f>
        <v/>
      </c>
      <c r="AA984" s="22" t="str">
        <f aca="false">IFERROR(Y984/X984,"")</f>
        <v/>
      </c>
      <c r="AB984" s="16" t="n">
        <v>0</v>
      </c>
      <c r="AC984" s="21"/>
    </row>
    <row r="985" customFormat="false" ht="15" hidden="false" customHeight="true" outlineLevel="0" collapsed="false">
      <c r="A985" s="15" t="s">
        <v>9515</v>
      </c>
      <c r="B985" s="15" t="s">
        <v>9516</v>
      </c>
      <c r="C985" s="15" t="s">
        <v>9517</v>
      </c>
      <c r="D985" s="15" t="s">
        <v>9518</v>
      </c>
      <c r="E985" s="15" t="s">
        <v>9519</v>
      </c>
      <c r="F985" s="15" t="s">
        <v>9520</v>
      </c>
      <c r="G985" s="15" t="s">
        <v>9521</v>
      </c>
      <c r="H985" s="15" t="s">
        <v>9522</v>
      </c>
      <c r="I985" s="15"/>
      <c r="J985" s="15" t="s">
        <v>863</v>
      </c>
      <c r="K985" s="15" t="s">
        <v>864</v>
      </c>
      <c r="L985" s="15" t="s">
        <v>9523</v>
      </c>
      <c r="M985" s="15" t="s">
        <v>9524</v>
      </c>
      <c r="N985" s="15" t="s">
        <v>73</v>
      </c>
      <c r="O985" s="16" t="n">
        <v>0</v>
      </c>
      <c r="P985" s="16" t="n">
        <v>0</v>
      </c>
      <c r="Q985" s="16" t="n">
        <v>0</v>
      </c>
      <c r="R985" s="16" t="n">
        <v>0</v>
      </c>
      <c r="S985" s="16" t="n">
        <v>0</v>
      </c>
      <c r="T985" s="17" t="n">
        <f aca="false">AVERAGE(O985:Q985)</f>
        <v>0</v>
      </c>
      <c r="U985" s="18" t="str">
        <f aca="false">IF(T985&gt;=$H$3,"Eligible","Not Eligible")</f>
        <v>Not Eligible</v>
      </c>
      <c r="V985" s="19" t="n">
        <f aca="false">IF(T985&lt;$H$3,0,IFERROR(T985/SUMIF($T$5:$T$999,"&gt;="&amp;$H$3),0))</f>
        <v>0</v>
      </c>
      <c r="W985" s="15" t="str">
        <f aca="false">IF(T985=0,"Win-Back","Active")</f>
        <v>Win-Back</v>
      </c>
      <c r="X985" s="20" t="n">
        <f aca="false">IF(T985=0,0,IF(T985&gt;=$H$3,ROUND(T985*$D$3/SUMIF($T$5:$T$999,"&gt;="&amp;$H$3),0),ROUNDUP(T985*$D$3/SUMIF($T$5:$T$999,"&gt;="&amp;$H$3),0)))</f>
        <v>0</v>
      </c>
      <c r="Y985" s="21"/>
      <c r="Z985" s="16" t="str">
        <f aca="false">IF(X985=0,"",X985-Y985)</f>
        <v/>
      </c>
      <c r="AA985" s="22" t="str">
        <f aca="false">IFERROR(Y985/X985,"")</f>
        <v/>
      </c>
      <c r="AB985" s="16" t="n">
        <v>0</v>
      </c>
      <c r="AC985" s="21"/>
    </row>
    <row r="986" customFormat="false" ht="15" hidden="false" customHeight="true" outlineLevel="0" collapsed="false">
      <c r="A986" s="15" t="s">
        <v>9525</v>
      </c>
      <c r="B986" s="15" t="s">
        <v>9526</v>
      </c>
      <c r="C986" s="15" t="s">
        <v>9527</v>
      </c>
      <c r="D986" s="15" t="s">
        <v>9528</v>
      </c>
      <c r="E986" s="15" t="s">
        <v>9529</v>
      </c>
      <c r="F986" s="15" t="s">
        <v>7350</v>
      </c>
      <c r="G986" s="15" t="s">
        <v>9530</v>
      </c>
      <c r="H986" s="15" t="s">
        <v>9531</v>
      </c>
      <c r="I986" s="15"/>
      <c r="J986" s="15" t="s">
        <v>777</v>
      </c>
      <c r="K986" s="15" t="s">
        <v>70</v>
      </c>
      <c r="L986" s="15" t="s">
        <v>778</v>
      </c>
      <c r="M986" s="15" t="s">
        <v>9532</v>
      </c>
      <c r="N986" s="15" t="s">
        <v>73</v>
      </c>
      <c r="O986" s="16" t="n">
        <v>0</v>
      </c>
      <c r="P986" s="16" t="n">
        <v>0</v>
      </c>
      <c r="Q986" s="16" t="n">
        <v>0</v>
      </c>
      <c r="R986" s="16" t="n">
        <v>0</v>
      </c>
      <c r="S986" s="16" t="n">
        <v>0</v>
      </c>
      <c r="T986" s="17" t="n">
        <f aca="false">AVERAGE(O986:Q986)</f>
        <v>0</v>
      </c>
      <c r="U986" s="18" t="str">
        <f aca="false">IF(T986&gt;=$H$3,"Eligible","Not Eligible")</f>
        <v>Not Eligible</v>
      </c>
      <c r="V986" s="19" t="n">
        <f aca="false">IF(T986&lt;$H$3,0,IFERROR(T986/SUMIF($T$5:$T$999,"&gt;="&amp;$H$3),0))</f>
        <v>0</v>
      </c>
      <c r="W986" s="15" t="str">
        <f aca="false">IF(T986=0,"Win-Back","Active")</f>
        <v>Win-Back</v>
      </c>
      <c r="X986" s="20" t="n">
        <f aca="false">IF(T986=0,0,IF(T986&gt;=$H$3,ROUND(T986*$D$3/SUMIF($T$5:$T$999,"&gt;="&amp;$H$3),0),ROUNDUP(T986*$D$3/SUMIF($T$5:$T$999,"&gt;="&amp;$H$3),0)))</f>
        <v>0</v>
      </c>
      <c r="Y986" s="21"/>
      <c r="Z986" s="16" t="str">
        <f aca="false">IF(X986=0,"",X986-Y986)</f>
        <v/>
      </c>
      <c r="AA986" s="22" t="str">
        <f aca="false">IFERROR(Y986/X986,"")</f>
        <v/>
      </c>
      <c r="AB986" s="16" t="n">
        <v>0</v>
      </c>
      <c r="AC986" s="21"/>
    </row>
    <row r="987" customFormat="false" ht="15" hidden="false" customHeight="true" outlineLevel="0" collapsed="false">
      <c r="A987" s="15" t="s">
        <v>9533</v>
      </c>
      <c r="B987" s="15" t="s">
        <v>9533</v>
      </c>
      <c r="C987" s="15" t="s">
        <v>9534</v>
      </c>
      <c r="D987" s="15" t="s">
        <v>9535</v>
      </c>
      <c r="E987" s="15" t="s">
        <v>9536</v>
      </c>
      <c r="F987" s="15" t="s">
        <v>9537</v>
      </c>
      <c r="G987" s="15" t="s">
        <v>9538</v>
      </c>
      <c r="H987" s="15" t="s">
        <v>9539</v>
      </c>
      <c r="I987" s="15" t="s">
        <v>1610</v>
      </c>
      <c r="J987" s="15" t="s">
        <v>9540</v>
      </c>
      <c r="K987" s="15" t="s">
        <v>1255</v>
      </c>
      <c r="L987" s="15" t="s">
        <v>9541</v>
      </c>
      <c r="M987" s="15" t="s">
        <v>9542</v>
      </c>
      <c r="N987" s="15" t="s">
        <v>73</v>
      </c>
      <c r="O987" s="16" t="n">
        <v>0</v>
      </c>
      <c r="P987" s="16" t="n">
        <v>0</v>
      </c>
      <c r="Q987" s="16" t="n">
        <v>0</v>
      </c>
      <c r="R987" s="16" t="n">
        <v>0</v>
      </c>
      <c r="S987" s="16" t="n">
        <v>0</v>
      </c>
      <c r="T987" s="17" t="n">
        <f aca="false">AVERAGE(O987:Q987)</f>
        <v>0</v>
      </c>
      <c r="U987" s="18" t="str">
        <f aca="false">IF(T987&gt;=$H$3,"Eligible","Not Eligible")</f>
        <v>Not Eligible</v>
      </c>
      <c r="V987" s="19" t="n">
        <f aca="false">IF(T987&lt;$H$3,0,IFERROR(T987/SUMIF($T$5:$T$999,"&gt;="&amp;$H$3),0))</f>
        <v>0</v>
      </c>
      <c r="W987" s="15" t="str">
        <f aca="false">IF(T987=0,"Win-Back","Active")</f>
        <v>Win-Back</v>
      </c>
      <c r="X987" s="20" t="n">
        <f aca="false">IF(T987=0,0,IF(T987&gt;=$H$3,ROUND(T987*$D$3/SUMIF($T$5:$T$999,"&gt;="&amp;$H$3),0),ROUNDUP(T987*$D$3/SUMIF($T$5:$T$999,"&gt;="&amp;$H$3),0)))</f>
        <v>0</v>
      </c>
      <c r="Y987" s="21"/>
      <c r="Z987" s="16" t="str">
        <f aca="false">IF(X987=0,"",X987-Y987)</f>
        <v/>
      </c>
      <c r="AA987" s="22" t="str">
        <f aca="false">IFERROR(Y987/X987,"")</f>
        <v/>
      </c>
      <c r="AB987" s="16" t="n">
        <v>0</v>
      </c>
      <c r="AC987" s="21"/>
    </row>
    <row r="988" customFormat="false" ht="15" hidden="false" customHeight="true" outlineLevel="0" collapsed="false">
      <c r="A988" s="15" t="s">
        <v>9543</v>
      </c>
      <c r="B988" s="15" t="s">
        <v>9544</v>
      </c>
      <c r="C988" s="15" t="s">
        <v>9545</v>
      </c>
      <c r="D988" s="15" t="s">
        <v>9546</v>
      </c>
      <c r="E988" s="15" t="s">
        <v>9547</v>
      </c>
      <c r="F988" s="15" t="s">
        <v>9548</v>
      </c>
      <c r="G988" s="15" t="s">
        <v>9549</v>
      </c>
      <c r="H988" s="15" t="s">
        <v>9550</v>
      </c>
      <c r="I988" s="15"/>
      <c r="J988" s="15" t="s">
        <v>9551</v>
      </c>
      <c r="K988" s="15" t="s">
        <v>70</v>
      </c>
      <c r="L988" s="15" t="s">
        <v>9552</v>
      </c>
      <c r="M988" s="15" t="s">
        <v>9553</v>
      </c>
      <c r="N988" s="15" t="s">
        <v>73</v>
      </c>
      <c r="O988" s="16" t="n">
        <v>0</v>
      </c>
      <c r="P988" s="16" t="n">
        <v>0</v>
      </c>
      <c r="Q988" s="16" t="n">
        <v>0</v>
      </c>
      <c r="R988" s="16" t="n">
        <v>0</v>
      </c>
      <c r="S988" s="16" t="n">
        <v>0</v>
      </c>
      <c r="T988" s="17" t="n">
        <f aca="false">AVERAGE(O988:Q988)</f>
        <v>0</v>
      </c>
      <c r="U988" s="18" t="str">
        <f aca="false">IF(T988&gt;=$H$3,"Eligible","Not Eligible")</f>
        <v>Not Eligible</v>
      </c>
      <c r="V988" s="19" t="n">
        <f aca="false">IF(T988&lt;$H$3,0,IFERROR(T988/SUMIF($T$5:$T$999,"&gt;="&amp;$H$3),0))</f>
        <v>0</v>
      </c>
      <c r="W988" s="15" t="str">
        <f aca="false">IF(T988=0,"Win-Back","Active")</f>
        <v>Win-Back</v>
      </c>
      <c r="X988" s="20" t="n">
        <f aca="false">IF(T988=0,0,IF(T988&gt;=$H$3,ROUND(T988*$D$3/SUMIF($T$5:$T$999,"&gt;="&amp;$H$3),0),ROUNDUP(T988*$D$3/SUMIF($T$5:$T$999,"&gt;="&amp;$H$3),0)))</f>
        <v>0</v>
      </c>
      <c r="Y988" s="21"/>
      <c r="Z988" s="16" t="str">
        <f aca="false">IF(X988=0,"",X988-Y988)</f>
        <v/>
      </c>
      <c r="AA988" s="22" t="str">
        <f aca="false">IFERROR(Y988/X988,"")</f>
        <v/>
      </c>
      <c r="AB988" s="16" t="n">
        <v>0</v>
      </c>
      <c r="AC988" s="21"/>
    </row>
    <row r="989" customFormat="false" ht="15" hidden="false" customHeight="true" outlineLevel="0" collapsed="false">
      <c r="A989" s="15" t="s">
        <v>9554</v>
      </c>
      <c r="B989" s="15" t="s">
        <v>9555</v>
      </c>
      <c r="C989" s="15" t="s">
        <v>9556</v>
      </c>
      <c r="D989" s="15" t="s">
        <v>9557</v>
      </c>
      <c r="E989" s="15" t="s">
        <v>9558</v>
      </c>
      <c r="F989" s="15" t="s">
        <v>9559</v>
      </c>
      <c r="G989" s="15" t="s">
        <v>9560</v>
      </c>
      <c r="H989" s="15" t="s">
        <v>9561</v>
      </c>
      <c r="I989" s="15"/>
      <c r="J989" s="15" t="s">
        <v>9030</v>
      </c>
      <c r="K989" s="15" t="s">
        <v>1200</v>
      </c>
      <c r="L989" s="15" t="s">
        <v>9335</v>
      </c>
      <c r="M989" s="15" t="s">
        <v>9562</v>
      </c>
      <c r="N989" s="15" t="s">
        <v>73</v>
      </c>
      <c r="O989" s="16" t="n">
        <v>0</v>
      </c>
      <c r="P989" s="16" t="n">
        <v>0</v>
      </c>
      <c r="Q989" s="16" t="n">
        <v>0</v>
      </c>
      <c r="R989" s="16" t="n">
        <v>0</v>
      </c>
      <c r="S989" s="16" t="n">
        <v>0</v>
      </c>
      <c r="T989" s="17" t="n">
        <f aca="false">AVERAGE(O989:Q989)</f>
        <v>0</v>
      </c>
      <c r="U989" s="18" t="str">
        <f aca="false">IF(T989&gt;=$H$3,"Eligible","Not Eligible")</f>
        <v>Not Eligible</v>
      </c>
      <c r="V989" s="19" t="n">
        <f aca="false">IF(T989&lt;$H$3,0,IFERROR(T989/SUMIF($T$5:$T$999,"&gt;="&amp;$H$3),0))</f>
        <v>0</v>
      </c>
      <c r="W989" s="15" t="str">
        <f aca="false">IF(T989=0,"Win-Back","Active")</f>
        <v>Win-Back</v>
      </c>
      <c r="X989" s="20" t="n">
        <f aca="false">IF(T989=0,0,IF(T989&gt;=$H$3,ROUND(T989*$D$3/SUMIF($T$5:$T$999,"&gt;="&amp;$H$3),0),ROUNDUP(T989*$D$3/SUMIF($T$5:$T$999,"&gt;="&amp;$H$3),0)))</f>
        <v>0</v>
      </c>
      <c r="Y989" s="21"/>
      <c r="Z989" s="16" t="str">
        <f aca="false">IF(X989=0,"",X989-Y989)</f>
        <v/>
      </c>
      <c r="AA989" s="22" t="str">
        <f aca="false">IFERROR(Y989/X989,"")</f>
        <v/>
      </c>
      <c r="AB989" s="16" t="n">
        <v>0</v>
      </c>
      <c r="AC989" s="21"/>
    </row>
    <row r="990" customFormat="false" ht="15" hidden="false" customHeight="true" outlineLevel="0" collapsed="false">
      <c r="A990" s="15" t="s">
        <v>9563</v>
      </c>
      <c r="B990" s="15" t="s">
        <v>9564</v>
      </c>
      <c r="C990" s="15" t="s">
        <v>9565</v>
      </c>
      <c r="D990" s="15" t="s">
        <v>9566</v>
      </c>
      <c r="E990" s="15" t="s">
        <v>9567</v>
      </c>
      <c r="F990" s="15" t="s">
        <v>9568</v>
      </c>
      <c r="G990" s="15" t="s">
        <v>9569</v>
      </c>
      <c r="H990" s="15" t="s">
        <v>9570</v>
      </c>
      <c r="I990" s="15"/>
      <c r="J990" s="15" t="s">
        <v>4244</v>
      </c>
      <c r="K990" s="15" t="s">
        <v>70</v>
      </c>
      <c r="L990" s="15" t="s">
        <v>9571</v>
      </c>
      <c r="M990" s="15" t="s">
        <v>9572</v>
      </c>
      <c r="N990" s="15" t="s">
        <v>73</v>
      </c>
      <c r="O990" s="16" t="n">
        <v>0</v>
      </c>
      <c r="P990" s="16" t="n">
        <v>0</v>
      </c>
      <c r="Q990" s="16" t="n">
        <v>0</v>
      </c>
      <c r="R990" s="16" t="n">
        <v>0</v>
      </c>
      <c r="S990" s="16" t="n">
        <v>0</v>
      </c>
      <c r="T990" s="17" t="n">
        <f aca="false">AVERAGE(O990:Q990)</f>
        <v>0</v>
      </c>
      <c r="U990" s="18" t="str">
        <f aca="false">IF(T990&gt;=$H$3,"Eligible","Not Eligible")</f>
        <v>Not Eligible</v>
      </c>
      <c r="V990" s="19" t="n">
        <f aca="false">IF(T990&lt;$H$3,0,IFERROR(T990/SUMIF($T$5:$T$999,"&gt;="&amp;$H$3),0))</f>
        <v>0</v>
      </c>
      <c r="W990" s="15" t="str">
        <f aca="false">IF(T990=0,"Win-Back","Active")</f>
        <v>Win-Back</v>
      </c>
      <c r="X990" s="20" t="n">
        <f aca="false">IF(T990=0,0,IF(T990&gt;=$H$3,ROUND(T990*$D$3/SUMIF($T$5:$T$999,"&gt;="&amp;$H$3),0),ROUNDUP(T990*$D$3/SUMIF($T$5:$T$999,"&gt;="&amp;$H$3),0)))</f>
        <v>0</v>
      </c>
      <c r="Y990" s="21"/>
      <c r="Z990" s="16" t="str">
        <f aca="false">IF(X990=0,"",X990-Y990)</f>
        <v/>
      </c>
      <c r="AA990" s="22" t="str">
        <f aca="false">IFERROR(Y990/X990,"")</f>
        <v/>
      </c>
      <c r="AB990" s="16" t="n">
        <v>0</v>
      </c>
      <c r="AC990" s="21"/>
    </row>
    <row r="991" customFormat="false" ht="15" hidden="false" customHeight="true" outlineLevel="0" collapsed="false">
      <c r="A991" s="15" t="s">
        <v>9573</v>
      </c>
      <c r="B991" s="15" t="s">
        <v>9574</v>
      </c>
      <c r="C991" s="15" t="s">
        <v>9575</v>
      </c>
      <c r="D991" s="15" t="s">
        <v>9576</v>
      </c>
      <c r="E991" s="15" t="s">
        <v>9577</v>
      </c>
      <c r="F991" s="15" t="s">
        <v>9578</v>
      </c>
      <c r="G991" s="15" t="s">
        <v>9579</v>
      </c>
      <c r="H991" s="15" t="s">
        <v>9580</v>
      </c>
      <c r="I991" s="15"/>
      <c r="J991" s="15" t="s">
        <v>3628</v>
      </c>
      <c r="K991" s="15" t="s">
        <v>70</v>
      </c>
      <c r="L991" s="15" t="s">
        <v>9581</v>
      </c>
      <c r="M991" s="15" t="s">
        <v>9582</v>
      </c>
      <c r="N991" s="15" t="s">
        <v>73</v>
      </c>
      <c r="O991" s="16" t="n">
        <v>0</v>
      </c>
      <c r="P991" s="16" t="n">
        <v>0</v>
      </c>
      <c r="Q991" s="16" t="n">
        <v>0</v>
      </c>
      <c r="R991" s="16" t="n">
        <v>0</v>
      </c>
      <c r="S991" s="16" t="n">
        <v>0</v>
      </c>
      <c r="T991" s="17" t="n">
        <f aca="false">AVERAGE(O991:Q991)</f>
        <v>0</v>
      </c>
      <c r="U991" s="18" t="str">
        <f aca="false">IF(T991&gt;=$H$3,"Eligible","Not Eligible")</f>
        <v>Not Eligible</v>
      </c>
      <c r="V991" s="19" t="n">
        <f aca="false">IF(T991&lt;$H$3,0,IFERROR(T991/SUMIF($T$5:$T$999,"&gt;="&amp;$H$3),0))</f>
        <v>0</v>
      </c>
      <c r="W991" s="15" t="str">
        <f aca="false">IF(T991=0,"Win-Back","Active")</f>
        <v>Win-Back</v>
      </c>
      <c r="X991" s="20" t="n">
        <f aca="false">IF(T991=0,0,IF(T991&gt;=$H$3,ROUND(T991*$D$3/SUMIF($T$5:$T$999,"&gt;="&amp;$H$3),0),ROUNDUP(T991*$D$3/SUMIF($T$5:$T$999,"&gt;="&amp;$H$3),0)))</f>
        <v>0</v>
      </c>
      <c r="Y991" s="21"/>
      <c r="Z991" s="16" t="str">
        <f aca="false">IF(X991=0,"",X991-Y991)</f>
        <v/>
      </c>
      <c r="AA991" s="22" t="str">
        <f aca="false">IFERROR(Y991/X991,"")</f>
        <v/>
      </c>
      <c r="AB991" s="16" t="n">
        <v>0</v>
      </c>
      <c r="AC991" s="21"/>
    </row>
    <row r="992" customFormat="false" ht="15" hidden="false" customHeight="true" outlineLevel="0" collapsed="false">
      <c r="A992" s="15" t="s">
        <v>9583</v>
      </c>
      <c r="B992" s="15" t="s">
        <v>9584</v>
      </c>
      <c r="C992" s="15" t="s">
        <v>9585</v>
      </c>
      <c r="D992" s="15" t="s">
        <v>9586</v>
      </c>
      <c r="E992" s="15" t="s">
        <v>9587</v>
      </c>
      <c r="F992" s="15" t="s">
        <v>9588</v>
      </c>
      <c r="G992" s="15" t="s">
        <v>9589</v>
      </c>
      <c r="H992" s="15" t="s">
        <v>9590</v>
      </c>
      <c r="I992" s="15"/>
      <c r="J992" s="15" t="s">
        <v>9591</v>
      </c>
      <c r="K992" s="15" t="s">
        <v>1418</v>
      </c>
      <c r="L992" s="15" t="s">
        <v>9592</v>
      </c>
      <c r="M992" s="15" t="s">
        <v>9593</v>
      </c>
      <c r="N992" s="15" t="s">
        <v>73</v>
      </c>
      <c r="O992" s="16" t="n">
        <v>0</v>
      </c>
      <c r="P992" s="16" t="n">
        <v>0</v>
      </c>
      <c r="Q992" s="16" t="n">
        <v>0</v>
      </c>
      <c r="R992" s="16" t="n">
        <v>0</v>
      </c>
      <c r="S992" s="16" t="n">
        <v>0</v>
      </c>
      <c r="T992" s="17" t="n">
        <f aca="false">AVERAGE(O992:Q992)</f>
        <v>0</v>
      </c>
      <c r="U992" s="18" t="str">
        <f aca="false">IF(T992&gt;=$H$3,"Eligible","Not Eligible")</f>
        <v>Not Eligible</v>
      </c>
      <c r="V992" s="19" t="n">
        <f aca="false">IF(T992&lt;$H$3,0,IFERROR(T992/SUMIF($T$5:$T$999,"&gt;="&amp;$H$3),0))</f>
        <v>0</v>
      </c>
      <c r="W992" s="15" t="str">
        <f aca="false">IF(T992=0,"Win-Back","Active")</f>
        <v>Win-Back</v>
      </c>
      <c r="X992" s="20" t="n">
        <f aca="false">IF(T992=0,0,IF(T992&gt;=$H$3,ROUND(T992*$D$3/SUMIF($T$5:$T$999,"&gt;="&amp;$H$3),0),ROUNDUP(T992*$D$3/SUMIF($T$5:$T$999,"&gt;="&amp;$H$3),0)))</f>
        <v>0</v>
      </c>
      <c r="Y992" s="21"/>
      <c r="Z992" s="16" t="str">
        <f aca="false">IF(X992=0,"",X992-Y992)</f>
        <v/>
      </c>
      <c r="AA992" s="22" t="str">
        <f aca="false">IFERROR(Y992/X992,"")</f>
        <v/>
      </c>
      <c r="AB992" s="16" t="n">
        <v>0</v>
      </c>
      <c r="AC992" s="21"/>
    </row>
    <row r="993" customFormat="false" ht="15" hidden="false" customHeight="true" outlineLevel="0" collapsed="false">
      <c r="A993" s="15" t="s">
        <v>9594</v>
      </c>
      <c r="B993" s="15" t="s">
        <v>9595</v>
      </c>
      <c r="C993" s="15" t="s">
        <v>9596</v>
      </c>
      <c r="D993" s="15" t="s">
        <v>9597</v>
      </c>
      <c r="E993" s="15" t="s">
        <v>9598</v>
      </c>
      <c r="F993" s="15" t="s">
        <v>9599</v>
      </c>
      <c r="G993" s="15" t="s">
        <v>9600</v>
      </c>
      <c r="H993" s="15" t="s">
        <v>9601</v>
      </c>
      <c r="I993" s="15" t="s">
        <v>9602</v>
      </c>
      <c r="J993" s="15" t="s">
        <v>2028</v>
      </c>
      <c r="K993" s="15" t="s">
        <v>70</v>
      </c>
      <c r="L993" s="15" t="s">
        <v>2029</v>
      </c>
      <c r="M993" s="15" t="s">
        <v>9603</v>
      </c>
      <c r="N993" s="15" t="s">
        <v>73</v>
      </c>
      <c r="O993" s="16" t="n">
        <v>0</v>
      </c>
      <c r="P993" s="16" t="n">
        <v>0</v>
      </c>
      <c r="Q993" s="16" t="n">
        <v>0</v>
      </c>
      <c r="R993" s="16" t="n">
        <v>0</v>
      </c>
      <c r="S993" s="16" t="n">
        <v>0</v>
      </c>
      <c r="T993" s="17" t="n">
        <f aca="false">AVERAGE(O993:Q993)</f>
        <v>0</v>
      </c>
      <c r="U993" s="18" t="str">
        <f aca="false">IF(T993&gt;=$H$3,"Eligible","Not Eligible")</f>
        <v>Not Eligible</v>
      </c>
      <c r="V993" s="19" t="n">
        <f aca="false">IF(T993&lt;$H$3,0,IFERROR(T993/SUMIF($T$5:$T$999,"&gt;="&amp;$H$3),0))</f>
        <v>0</v>
      </c>
      <c r="W993" s="15" t="str">
        <f aca="false">IF(T993=0,"Win-Back","Active")</f>
        <v>Win-Back</v>
      </c>
      <c r="X993" s="20" t="n">
        <f aca="false">IF(T993=0,0,IF(T993&gt;=$H$3,ROUND(T993*$D$3/SUMIF($T$5:$T$999,"&gt;="&amp;$H$3),0),ROUNDUP(T993*$D$3/SUMIF($T$5:$T$999,"&gt;="&amp;$H$3),0)))</f>
        <v>0</v>
      </c>
      <c r="Y993" s="21"/>
      <c r="Z993" s="16" t="str">
        <f aca="false">IF(X993=0,"",X993-Y993)</f>
        <v/>
      </c>
      <c r="AA993" s="22" t="str">
        <f aca="false">IFERROR(Y993/X993,"")</f>
        <v/>
      </c>
      <c r="AB993" s="16" t="n">
        <v>0</v>
      </c>
      <c r="AC993" s="21"/>
    </row>
    <row r="994" customFormat="false" ht="15" hidden="false" customHeight="true" outlineLevel="0" collapsed="false">
      <c r="A994" s="15" t="s">
        <v>9604</v>
      </c>
      <c r="B994" s="15" t="s">
        <v>9605</v>
      </c>
      <c r="C994" s="15" t="s">
        <v>9606</v>
      </c>
      <c r="D994" s="15" t="s">
        <v>9607</v>
      </c>
      <c r="E994" s="15" t="s">
        <v>9608</v>
      </c>
      <c r="F994" s="15" t="s">
        <v>9609</v>
      </c>
      <c r="G994" s="15" t="s">
        <v>9610</v>
      </c>
      <c r="H994" s="15" t="s">
        <v>9611</v>
      </c>
      <c r="I994" s="15"/>
      <c r="J994" s="15" t="s">
        <v>9612</v>
      </c>
      <c r="K994" s="15" t="s">
        <v>368</v>
      </c>
      <c r="L994" s="15" t="s">
        <v>9613</v>
      </c>
      <c r="M994" s="15" t="s">
        <v>9614</v>
      </c>
      <c r="N994" s="15" t="s">
        <v>73</v>
      </c>
      <c r="O994" s="16" t="n">
        <v>0</v>
      </c>
      <c r="P994" s="16" t="n">
        <v>0</v>
      </c>
      <c r="Q994" s="16" t="n">
        <v>0</v>
      </c>
      <c r="R994" s="16" t="n">
        <v>0</v>
      </c>
      <c r="S994" s="16" t="n">
        <v>0</v>
      </c>
      <c r="T994" s="17" t="n">
        <f aca="false">AVERAGE(O994:Q994)</f>
        <v>0</v>
      </c>
      <c r="U994" s="18" t="str">
        <f aca="false">IF(T994&gt;=$H$3,"Eligible","Not Eligible")</f>
        <v>Not Eligible</v>
      </c>
      <c r="V994" s="19" t="n">
        <f aca="false">IF(T994&lt;$H$3,0,IFERROR(T994/SUMIF($T$5:$T$999,"&gt;="&amp;$H$3),0))</f>
        <v>0</v>
      </c>
      <c r="W994" s="15" t="str">
        <f aca="false">IF(T994=0,"Win-Back","Active")</f>
        <v>Win-Back</v>
      </c>
      <c r="X994" s="20" t="n">
        <f aca="false">IF(T994=0,0,IF(T994&gt;=$H$3,ROUND(T994*$D$3/SUMIF($T$5:$T$999,"&gt;="&amp;$H$3),0),ROUNDUP(T994*$D$3/SUMIF($T$5:$T$999,"&gt;="&amp;$H$3),0)))</f>
        <v>0</v>
      </c>
      <c r="Y994" s="21"/>
      <c r="Z994" s="16" t="str">
        <f aca="false">IF(X994=0,"",X994-Y994)</f>
        <v/>
      </c>
      <c r="AA994" s="22" t="str">
        <f aca="false">IFERROR(Y994/X994,"")</f>
        <v/>
      </c>
      <c r="AB994" s="16" t="n">
        <v>0</v>
      </c>
      <c r="AC994" s="21"/>
    </row>
    <row r="995" customFormat="false" ht="15" hidden="false" customHeight="true" outlineLevel="0" collapsed="false">
      <c r="A995" s="15" t="s">
        <v>9615</v>
      </c>
      <c r="B995" s="15" t="s">
        <v>9616</v>
      </c>
      <c r="C995" s="15" t="s">
        <v>9617</v>
      </c>
      <c r="D995" s="15" t="s">
        <v>9618</v>
      </c>
      <c r="E995" s="15" t="s">
        <v>9619</v>
      </c>
      <c r="F995" s="15" t="s">
        <v>9620</v>
      </c>
      <c r="G995" s="15" t="s">
        <v>9621</v>
      </c>
      <c r="H995" s="15" t="s">
        <v>9622</v>
      </c>
      <c r="I995" s="15"/>
      <c r="J995" s="15" t="s">
        <v>9623</v>
      </c>
      <c r="K995" s="15" t="s">
        <v>368</v>
      </c>
      <c r="L995" s="15" t="s">
        <v>9624</v>
      </c>
      <c r="M995" s="15" t="s">
        <v>9625</v>
      </c>
      <c r="N995" s="15" t="s">
        <v>73</v>
      </c>
      <c r="O995" s="16" t="n">
        <v>0</v>
      </c>
      <c r="P995" s="16" t="n">
        <v>0</v>
      </c>
      <c r="Q995" s="16" t="n">
        <v>0</v>
      </c>
      <c r="R995" s="16" t="n">
        <v>0</v>
      </c>
      <c r="S995" s="16" t="n">
        <v>0</v>
      </c>
      <c r="T995" s="17" t="n">
        <f aca="false">AVERAGE(O995:Q995)</f>
        <v>0</v>
      </c>
      <c r="U995" s="18" t="str">
        <f aca="false">IF(T995&gt;=$H$3,"Eligible","Not Eligible")</f>
        <v>Not Eligible</v>
      </c>
      <c r="V995" s="19" t="n">
        <f aca="false">IF(T995&lt;$H$3,0,IFERROR(T995/SUMIF($T$5:$T$999,"&gt;="&amp;$H$3),0))</f>
        <v>0</v>
      </c>
      <c r="W995" s="15" t="str">
        <f aca="false">IF(T995=0,"Win-Back","Active")</f>
        <v>Win-Back</v>
      </c>
      <c r="X995" s="20" t="n">
        <f aca="false">IF(T995=0,0,IF(T995&gt;=$H$3,ROUND(T995*$D$3/SUMIF($T$5:$T$999,"&gt;="&amp;$H$3),0),ROUNDUP(T995*$D$3/SUMIF($T$5:$T$999,"&gt;="&amp;$H$3),0)))</f>
        <v>0</v>
      </c>
      <c r="Y995" s="21"/>
      <c r="Z995" s="16" t="str">
        <f aca="false">IF(X995=0,"",X995-Y995)</f>
        <v/>
      </c>
      <c r="AA995" s="22" t="str">
        <f aca="false">IFERROR(Y995/X995,"")</f>
        <v/>
      </c>
      <c r="AB995" s="16" t="n">
        <v>0</v>
      </c>
      <c r="AC995" s="21"/>
    </row>
    <row r="996" customFormat="false" ht="15" hidden="false" customHeight="true" outlineLevel="0" collapsed="false">
      <c r="A996" s="15" t="s">
        <v>9626</v>
      </c>
      <c r="B996" s="15" t="s">
        <v>9627</v>
      </c>
      <c r="C996" s="15" t="s">
        <v>9628</v>
      </c>
      <c r="D996" s="15" t="s">
        <v>9629</v>
      </c>
      <c r="E996" s="15" t="s">
        <v>9630</v>
      </c>
      <c r="F996" s="15" t="s">
        <v>9631</v>
      </c>
      <c r="G996" s="15" t="s">
        <v>9632</v>
      </c>
      <c r="H996" s="15" t="s">
        <v>9633</v>
      </c>
      <c r="I996" s="15"/>
      <c r="J996" s="15" t="s">
        <v>3935</v>
      </c>
      <c r="K996" s="15" t="s">
        <v>1222</v>
      </c>
      <c r="L996" s="15" t="s">
        <v>9634</v>
      </c>
      <c r="M996" s="15" t="s">
        <v>9635</v>
      </c>
      <c r="N996" s="15" t="s">
        <v>73</v>
      </c>
      <c r="O996" s="16" t="n">
        <v>0</v>
      </c>
      <c r="P996" s="16" t="n">
        <v>0</v>
      </c>
      <c r="Q996" s="16" t="n">
        <v>0</v>
      </c>
      <c r="R996" s="16" t="n">
        <v>0</v>
      </c>
      <c r="S996" s="16" t="n">
        <v>0</v>
      </c>
      <c r="T996" s="17" t="n">
        <f aca="false">AVERAGE(O996:Q996)</f>
        <v>0</v>
      </c>
      <c r="U996" s="18" t="str">
        <f aca="false">IF(T996&gt;=$H$3,"Eligible","Not Eligible")</f>
        <v>Not Eligible</v>
      </c>
      <c r="V996" s="19" t="n">
        <f aca="false">IF(T996&lt;$H$3,0,IFERROR(T996/SUMIF($T$5:$T$999,"&gt;="&amp;$H$3),0))</f>
        <v>0</v>
      </c>
      <c r="W996" s="15" t="str">
        <f aca="false">IF(T996=0,"Win-Back","Active")</f>
        <v>Win-Back</v>
      </c>
      <c r="X996" s="20" t="n">
        <f aca="false">IF(T996=0,0,IF(T996&gt;=$H$3,ROUND(T996*$D$3/SUMIF($T$5:$T$999,"&gt;="&amp;$H$3),0),ROUNDUP(T996*$D$3/SUMIF($T$5:$T$999,"&gt;="&amp;$H$3),0)))</f>
        <v>0</v>
      </c>
      <c r="Y996" s="21"/>
      <c r="Z996" s="16" t="str">
        <f aca="false">IF(X996=0,"",X996-Y996)</f>
        <v/>
      </c>
      <c r="AA996" s="22" t="str">
        <f aca="false">IFERROR(Y996/X996,"")</f>
        <v/>
      </c>
      <c r="AB996" s="16" t="n">
        <v>0</v>
      </c>
      <c r="AC996" s="21"/>
    </row>
    <row r="997" customFormat="false" ht="15" hidden="false" customHeight="true" outlineLevel="0" collapsed="false">
      <c r="A997" s="15" t="s">
        <v>9636</v>
      </c>
      <c r="B997" s="15" t="s">
        <v>9637</v>
      </c>
      <c r="C997" s="15" t="s">
        <v>9638</v>
      </c>
      <c r="D997" s="15" t="s">
        <v>9639</v>
      </c>
      <c r="E997" s="15" t="s">
        <v>9640</v>
      </c>
      <c r="F997" s="15" t="s">
        <v>9641</v>
      </c>
      <c r="G997" s="15" t="s">
        <v>9642</v>
      </c>
      <c r="H997" s="15" t="s">
        <v>1146</v>
      </c>
      <c r="I997" s="15" t="s">
        <v>9643</v>
      </c>
      <c r="J997" s="15" t="s">
        <v>828</v>
      </c>
      <c r="K997" s="15" t="s">
        <v>368</v>
      </c>
      <c r="L997" s="15" t="s">
        <v>1148</v>
      </c>
      <c r="M997" s="15" t="s">
        <v>9644</v>
      </c>
      <c r="N997" s="15" t="s">
        <v>73</v>
      </c>
      <c r="O997" s="16" t="n">
        <v>0</v>
      </c>
      <c r="P997" s="16" t="n">
        <v>0</v>
      </c>
      <c r="Q997" s="16" t="n">
        <v>0</v>
      </c>
      <c r="R997" s="16" t="n">
        <v>0</v>
      </c>
      <c r="S997" s="16" t="n">
        <v>0</v>
      </c>
      <c r="T997" s="17" t="n">
        <f aca="false">AVERAGE(O997:Q997)</f>
        <v>0</v>
      </c>
      <c r="U997" s="18" t="str">
        <f aca="false">IF(T997&gt;=$H$3,"Eligible","Not Eligible")</f>
        <v>Not Eligible</v>
      </c>
      <c r="V997" s="19" t="n">
        <f aca="false">IF(T997&lt;$H$3,0,IFERROR(T997/SUMIF($T$5:$T$999,"&gt;="&amp;$H$3),0))</f>
        <v>0</v>
      </c>
      <c r="W997" s="15" t="str">
        <f aca="false">IF(T997=0,"Win-Back","Active")</f>
        <v>Win-Back</v>
      </c>
      <c r="X997" s="20" t="n">
        <f aca="false">IF(T997=0,0,IF(T997&gt;=$H$3,ROUND(T997*$D$3/SUMIF($T$5:$T$999,"&gt;="&amp;$H$3),0),ROUNDUP(T997*$D$3/SUMIF($T$5:$T$999,"&gt;="&amp;$H$3),0)))</f>
        <v>0</v>
      </c>
      <c r="Y997" s="21"/>
      <c r="Z997" s="16" t="str">
        <f aca="false">IF(X997=0,"",X997-Y997)</f>
        <v/>
      </c>
      <c r="AA997" s="22" t="str">
        <f aca="false">IFERROR(Y997/X997,"")</f>
        <v/>
      </c>
      <c r="AB997" s="16" t="n">
        <v>0</v>
      </c>
      <c r="AC997" s="21"/>
    </row>
    <row r="998" customFormat="false" ht="15" hidden="false" customHeight="true" outlineLevel="0" collapsed="false">
      <c r="A998" s="15" t="s">
        <v>9645</v>
      </c>
      <c r="B998" s="15" t="s">
        <v>9646</v>
      </c>
      <c r="C998" s="15" t="s">
        <v>9647</v>
      </c>
      <c r="D998" s="15" t="s">
        <v>9648</v>
      </c>
      <c r="E998" s="15" t="s">
        <v>9649</v>
      </c>
      <c r="F998" s="15" t="s">
        <v>9650</v>
      </c>
      <c r="G998" s="15" t="s">
        <v>9651</v>
      </c>
      <c r="H998" s="15" t="s">
        <v>9652</v>
      </c>
      <c r="I998" s="15"/>
      <c r="J998" s="15" t="s">
        <v>9653</v>
      </c>
      <c r="K998" s="15" t="s">
        <v>70</v>
      </c>
      <c r="L998" s="15" t="s">
        <v>9654</v>
      </c>
      <c r="M998" s="15" t="s">
        <v>9655</v>
      </c>
      <c r="N998" s="15" t="s">
        <v>73</v>
      </c>
      <c r="O998" s="16" t="n">
        <v>0</v>
      </c>
      <c r="P998" s="16" t="n">
        <v>0</v>
      </c>
      <c r="Q998" s="16" t="n">
        <v>0</v>
      </c>
      <c r="R998" s="16" t="n">
        <v>0</v>
      </c>
      <c r="S998" s="16" t="n">
        <v>0</v>
      </c>
      <c r="T998" s="17" t="n">
        <f aca="false">AVERAGE(O998:Q998)</f>
        <v>0</v>
      </c>
      <c r="U998" s="18" t="str">
        <f aca="false">IF(T998&gt;=$H$3,"Eligible","Not Eligible")</f>
        <v>Not Eligible</v>
      </c>
      <c r="V998" s="19" t="n">
        <f aca="false">IF(T998&lt;$H$3,0,IFERROR(T998/SUMIF($T$5:$T$999,"&gt;="&amp;$H$3),0))</f>
        <v>0</v>
      </c>
      <c r="W998" s="15" t="str">
        <f aca="false">IF(T998=0,"Win-Back","Active")</f>
        <v>Win-Back</v>
      </c>
      <c r="X998" s="20" t="n">
        <f aca="false">IF(T998=0,0,IF(T998&gt;=$H$3,ROUND(T998*$D$3/SUMIF($T$5:$T$999,"&gt;="&amp;$H$3),0),ROUNDUP(T998*$D$3/SUMIF($T$5:$T$999,"&gt;="&amp;$H$3),0)))</f>
        <v>0</v>
      </c>
      <c r="Y998" s="21"/>
      <c r="Z998" s="16" t="str">
        <f aca="false">IF(X998=0,"",X998-Y998)</f>
        <v/>
      </c>
      <c r="AA998" s="22" t="str">
        <f aca="false">IFERROR(Y998/X998,"")</f>
        <v/>
      </c>
      <c r="AB998" s="16" t="n">
        <v>0</v>
      </c>
      <c r="AC998" s="21"/>
    </row>
    <row r="999" customFormat="false" ht="15" hidden="false" customHeight="true" outlineLevel="0" collapsed="false">
      <c r="A999" s="15" t="s">
        <v>9656</v>
      </c>
      <c r="B999" s="15" t="s">
        <v>9657</v>
      </c>
      <c r="C999" s="15" t="s">
        <v>9658</v>
      </c>
      <c r="D999" s="15" t="s">
        <v>9659</v>
      </c>
      <c r="E999" s="15" t="s">
        <v>9660</v>
      </c>
      <c r="F999" s="15" t="s">
        <v>9661</v>
      </c>
      <c r="G999" s="15" t="s">
        <v>9662</v>
      </c>
      <c r="H999" s="15" t="s">
        <v>9663</v>
      </c>
      <c r="I999" s="15"/>
      <c r="J999" s="15" t="s">
        <v>9664</v>
      </c>
      <c r="K999" s="15" t="s">
        <v>1200</v>
      </c>
      <c r="L999" s="15" t="s">
        <v>9665</v>
      </c>
      <c r="M999" s="15" t="s">
        <v>9666</v>
      </c>
      <c r="N999" s="15" t="s">
        <v>73</v>
      </c>
      <c r="O999" s="16" t="n">
        <v>0</v>
      </c>
      <c r="P999" s="16" t="n">
        <v>0</v>
      </c>
      <c r="Q999" s="16" t="n">
        <v>0</v>
      </c>
      <c r="R999" s="16" t="n">
        <v>0</v>
      </c>
      <c r="S999" s="16" t="n">
        <v>0</v>
      </c>
      <c r="T999" s="17" t="n">
        <f aca="false">AVERAGE(O999:Q999)</f>
        <v>0</v>
      </c>
      <c r="U999" s="18" t="str">
        <f aca="false">IF(T999&gt;=$H$3,"Eligible","Not Eligible")</f>
        <v>Not Eligible</v>
      </c>
      <c r="V999" s="19" t="n">
        <f aca="false">IF(T999&lt;$H$3,0,IFERROR(T999/SUMIF($T$5:$T$999,"&gt;="&amp;$H$3),0))</f>
        <v>0</v>
      </c>
      <c r="W999" s="15" t="str">
        <f aca="false">IF(T999=0,"Win-Back","Active")</f>
        <v>Win-Back</v>
      </c>
      <c r="X999" s="20" t="n">
        <f aca="false">IF(T999=0,0,IF(T999&gt;=$H$3,ROUND(T999*$D$3/SUMIF($T$5:$T$999,"&gt;="&amp;$H$3),0),ROUNDUP(T999*$D$3/SUMIF($T$5:$T$999,"&gt;="&amp;$H$3),0)))</f>
        <v>0</v>
      </c>
      <c r="Y999" s="21"/>
      <c r="Z999" s="16" t="str">
        <f aca="false">IF(X999=0,"",X999-Y999)</f>
        <v/>
      </c>
      <c r="AA999" s="22" t="str">
        <f aca="false">IFERROR(Y999/X999,"")</f>
        <v/>
      </c>
      <c r="AB999" s="16" t="n">
        <v>0</v>
      </c>
      <c r="AC999" s="21"/>
    </row>
    <row r="1000" customFormat="false" ht="15" hidden="false" customHeight="true" outlineLevel="0" collapsed="false">
      <c r="A1000" s="23" t="s">
        <v>9667</v>
      </c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4" t="n">
        <f aca="false">SUMIFS($O$5:$O$999,$T$5:$T$999,"&gt;="&amp;$H$3)</f>
        <v>2001</v>
      </c>
      <c r="P1000" s="24" t="n">
        <f aca="false">SUMIFS($P$5:$P$999,$T$5:$T$999,"&gt;="&amp;$H$3)</f>
        <v>2524</v>
      </c>
      <c r="Q1000" s="24" t="n">
        <f aca="false">SUMIFS($Q$5:$Q$999,$T$5:$T$999,"&gt;="&amp;$H$3)</f>
        <v>2641</v>
      </c>
      <c r="R1000" s="24" t="n">
        <f aca="false">SUMIFS($R$5:$R$999,$T$5:$T$999,"&gt;="&amp;$H$3)</f>
        <v>413</v>
      </c>
      <c r="S1000" s="24" t="n">
        <f aca="false">SUMIFS($S$5:$S$999,$T$5:$T$999,"&gt;="&amp;$H$3)</f>
        <v>7579</v>
      </c>
      <c r="T1000" s="25" t="n">
        <f aca="false">SUMIFS($T$5:$T$999,$T$5:$T$999,"&gt;="&amp;$H$3)</f>
        <v>2388.66666666667</v>
      </c>
      <c r="U1000" s="23"/>
      <c r="V1000" s="26" t="n">
        <f aca="false">SUMIFS($V$5:$V$999,$T$5:$T$999,"&gt;="&amp;$H$3)</f>
        <v>1</v>
      </c>
      <c r="W1000" s="23"/>
      <c r="X1000" s="24" t="n">
        <f aca="false">SUMIFS($X$5:$X$999,$T$5:$T$999,"&gt;="&amp;$H$3)</f>
        <v>2760</v>
      </c>
      <c r="Y1000" s="24" t="n">
        <f aca="false">SUMIFS($Y$5:$Y$999,$T$5:$T$999,"&gt;="&amp;$H$3)</f>
        <v>2464</v>
      </c>
      <c r="Z1000" s="24" t="n">
        <f aca="false">X1000-Y1000</f>
        <v>296</v>
      </c>
      <c r="AA1000" s="26" t="n">
        <f aca="false">IFERROR(Y1000/X1000,"")</f>
        <v>0.892753623188406</v>
      </c>
      <c r="AB1000" s="23"/>
      <c r="AC1000" s="23"/>
    </row>
    <row r="1001" customFormat="false" ht="15" hidden="false" customHeight="true" outlineLevel="0" collapsed="false">
      <c r="A1001" s="27" t="s">
        <v>9668</v>
      </c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8" t="n">
        <f aca="false">SUMIFS($O$5:$O$999,$T$5:$T$999,"&lt;"&amp;$H$3)</f>
        <v>400</v>
      </c>
      <c r="P1001" s="28" t="n">
        <f aca="false">SUMIFS($P$5:$P$999,$T$5:$T$999,"&lt;"&amp;$H$3)</f>
        <v>495</v>
      </c>
      <c r="Q1001" s="28" t="n">
        <f aca="false">SUMIFS($Q$5:$Q$999,$T$5:$T$999,"&lt;"&amp;$H$3)</f>
        <v>567</v>
      </c>
      <c r="R1001" s="28" t="n">
        <f aca="false">SUMIFS($R$5:$R$999,$T$5:$T$999,"&lt;"&amp;$H$3)</f>
        <v>85</v>
      </c>
      <c r="S1001" s="28" t="n">
        <f aca="false">SUMIFS($S$5:$S$999,$T$5:$T$999,"&lt;"&amp;$H$3)</f>
        <v>1547</v>
      </c>
      <c r="T1001" s="29" t="n">
        <f aca="false">SUMIFS($T$5:$T$999,$T$5:$T$999,"&lt;"&amp;$H$3)</f>
        <v>487.333333333333</v>
      </c>
      <c r="U1001" s="27"/>
      <c r="V1001" s="27"/>
      <c r="W1001" s="27"/>
      <c r="X1001" s="28" t="n">
        <f aca="false">SUMIFS($X$5:$X$999,$T$5:$T$999,"&lt;"&amp;$H$3)</f>
        <v>728</v>
      </c>
      <c r="Y1001" s="28" t="n">
        <f aca="false">SUMIFS($Y$5:$Y$999,$T$5:$T$999,"&lt;"&amp;$H$3)</f>
        <v>682</v>
      </c>
      <c r="Z1001" s="28" t="n">
        <f aca="false">X1001-Y1001</f>
        <v>46</v>
      </c>
      <c r="AA1001" s="30" t="n">
        <f aca="false">IFERROR(Y1001/X1001,"")</f>
        <v>0.936813186813187</v>
      </c>
      <c r="AB1001" s="27"/>
      <c r="AC1001" s="27"/>
    </row>
    <row r="1002" customFormat="false" ht="15" hidden="false" customHeight="true" outlineLevel="0" collapsed="false">
      <c r="A1002" s="31" t="s">
        <v>9669</v>
      </c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2" t="n">
        <f aca="false">SUM($O$5:$O$999)</f>
        <v>2401</v>
      </c>
      <c r="P1002" s="32" t="n">
        <f aca="false">SUM($P$5:$P$999)</f>
        <v>3019</v>
      </c>
      <c r="Q1002" s="32" t="n">
        <f aca="false">SUM($Q$5:$Q$999)</f>
        <v>3208</v>
      </c>
      <c r="R1002" s="32" t="n">
        <f aca="false">SUM($R$5:$R$999)</f>
        <v>498</v>
      </c>
      <c r="S1002" s="32" t="n">
        <f aca="false">SUM($S$5:$S$999)</f>
        <v>9126</v>
      </c>
      <c r="T1002" s="33" t="n">
        <f aca="false">SUM($T$5:$T$999)</f>
        <v>2876</v>
      </c>
      <c r="U1002" s="31"/>
      <c r="V1002" s="31"/>
      <c r="W1002" s="31"/>
      <c r="X1002" s="32" t="n">
        <f aca="false">SUM($X$5:$X$999)</f>
        <v>3488</v>
      </c>
      <c r="Y1002" s="32" t="n">
        <f aca="false">SUM($Y$5:$Y$999)</f>
        <v>3146</v>
      </c>
      <c r="Z1002" s="32" t="n">
        <f aca="false">X1002-Y1002</f>
        <v>342</v>
      </c>
      <c r="AA1002" s="34" t="n">
        <f aca="false">IFERROR(Y1002/X1002,"")</f>
        <v>0.901949541284404</v>
      </c>
      <c r="AB1002" s="32" t="n">
        <f aca="false">SUM($AB$5:$AB$999)</f>
        <v>184</v>
      </c>
      <c r="AC1002" s="32" t="n">
        <f aca="false">SUM($AC$5:$AC$999)</f>
        <v>210</v>
      </c>
    </row>
    <row r="1004" customFormat="false" ht="15" hidden="false" customHeight="true" outlineLevel="0" collapsed="false">
      <c r="A1004" s="35" t="s">
        <v>9670</v>
      </c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</row>
    <row r="1005" customFormat="false" ht="15" hidden="false" customHeight="true" outlineLevel="0" collapsed="false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</row>
    <row r="1006" customFormat="false" ht="15" hidden="false" customHeight="true" outlineLevel="0" collapsed="false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</row>
    <row r="1007" customFormat="false" ht="15" hidden="false" customHeight="true" outlineLevel="0" collapsed="false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</row>
    <row r="1008" customFormat="false" ht="15" hidden="false" customHeight="true" outlineLevel="0" collapsed="false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</row>
    <row r="1009" customFormat="false" ht="15" hidden="false" customHeight="true" outlineLevel="0" collapsed="false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</row>
  </sheetData>
  <autoFilter ref="A4:AC999"/>
  <mergeCells count="1">
    <mergeCell ref="A1004:N1009"/>
  </mergeCells>
  <conditionalFormatting sqref="U5:U999">
    <cfRule type="cellIs" priority="2" operator="equal" aboveAverage="0" equalAverage="0" bottom="0" percent="0" rank="0" text="" dxfId="14">
      <formula>"Eligible"</formula>
    </cfRule>
    <cfRule type="cellIs" priority="3" operator="equal" aboveAverage="0" equalAverage="0" bottom="0" percent="0" rank="0" text="" dxfId="15">
      <formula>"Not Eligible"</formula>
    </cfRule>
  </conditionalFormatting>
  <conditionalFormatting sqref="X5:X999">
    <cfRule type="expression" priority="4" aboveAverage="0" equalAverage="0" bottom="0" percent="0" rank="0" text="" dxfId="16">
      <formula>$T5&lt;$$h$3</formula>
    </cfRule>
  </conditionalFormatting>
  <conditionalFormatting sqref="Z5:Z999">
    <cfRule type="expression" priority="5" aboveAverage="0" equalAverage="0" bottom="0" percent="0" rank="0" text="" dxfId="16">
      <formula>$T5&lt;$$h$3</formula>
    </cfRule>
  </conditionalFormatting>
  <conditionalFormatting sqref="AA5:AA999">
    <cfRule type="expression" priority="6" aboveAverage="0" equalAverage="0" bottom="0" percent="0" rank="0" text="" dxfId="16">
      <formula>$T5&lt;$$h$3</formula>
    </cfRule>
    <cfRule type="cellIs" priority="7" operator="greaterThanOrEqual" aboveAverage="0" equalAverage="0" bottom="0" percent="0" rank="0" text="" dxfId="17">
      <formula>1</formula>
    </cfRule>
    <cfRule type="cellIs" priority="8" operator="between" aboveAverage="0" equalAverage="0" bottom="0" percent="0" rank="0" text="" dxfId="18">
      <formula>0.75</formula>
      <formula>0.9999</formula>
    </cfRule>
    <cfRule type="cellIs" priority="9" operator="lessThan" aboveAverage="0" equalAverage="0" bottom="0" percent="0" rank="0" text="" dxfId="19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1"/>
    <col collapsed="false" customWidth="true" hidden="false" outlineLevel="0" max="6" min="5" style="1" width="14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1" width="12"/>
  </cols>
  <sheetData>
    <row r="1" customFormat="false" ht="17.25" hidden="false" customHeight="true" outlineLevel="0" collapsed="false">
      <c r="A1" s="2" t="s">
        <v>9671</v>
      </c>
    </row>
    <row r="2" customFormat="false" ht="15" hidden="false" customHeight="true" outlineLevel="0" collapsed="false">
      <c r="A2" s="3" t="s">
        <v>9672</v>
      </c>
    </row>
    <row r="4" customFormat="false" ht="15" hidden="false" customHeight="true" outlineLevel="0" collapsed="false">
      <c r="A4" s="36" t="s">
        <v>9673</v>
      </c>
      <c r="B4" s="36"/>
      <c r="C4" s="36"/>
      <c r="D4" s="36"/>
      <c r="E4" s="36"/>
      <c r="F4" s="36"/>
    </row>
    <row r="5" customFormat="false" ht="15" hidden="false" customHeight="true" outlineLevel="0" collapsed="false">
      <c r="A5" s="37" t="s">
        <v>9674</v>
      </c>
      <c r="D5" s="5" t="n">
        <v>3300</v>
      </c>
    </row>
    <row r="6" customFormat="false" ht="15" hidden="false" customHeight="true" outlineLevel="0" collapsed="false">
      <c r="A6" s="37" t="s">
        <v>9675</v>
      </c>
      <c r="D6" s="38" t="n">
        <v>5</v>
      </c>
    </row>
    <row r="7" customFormat="false" ht="15" hidden="false" customHeight="true" outlineLevel="0" collapsed="false">
      <c r="A7" s="37" t="s">
        <v>9676</v>
      </c>
      <c r="D7" s="38" t="n">
        <v>7</v>
      </c>
    </row>
    <row r="8" customFormat="false" ht="15" hidden="false" customHeight="true" outlineLevel="0" collapsed="false">
      <c r="A8" s="37" t="s">
        <v>9677</v>
      </c>
      <c r="D8" s="39" t="n">
        <v>31</v>
      </c>
    </row>
    <row r="10" customFormat="false" ht="15" hidden="false" customHeight="true" outlineLevel="0" collapsed="false">
      <c r="A10" s="40" t="s">
        <v>9678</v>
      </c>
      <c r="B10" s="40"/>
      <c r="C10" s="40"/>
      <c r="D10" s="40"/>
      <c r="E10" s="40"/>
      <c r="F10" s="40"/>
    </row>
    <row r="11" customFormat="false" ht="15" hidden="false" customHeight="true" outlineLevel="0" collapsed="false">
      <c r="A11" s="4" t="s">
        <v>9679</v>
      </c>
      <c r="D11" s="41" t="n">
        <f aca="false">$H$75</f>
        <v>3218</v>
      </c>
    </row>
    <row r="12" customFormat="false" ht="15" hidden="false" customHeight="true" outlineLevel="0" collapsed="false">
      <c r="A12" s="37" t="s">
        <v>9680</v>
      </c>
      <c r="D12" s="41" t="n">
        <f aca="false">$I$75</f>
        <v>1707</v>
      </c>
    </row>
    <row r="13" customFormat="false" ht="15" hidden="false" customHeight="true" outlineLevel="0" collapsed="false">
      <c r="A13" s="37" t="s">
        <v>9681</v>
      </c>
      <c r="D13" s="42" t="n">
        <f aca="false">IFERROR($I$75/$H$75,"")</f>
        <v>0.530453697949037</v>
      </c>
    </row>
    <row r="14" customFormat="false" ht="15" hidden="false" customHeight="true" outlineLevel="0" collapsed="false">
      <c r="A14" s="4" t="s">
        <v>9682</v>
      </c>
      <c r="D14" s="41" t="n">
        <f aca="false">MAX(0,$D$5-IF($H$75="",0,$H$75))</f>
        <v>82</v>
      </c>
    </row>
    <row r="15" customFormat="false" ht="15" hidden="false" customHeight="true" outlineLevel="0" collapsed="false">
      <c r="A15" s="37" t="s">
        <v>9683</v>
      </c>
      <c r="D15" s="42" t="n">
        <f aca="false">IFERROR($H$75/$D$5,"")</f>
        <v>0.975151515151515</v>
      </c>
    </row>
    <row r="16" customFormat="false" ht="15" hidden="false" customHeight="true" outlineLevel="0" collapsed="false">
      <c r="A16" s="37" t="s">
        <v>9684</v>
      </c>
      <c r="D16" s="43" t="n">
        <f aca="false">IF($H$75="",$D$6,IF($H$75&gt;=$D$5,$D$7,$D$6))</f>
        <v>5</v>
      </c>
    </row>
    <row r="17" customFormat="false" ht="15" hidden="false" customHeight="true" outlineLevel="0" collapsed="false">
      <c r="A17" s="4" t="s">
        <v>9685</v>
      </c>
      <c r="D17" s="44" t="str">
        <f aca="false">IF($H$75="","NO DATA YET",IF($H$75&gt;=$D$5,"MET","NOT YET MET"))</f>
        <v>NOT YET MET</v>
      </c>
    </row>
    <row r="19" customFormat="false" ht="15" hidden="false" customHeight="true" outlineLevel="0" collapsed="false">
      <c r="A19" s="40" t="s">
        <v>9686</v>
      </c>
      <c r="B19" s="40"/>
      <c r="C19" s="40"/>
      <c r="D19" s="40"/>
      <c r="E19" s="40"/>
      <c r="F19" s="40"/>
    </row>
    <row r="20" customFormat="false" ht="15" hidden="false" customHeight="true" outlineLevel="0" collapsed="false">
      <c r="A20" s="37" t="s">
        <v>9687</v>
      </c>
      <c r="D20" s="45" t="n">
        <f aca="false">COUNTIF($B$45:$B$75,"&gt;=0")</f>
        <v>31</v>
      </c>
    </row>
    <row r="21" customFormat="false" ht="15" hidden="false" customHeight="true" outlineLevel="0" collapsed="false">
      <c r="A21" s="37" t="s">
        <v>9688</v>
      </c>
      <c r="D21" s="45" t="n">
        <f aca="false">MAX(0,$D$8-$D$20)</f>
        <v>0</v>
      </c>
    </row>
    <row r="22" customFormat="false" ht="15" hidden="false" customHeight="true" outlineLevel="0" collapsed="false">
      <c r="A22" s="37" t="s">
        <v>9689</v>
      </c>
      <c r="D22" s="46" t="n">
        <f aca="false">IFERROR($H$75/$D$20,"")</f>
        <v>103.806451612903</v>
      </c>
    </row>
    <row r="23" customFormat="false" ht="15" hidden="false" customHeight="true" outlineLevel="0" collapsed="false">
      <c r="A23" s="4" t="s">
        <v>9690</v>
      </c>
      <c r="D23" s="41" t="n">
        <f aca="false">IFERROR(ROUND($H$75/$D$20*$D$8,0),"")</f>
        <v>3218</v>
      </c>
    </row>
    <row r="24" customFormat="false" ht="15" hidden="false" customHeight="true" outlineLevel="0" collapsed="false">
      <c r="A24" s="37" t="s">
        <v>9691</v>
      </c>
      <c r="D24" s="41" t="n">
        <f aca="false">MAX(0,$D$5-IF($H$75="",0,$H$75))</f>
        <v>82</v>
      </c>
    </row>
    <row r="25" customFormat="false" ht="15" hidden="false" customHeight="true" outlineLevel="0" collapsed="false">
      <c r="A25" s="37" t="s">
        <v>9692</v>
      </c>
      <c r="D25" s="46" t="n">
        <f aca="false">IFERROR(IF($D$21=0,0,$D$24/$D$21),"")</f>
        <v>0</v>
      </c>
    </row>
    <row r="26" customFormat="false" ht="15" hidden="false" customHeight="true" outlineLevel="0" collapsed="false">
      <c r="A26" s="4" t="s">
        <v>9693</v>
      </c>
      <c r="D26" s="44" t="str">
        <f aca="false">IF($D$23="","",IF($D$23&gt;=$D$5,"ON PACE","BEHIND"))</f>
        <v>BEHIND</v>
      </c>
    </row>
    <row r="28" customFormat="false" ht="15" hidden="false" customHeight="true" outlineLevel="0" collapsed="false">
      <c r="A28" s="47" t="s">
        <v>9694</v>
      </c>
      <c r="B28" s="47"/>
      <c r="C28" s="47"/>
      <c r="D28" s="47"/>
      <c r="E28" s="47"/>
      <c r="F28" s="47"/>
    </row>
    <row r="29" customFormat="false" ht="15" hidden="false" customHeight="true" outlineLevel="0" collapsed="false">
      <c r="A29" s="37" t="s">
        <v>9695</v>
      </c>
      <c r="D29" s="41" t="n">
        <f aca="false">$I$75</f>
        <v>1707</v>
      </c>
    </row>
    <row r="30" customFormat="false" ht="15" hidden="false" customHeight="true" outlineLevel="0" collapsed="false">
      <c r="A30" s="4" t="s">
        <v>9696</v>
      </c>
      <c r="D30" s="43" t="n">
        <f aca="false">IF($I$75="",0,$I$75*$D$16)</f>
        <v>8535</v>
      </c>
    </row>
    <row r="31" customFormat="false" ht="15" hidden="false" customHeight="true" outlineLevel="0" collapsed="false">
      <c r="A31" s="48" t="s">
        <v>9697</v>
      </c>
    </row>
    <row r="32" customFormat="false" ht="15" hidden="false" customHeight="true" outlineLevel="0" collapsed="false">
      <c r="A32" s="37" t="s">
        <v>9698</v>
      </c>
      <c r="D32" s="41" t="n">
        <f aca="false">IFERROR(ROUND($D$23*$D$13,0),"")</f>
        <v>1707</v>
      </c>
    </row>
    <row r="33" customFormat="false" ht="15" hidden="false" customHeight="true" outlineLevel="0" collapsed="false">
      <c r="A33" s="37" t="s">
        <v>9699</v>
      </c>
      <c r="D33" s="43" t="n">
        <f aca="false">IFERROR($D$32*$D$6,"")</f>
        <v>8535</v>
      </c>
    </row>
    <row r="34" customFormat="false" ht="15" hidden="false" customHeight="true" outlineLevel="0" collapsed="false">
      <c r="A34" s="37" t="s">
        <v>9700</v>
      </c>
      <c r="D34" s="43" t="n">
        <f aca="false">IFERROR($D$32*$D$7,"")</f>
        <v>11949</v>
      </c>
    </row>
    <row r="35" customFormat="false" ht="15" hidden="false" customHeight="true" outlineLevel="0" collapsed="false">
      <c r="A35" s="4" t="s">
        <v>9701</v>
      </c>
      <c r="D35" s="49" t="n">
        <f aca="false">IFERROR($D$34-$D$33,"")</f>
        <v>3414</v>
      </c>
    </row>
    <row r="36" customFormat="false" ht="15" hidden="false" customHeight="true" outlineLevel="0" collapsed="false">
      <c r="A36" s="37" t="s">
        <v>9702</v>
      </c>
      <c r="D36" s="43" t="n">
        <f aca="false">IF($I$75="",0,$I$75*($D$7-$D$6))</f>
        <v>3414</v>
      </c>
    </row>
    <row r="38" customFormat="false" ht="15" hidden="false" customHeight="true" outlineLevel="0" collapsed="false">
      <c r="A38" s="47" t="s">
        <v>9703</v>
      </c>
      <c r="B38" s="47"/>
      <c r="C38" s="47"/>
      <c r="D38" s="47"/>
      <c r="E38" s="47"/>
      <c r="F38" s="47"/>
    </row>
    <row r="39" customFormat="false" ht="15" hidden="false" customHeight="true" outlineLevel="0" collapsed="false">
      <c r="A39" s="3" t="s">
        <v>9704</v>
      </c>
    </row>
    <row r="44" customFormat="false" ht="33.75" hidden="false" customHeight="true" outlineLevel="0" collapsed="false">
      <c r="A44" s="12" t="s">
        <v>9705</v>
      </c>
      <c r="B44" s="12" t="s">
        <v>9706</v>
      </c>
      <c r="C44" s="12" t="s">
        <v>9707</v>
      </c>
      <c r="D44" s="12" t="s">
        <v>9708</v>
      </c>
      <c r="E44" s="12" t="s">
        <v>9709</v>
      </c>
      <c r="F44" s="13" t="s">
        <v>27</v>
      </c>
      <c r="G44" s="13" t="s">
        <v>9710</v>
      </c>
      <c r="H44" s="13" t="s">
        <v>9711</v>
      </c>
      <c r="I44" s="13" t="s">
        <v>9712</v>
      </c>
      <c r="J44" s="13" t="s">
        <v>9713</v>
      </c>
      <c r="K44" s="13" t="s">
        <v>9714</v>
      </c>
    </row>
    <row r="45" customFormat="false" ht="15" hidden="false" customHeight="true" outlineLevel="0" collapsed="false">
      <c r="A45" s="50" t="n">
        <v>46235</v>
      </c>
      <c r="B45" s="21" t="n">
        <v>15</v>
      </c>
      <c r="C45" s="21" t="n">
        <v>23</v>
      </c>
      <c r="D45" s="21" t="n">
        <v>3</v>
      </c>
      <c r="E45" s="21" t="n">
        <v>48</v>
      </c>
      <c r="F45" s="20" t="n">
        <f aca="false">IF(COUNT(B45:E45)=0,"",SUM(B45:E45))</f>
        <v>89</v>
      </c>
      <c r="G45" s="16" t="n">
        <f aca="false">IF(COUNT(B45:D45)=0,"",SUM(B45:D45))</f>
        <v>41</v>
      </c>
      <c r="H45" s="20" t="n">
        <f aca="false">IF(COUNT($B$45:$E45)=0,"",SUM($F$45:F45))</f>
        <v>89</v>
      </c>
      <c r="I45" s="16" t="n">
        <f aca="false">IF(COUNT($B$45:$D45)=0,"",SUM($G$45:G45))</f>
        <v>41</v>
      </c>
      <c r="J45" s="51" t="n">
        <f aca="false">IFERROR(H45/$D$5,"")</f>
        <v>0.026969696969697</v>
      </c>
      <c r="K45" s="52" t="n">
        <f aca="false">IF(H45="","",IF(H45&gt;=$D$5,$D$7,$D$6))</f>
        <v>5</v>
      </c>
    </row>
    <row r="46" customFormat="false" ht="15" hidden="false" customHeight="true" outlineLevel="0" collapsed="false">
      <c r="A46" s="50" t="n">
        <v>46236</v>
      </c>
      <c r="B46" s="21" t="n">
        <v>63</v>
      </c>
      <c r="C46" s="21" t="n">
        <v>24</v>
      </c>
      <c r="D46" s="21" t="n">
        <v>0</v>
      </c>
      <c r="E46" s="21" t="n">
        <v>33</v>
      </c>
      <c r="F46" s="20" t="n">
        <f aca="false">IF(COUNT(B46:E46)=0,"",SUM(B46:E46))</f>
        <v>120</v>
      </c>
      <c r="G46" s="16" t="n">
        <f aca="false">IF(COUNT(B46:D46)=0,"",SUM(B46:D46))</f>
        <v>87</v>
      </c>
      <c r="H46" s="20" t="n">
        <f aca="false">IF(COUNT($B$45:$E46)=0,"",SUM($F$45:F46))</f>
        <v>209</v>
      </c>
      <c r="I46" s="16" t="n">
        <f aca="false">IF(COUNT($B$45:$D46)=0,"",SUM($G$45:G46))</f>
        <v>128</v>
      </c>
      <c r="J46" s="51" t="n">
        <f aca="false">IFERROR(H46/$D$5,"")</f>
        <v>0.0633333333333333</v>
      </c>
      <c r="K46" s="52" t="n">
        <f aca="false">IF(H46="","",IF(H46&gt;=$D$5,$D$7,$D$6))</f>
        <v>5</v>
      </c>
    </row>
    <row r="47" customFormat="false" ht="15" hidden="false" customHeight="true" outlineLevel="0" collapsed="false">
      <c r="A47" s="50" t="n">
        <v>46237</v>
      </c>
      <c r="B47" s="21" t="n">
        <v>58</v>
      </c>
      <c r="C47" s="21" t="n">
        <v>30</v>
      </c>
      <c r="D47" s="21" t="n">
        <v>1</v>
      </c>
      <c r="E47" s="21" t="n">
        <v>47</v>
      </c>
      <c r="F47" s="20" t="n">
        <f aca="false">IF(COUNT(B47:E47)=0,"",SUM(B47:E47))</f>
        <v>136</v>
      </c>
      <c r="G47" s="16" t="n">
        <f aca="false">IF(COUNT(B47:D47)=0,"",SUM(B47:D47))</f>
        <v>89</v>
      </c>
      <c r="H47" s="20" t="n">
        <f aca="false">IF(COUNT($B$45:$E47)=0,"",SUM($F$45:F47))</f>
        <v>345</v>
      </c>
      <c r="I47" s="16" t="n">
        <f aca="false">IF(COUNT($B$45:$D47)=0,"",SUM($G$45:G47))</f>
        <v>217</v>
      </c>
      <c r="J47" s="51" t="n">
        <f aca="false">IFERROR(H47/$D$5,"")</f>
        <v>0.104545454545455</v>
      </c>
      <c r="K47" s="52" t="n">
        <f aca="false">IF(H47="","",IF(H47&gt;=$D$5,$D$7,$D$6))</f>
        <v>5</v>
      </c>
    </row>
    <row r="48" customFormat="false" ht="15" hidden="false" customHeight="true" outlineLevel="0" collapsed="false">
      <c r="A48" s="50" t="n">
        <v>46238</v>
      </c>
      <c r="B48" s="21" t="n">
        <v>21</v>
      </c>
      <c r="C48" s="21" t="n">
        <v>34</v>
      </c>
      <c r="D48" s="21" t="n">
        <v>1</v>
      </c>
      <c r="E48" s="21" t="n">
        <v>27</v>
      </c>
      <c r="F48" s="20" t="n">
        <f aca="false">IF(COUNT(B48:E48)=0,"",SUM(B48:E48))</f>
        <v>83</v>
      </c>
      <c r="G48" s="16" t="n">
        <f aca="false">IF(COUNT(B48:D48)=0,"",SUM(B48:D48))</f>
        <v>56</v>
      </c>
      <c r="H48" s="20" t="n">
        <f aca="false">IF(COUNT($B$45:$E48)=0,"",SUM($F$45:F48))</f>
        <v>428</v>
      </c>
      <c r="I48" s="16" t="n">
        <f aca="false">IF(COUNT($B$45:$D48)=0,"",SUM($G$45:G48))</f>
        <v>273</v>
      </c>
      <c r="J48" s="51" t="n">
        <f aca="false">IFERROR(H48/$D$5,"")</f>
        <v>0.12969696969697</v>
      </c>
      <c r="K48" s="52" t="n">
        <f aca="false">IF(H48="","",IF(H48&gt;=$D$5,$D$7,$D$6))</f>
        <v>5</v>
      </c>
    </row>
    <row r="49" customFormat="false" ht="15" hidden="false" customHeight="true" outlineLevel="0" collapsed="false">
      <c r="A49" s="50" t="n">
        <v>46239</v>
      </c>
      <c r="B49" s="21" t="n">
        <v>26</v>
      </c>
      <c r="C49" s="21" t="n">
        <v>37</v>
      </c>
      <c r="D49" s="21" t="n">
        <v>0</v>
      </c>
      <c r="E49" s="21" t="n">
        <v>45</v>
      </c>
      <c r="F49" s="20" t="n">
        <f aca="false">IF(COUNT(B49:E49)=0,"",SUM(B49:E49))</f>
        <v>108</v>
      </c>
      <c r="G49" s="16" t="n">
        <f aca="false">IF(COUNT(B49:D49)=0,"",SUM(B49:D49))</f>
        <v>63</v>
      </c>
      <c r="H49" s="20" t="n">
        <f aca="false">IF(COUNT($B$45:$E49)=0,"",SUM($F$45:F49))</f>
        <v>536</v>
      </c>
      <c r="I49" s="16" t="n">
        <f aca="false">IF(COUNT($B$45:$D49)=0,"",SUM($G$45:G49))</f>
        <v>336</v>
      </c>
      <c r="J49" s="51" t="n">
        <f aca="false">IFERROR(H49/$D$5,"")</f>
        <v>0.162424242424242</v>
      </c>
      <c r="K49" s="52" t="n">
        <f aca="false">IF(H49="","",IF(H49&gt;=$D$5,$D$7,$D$6))</f>
        <v>5</v>
      </c>
    </row>
    <row r="50" customFormat="false" ht="15" hidden="false" customHeight="true" outlineLevel="0" collapsed="false">
      <c r="A50" s="50" t="n">
        <v>46240</v>
      </c>
      <c r="B50" s="21" t="n">
        <v>20</v>
      </c>
      <c r="C50" s="21" t="n">
        <v>27</v>
      </c>
      <c r="D50" s="21" t="n">
        <v>0</v>
      </c>
      <c r="E50" s="21" t="n">
        <v>52</v>
      </c>
      <c r="F50" s="20" t="n">
        <f aca="false">IF(COUNT(B50:E50)=0,"",SUM(B50:E50))</f>
        <v>99</v>
      </c>
      <c r="G50" s="16" t="n">
        <f aca="false">IF(COUNT(B50:D50)=0,"",SUM(B50:D50))</f>
        <v>47</v>
      </c>
      <c r="H50" s="20" t="n">
        <f aca="false">IF(COUNT($B$45:$E50)=0,"",SUM($F$45:F50))</f>
        <v>635</v>
      </c>
      <c r="I50" s="16" t="n">
        <f aca="false">IF(COUNT($B$45:$D50)=0,"",SUM($G$45:G50))</f>
        <v>383</v>
      </c>
      <c r="J50" s="51" t="n">
        <f aca="false">IFERROR(H50/$D$5,"")</f>
        <v>0.192424242424242</v>
      </c>
      <c r="K50" s="52" t="n">
        <f aca="false">IF(H50="","",IF(H50&gt;=$D$5,$D$7,$D$6))</f>
        <v>5</v>
      </c>
    </row>
    <row r="51" customFormat="false" ht="15" hidden="false" customHeight="true" outlineLevel="0" collapsed="false">
      <c r="A51" s="50" t="n">
        <v>46241</v>
      </c>
      <c r="B51" s="21" t="n">
        <v>25</v>
      </c>
      <c r="C51" s="21" t="n">
        <v>29</v>
      </c>
      <c r="D51" s="21" t="n">
        <v>0</v>
      </c>
      <c r="E51" s="21" t="n">
        <v>69</v>
      </c>
      <c r="F51" s="20" t="n">
        <f aca="false">IF(COUNT(B51:E51)=0,"",SUM(B51:E51))</f>
        <v>123</v>
      </c>
      <c r="G51" s="16" t="n">
        <f aca="false">IF(COUNT(B51:D51)=0,"",SUM(B51:D51))</f>
        <v>54</v>
      </c>
      <c r="H51" s="20" t="n">
        <f aca="false">IF(COUNT($B$45:$E51)=0,"",SUM($F$45:F51))</f>
        <v>758</v>
      </c>
      <c r="I51" s="16" t="n">
        <f aca="false">IF(COUNT($B$45:$D51)=0,"",SUM($G$45:G51))</f>
        <v>437</v>
      </c>
      <c r="J51" s="51" t="n">
        <f aca="false">IFERROR(H51/$D$5,"")</f>
        <v>0.22969696969697</v>
      </c>
      <c r="K51" s="52" t="n">
        <f aca="false">IF(H51="","",IF(H51&gt;=$D$5,$D$7,$D$6))</f>
        <v>5</v>
      </c>
    </row>
    <row r="52" customFormat="false" ht="15" hidden="false" customHeight="true" outlineLevel="0" collapsed="false">
      <c r="A52" s="50" t="n">
        <v>46242</v>
      </c>
      <c r="B52" s="21" t="n">
        <v>8</v>
      </c>
      <c r="C52" s="21" t="n">
        <v>39</v>
      </c>
      <c r="D52" s="21" t="n">
        <v>0</v>
      </c>
      <c r="E52" s="21" t="n">
        <v>26</v>
      </c>
      <c r="F52" s="20" t="n">
        <f aca="false">IF(COUNT(B52:E52)=0,"",SUM(B52:E52))</f>
        <v>73</v>
      </c>
      <c r="G52" s="16" t="n">
        <f aca="false">IF(COUNT(B52:D52)=0,"",SUM(B52:D52))</f>
        <v>47</v>
      </c>
      <c r="H52" s="20" t="n">
        <f aca="false">IF(COUNT($B$45:$E52)=0,"",SUM($F$45:F52))</f>
        <v>831</v>
      </c>
      <c r="I52" s="16" t="n">
        <f aca="false">IF(COUNT($B$45:$D52)=0,"",SUM($G$45:G52))</f>
        <v>484</v>
      </c>
      <c r="J52" s="51" t="n">
        <f aca="false">IFERROR(H52/$D$5,"")</f>
        <v>0.251818181818182</v>
      </c>
      <c r="K52" s="52" t="n">
        <f aca="false">IF(H52="","",IF(H52&gt;=$D$5,$D$7,$D$6))</f>
        <v>5</v>
      </c>
    </row>
    <row r="53" customFormat="false" ht="15" hidden="false" customHeight="true" outlineLevel="0" collapsed="false">
      <c r="A53" s="50" t="n">
        <v>46243</v>
      </c>
      <c r="B53" s="21" t="n">
        <v>3</v>
      </c>
      <c r="C53" s="21" t="n">
        <v>31</v>
      </c>
      <c r="D53" s="21" t="n">
        <v>1</v>
      </c>
      <c r="E53" s="21" t="n">
        <v>81</v>
      </c>
      <c r="F53" s="20" t="n">
        <f aca="false">IF(COUNT(B53:E53)=0,"",SUM(B53:E53))</f>
        <v>116</v>
      </c>
      <c r="G53" s="16" t="n">
        <f aca="false">IF(COUNT(B53:D53)=0,"",SUM(B53:D53))</f>
        <v>35</v>
      </c>
      <c r="H53" s="20" t="n">
        <f aca="false">IF(COUNT($B$45:$E53)=0,"",SUM($F$45:F53))</f>
        <v>947</v>
      </c>
      <c r="I53" s="16" t="n">
        <f aca="false">IF(COUNT($B$45:$D53)=0,"",SUM($G$45:G53))</f>
        <v>519</v>
      </c>
      <c r="J53" s="51" t="n">
        <f aca="false">IFERROR(H53/$D$5,"")</f>
        <v>0.286969696969697</v>
      </c>
      <c r="K53" s="52" t="n">
        <f aca="false">IF(H53="","",IF(H53&gt;=$D$5,$D$7,$D$6))</f>
        <v>5</v>
      </c>
    </row>
    <row r="54" customFormat="false" ht="15" hidden="false" customHeight="true" outlineLevel="0" collapsed="false">
      <c r="A54" s="50" t="n">
        <v>46244</v>
      </c>
      <c r="B54" s="21" t="n">
        <v>25</v>
      </c>
      <c r="C54" s="21" t="n">
        <v>33</v>
      </c>
      <c r="D54" s="21" t="n">
        <v>1</v>
      </c>
      <c r="E54" s="21" t="n">
        <v>120</v>
      </c>
      <c r="F54" s="20" t="n">
        <f aca="false">IF(COUNT(B54:E54)=0,"",SUM(B54:E54))</f>
        <v>179</v>
      </c>
      <c r="G54" s="16" t="n">
        <f aca="false">IF(COUNT(B54:D54)=0,"",SUM(B54:D54))</f>
        <v>59</v>
      </c>
      <c r="H54" s="20" t="n">
        <f aca="false">IF(COUNT($B$45:$E54)=0,"",SUM($F$45:F54))</f>
        <v>1126</v>
      </c>
      <c r="I54" s="16" t="n">
        <f aca="false">IF(COUNT($B$45:$D54)=0,"",SUM($G$45:G54))</f>
        <v>578</v>
      </c>
      <c r="J54" s="51" t="n">
        <f aca="false">IFERROR(H54/$D$5,"")</f>
        <v>0.341212121212121</v>
      </c>
      <c r="K54" s="52" t="n">
        <f aca="false">IF(H54="","",IF(H54&gt;=$D$5,$D$7,$D$6))</f>
        <v>5</v>
      </c>
    </row>
    <row r="55" customFormat="false" ht="15" hidden="false" customHeight="true" outlineLevel="0" collapsed="false">
      <c r="A55" s="50" t="n">
        <v>46245</v>
      </c>
      <c r="B55" s="21" t="n">
        <v>9</v>
      </c>
      <c r="C55" s="21" t="n">
        <v>50</v>
      </c>
      <c r="D55" s="21" t="n">
        <v>1</v>
      </c>
      <c r="E55" s="21" t="n">
        <v>57</v>
      </c>
      <c r="F55" s="20" t="n">
        <f aca="false">IF(COUNT(B55:E55)=0,"",SUM(B55:E55))</f>
        <v>117</v>
      </c>
      <c r="G55" s="16" t="n">
        <f aca="false">IF(COUNT(B55:D55)=0,"",SUM(B55:D55))</f>
        <v>60</v>
      </c>
      <c r="H55" s="20" t="n">
        <f aca="false">IF(COUNT($B$45:$E55)=0,"",SUM($F$45:F55))</f>
        <v>1243</v>
      </c>
      <c r="I55" s="16" t="n">
        <f aca="false">IF(COUNT($B$45:$D55)=0,"",SUM($G$45:G55))</f>
        <v>638</v>
      </c>
      <c r="J55" s="51" t="n">
        <f aca="false">IFERROR(H55/$D$5,"")</f>
        <v>0.376666666666667</v>
      </c>
      <c r="K55" s="52" t="n">
        <f aca="false">IF(H55="","",IF(H55&gt;=$D$5,$D$7,$D$6))</f>
        <v>5</v>
      </c>
    </row>
    <row r="56" customFormat="false" ht="15" hidden="false" customHeight="true" outlineLevel="0" collapsed="false">
      <c r="A56" s="50" t="n">
        <v>46246</v>
      </c>
      <c r="B56" s="21" t="n">
        <v>11</v>
      </c>
      <c r="C56" s="21" t="n">
        <v>26</v>
      </c>
      <c r="D56" s="21" t="n">
        <v>1</v>
      </c>
      <c r="E56" s="21" t="n">
        <v>86</v>
      </c>
      <c r="F56" s="20" t="n">
        <f aca="false">IF(COUNT(B56:E56)=0,"",SUM(B56:E56))</f>
        <v>124</v>
      </c>
      <c r="G56" s="16" t="n">
        <f aca="false">IF(COUNT(B56:D56)=0,"",SUM(B56:D56))</f>
        <v>38</v>
      </c>
      <c r="H56" s="20" t="n">
        <f aca="false">IF(COUNT($B$45:$E56)=0,"",SUM($F$45:F56))</f>
        <v>1367</v>
      </c>
      <c r="I56" s="16" t="n">
        <f aca="false">IF(COUNT($B$45:$D56)=0,"",SUM($G$45:G56))</f>
        <v>676</v>
      </c>
      <c r="J56" s="51" t="n">
        <f aca="false">IFERROR(H56/$D$5,"")</f>
        <v>0.414242424242424</v>
      </c>
      <c r="K56" s="52" t="n">
        <f aca="false">IF(H56="","",IF(H56&gt;=$D$5,$D$7,$D$6))</f>
        <v>5</v>
      </c>
    </row>
    <row r="57" customFormat="false" ht="15" hidden="false" customHeight="true" outlineLevel="0" collapsed="false">
      <c r="A57" s="50" t="n">
        <v>46247</v>
      </c>
      <c r="B57" s="21" t="n">
        <v>7</v>
      </c>
      <c r="C57" s="21" t="n">
        <v>47</v>
      </c>
      <c r="D57" s="21" t="n">
        <v>2</v>
      </c>
      <c r="E57" s="21" t="n">
        <v>36</v>
      </c>
      <c r="F57" s="20" t="n">
        <f aca="false">IF(COUNT(B57:E57)=0,"",SUM(B57:E57))</f>
        <v>92</v>
      </c>
      <c r="G57" s="16" t="n">
        <f aca="false">IF(COUNT(B57:D57)=0,"",SUM(B57:D57))</f>
        <v>56</v>
      </c>
      <c r="H57" s="20" t="n">
        <f aca="false">IF(COUNT($B$45:$E57)=0,"",SUM($F$45:F57))</f>
        <v>1459</v>
      </c>
      <c r="I57" s="16" t="n">
        <f aca="false">IF(COUNT($B$45:$D57)=0,"",SUM($G$45:G57))</f>
        <v>732</v>
      </c>
      <c r="J57" s="51" t="n">
        <f aca="false">IFERROR(H57/$D$5,"")</f>
        <v>0.442121212121212</v>
      </c>
      <c r="K57" s="52" t="n">
        <f aca="false">IF(H57="","",IF(H57&gt;=$D$5,$D$7,$D$6))</f>
        <v>5</v>
      </c>
    </row>
    <row r="58" customFormat="false" ht="15" hidden="false" customHeight="true" outlineLevel="0" collapsed="false">
      <c r="A58" s="50" t="n">
        <v>46248</v>
      </c>
      <c r="B58" s="21" t="n">
        <v>33</v>
      </c>
      <c r="C58" s="21" t="n">
        <v>36</v>
      </c>
      <c r="D58" s="21" t="n">
        <v>3</v>
      </c>
      <c r="E58" s="21" t="n">
        <v>38</v>
      </c>
      <c r="F58" s="20" t="n">
        <f aca="false">IF(COUNT(B58:E58)=0,"",SUM(B58:E58))</f>
        <v>110</v>
      </c>
      <c r="G58" s="16" t="n">
        <f aca="false">IF(COUNT(B58:D58)=0,"",SUM(B58:D58))</f>
        <v>72</v>
      </c>
      <c r="H58" s="20" t="n">
        <f aca="false">IF(COUNT($B$45:$E58)=0,"",SUM($F$45:F58))</f>
        <v>1569</v>
      </c>
      <c r="I58" s="16" t="n">
        <f aca="false">IF(COUNT($B$45:$D58)=0,"",SUM($G$45:G58))</f>
        <v>804</v>
      </c>
      <c r="J58" s="51" t="n">
        <f aca="false">IFERROR(H58/$D$5,"")</f>
        <v>0.475454545454545</v>
      </c>
      <c r="K58" s="52" t="n">
        <f aca="false">IF(H58="","",IF(H58&gt;=$D$5,$D$7,$D$6))</f>
        <v>5</v>
      </c>
    </row>
    <row r="59" customFormat="false" ht="15" hidden="false" customHeight="true" outlineLevel="0" collapsed="false">
      <c r="A59" s="50" t="n">
        <v>46249</v>
      </c>
      <c r="B59" s="21" t="n">
        <v>21</v>
      </c>
      <c r="C59" s="21" t="n">
        <v>31</v>
      </c>
      <c r="D59" s="21" t="n">
        <v>0</v>
      </c>
      <c r="E59" s="21" t="n">
        <v>25</v>
      </c>
      <c r="F59" s="20" t="n">
        <f aca="false">IF(COUNT(B59:E59)=0,"",SUM(B59:E59))</f>
        <v>77</v>
      </c>
      <c r="G59" s="16" t="n">
        <f aca="false">IF(COUNT(B59:D59)=0,"",SUM(B59:D59))</f>
        <v>52</v>
      </c>
      <c r="H59" s="20" t="n">
        <f aca="false">IF(COUNT($B$45:$E59)=0,"",SUM($F$45:F59))</f>
        <v>1646</v>
      </c>
      <c r="I59" s="16" t="n">
        <f aca="false">IF(COUNT($B$45:$D59)=0,"",SUM($G$45:G59))</f>
        <v>856</v>
      </c>
      <c r="J59" s="51" t="n">
        <f aca="false">IFERROR(H59/$D$5,"")</f>
        <v>0.498787878787879</v>
      </c>
      <c r="K59" s="52" t="n">
        <f aca="false">IF(H59="","",IF(H59&gt;=$D$5,$D$7,$D$6))</f>
        <v>5</v>
      </c>
    </row>
    <row r="60" customFormat="false" ht="15" hidden="false" customHeight="true" outlineLevel="0" collapsed="false">
      <c r="A60" s="50" t="n">
        <v>46250</v>
      </c>
      <c r="B60" s="21" t="n">
        <v>5</v>
      </c>
      <c r="C60" s="21" t="n">
        <v>30</v>
      </c>
      <c r="D60" s="21" t="n">
        <v>1</v>
      </c>
      <c r="E60" s="21" t="n">
        <v>36</v>
      </c>
      <c r="F60" s="20" t="n">
        <f aca="false">IF(COUNT(B60:E60)=0,"",SUM(B60:E60))</f>
        <v>72</v>
      </c>
      <c r="G60" s="16" t="n">
        <f aca="false">IF(COUNT(B60:D60)=0,"",SUM(B60:D60))</f>
        <v>36</v>
      </c>
      <c r="H60" s="20" t="n">
        <f aca="false">IF(COUNT($B$45:$E60)=0,"",SUM($F$45:F60))</f>
        <v>1718</v>
      </c>
      <c r="I60" s="16" t="n">
        <f aca="false">IF(COUNT($B$45:$D60)=0,"",SUM($G$45:G60))</f>
        <v>892</v>
      </c>
      <c r="J60" s="51" t="n">
        <f aca="false">IFERROR(H60/$D$5,"")</f>
        <v>0.520606060606061</v>
      </c>
      <c r="K60" s="52" t="n">
        <f aca="false">IF(H60="","",IF(H60&gt;=$D$5,$D$7,$D$6))</f>
        <v>5</v>
      </c>
    </row>
    <row r="61" customFormat="false" ht="15" hidden="false" customHeight="true" outlineLevel="0" collapsed="false">
      <c r="A61" s="50" t="n">
        <v>46251</v>
      </c>
      <c r="B61" s="21" t="n">
        <v>25</v>
      </c>
      <c r="C61" s="21" t="n">
        <v>32</v>
      </c>
      <c r="D61" s="21" t="n">
        <v>1</v>
      </c>
      <c r="E61" s="21" t="n">
        <v>76</v>
      </c>
      <c r="F61" s="20" t="n">
        <f aca="false">IF(COUNT(B61:E61)=0,"",SUM(B61:E61))</f>
        <v>134</v>
      </c>
      <c r="G61" s="16" t="n">
        <f aca="false">IF(COUNT(B61:D61)=0,"",SUM(B61:D61))</f>
        <v>58</v>
      </c>
      <c r="H61" s="20" t="n">
        <f aca="false">IF(COUNT($B$45:$E61)=0,"",SUM($F$45:F61))</f>
        <v>1852</v>
      </c>
      <c r="I61" s="16" t="n">
        <f aca="false">IF(COUNT($B$45:$D61)=0,"",SUM($G$45:G61))</f>
        <v>950</v>
      </c>
      <c r="J61" s="51" t="n">
        <f aca="false">IFERROR(H61/$D$5,"")</f>
        <v>0.561212121212121</v>
      </c>
      <c r="K61" s="52" t="n">
        <f aca="false">IF(H61="","",IF(H61&gt;=$D$5,$D$7,$D$6))</f>
        <v>5</v>
      </c>
    </row>
    <row r="62" customFormat="false" ht="15" hidden="false" customHeight="true" outlineLevel="0" collapsed="false">
      <c r="A62" s="50" t="n">
        <v>46252</v>
      </c>
      <c r="B62" s="21" t="n">
        <v>13</v>
      </c>
      <c r="C62" s="21" t="n">
        <v>39</v>
      </c>
      <c r="D62" s="21" t="n">
        <v>1</v>
      </c>
      <c r="E62" s="21" t="n">
        <v>62</v>
      </c>
      <c r="F62" s="20" t="n">
        <f aca="false">IF(COUNT(B62:E62)=0,"",SUM(B62:E62))</f>
        <v>115</v>
      </c>
      <c r="G62" s="16" t="n">
        <f aca="false">IF(COUNT(B62:D62)=0,"",SUM(B62:D62))</f>
        <v>53</v>
      </c>
      <c r="H62" s="20" t="n">
        <f aca="false">IF(COUNT($B$45:$E62)=0,"",SUM($F$45:F62))</f>
        <v>1967</v>
      </c>
      <c r="I62" s="16" t="n">
        <f aca="false">IF(COUNT($B$45:$D62)=0,"",SUM($G$45:G62))</f>
        <v>1003</v>
      </c>
      <c r="J62" s="51" t="n">
        <f aca="false">IFERROR(H62/$D$5,"")</f>
        <v>0.596060606060606</v>
      </c>
      <c r="K62" s="52" t="n">
        <f aca="false">IF(H62="","",IF(H62&gt;=$D$5,$D$7,$D$6))</f>
        <v>5</v>
      </c>
    </row>
    <row r="63" customFormat="false" ht="15" hidden="false" customHeight="true" outlineLevel="0" collapsed="false">
      <c r="A63" s="50" t="n">
        <v>46253</v>
      </c>
      <c r="B63" s="21" t="n">
        <v>12</v>
      </c>
      <c r="C63" s="21" t="n">
        <v>26</v>
      </c>
      <c r="D63" s="21" t="n">
        <v>0</v>
      </c>
      <c r="E63" s="21" t="n">
        <v>50</v>
      </c>
      <c r="F63" s="20" t="n">
        <f aca="false">IF(COUNT(B63:E63)=0,"",SUM(B63:E63))</f>
        <v>88</v>
      </c>
      <c r="G63" s="16" t="n">
        <f aca="false">IF(COUNT(B63:D63)=0,"",SUM(B63:D63))</f>
        <v>38</v>
      </c>
      <c r="H63" s="20" t="n">
        <f aca="false">IF(COUNT($B$45:$E63)=0,"",SUM($F$45:F63))</f>
        <v>2055</v>
      </c>
      <c r="I63" s="16" t="n">
        <f aca="false">IF(COUNT($B$45:$D63)=0,"",SUM($G$45:G63))</f>
        <v>1041</v>
      </c>
      <c r="J63" s="51" t="n">
        <f aca="false">IFERROR(H63/$D$5,"")</f>
        <v>0.622727272727273</v>
      </c>
      <c r="K63" s="52" t="n">
        <f aca="false">IF(H63="","",IF(H63&gt;=$D$5,$D$7,$D$6))</f>
        <v>5</v>
      </c>
    </row>
    <row r="64" customFormat="false" ht="15" hidden="false" customHeight="true" outlineLevel="0" collapsed="false">
      <c r="A64" s="50" t="n">
        <v>46254</v>
      </c>
      <c r="B64" s="21" t="n">
        <v>16</v>
      </c>
      <c r="C64" s="21" t="n">
        <v>42</v>
      </c>
      <c r="D64" s="21" t="n">
        <v>1</v>
      </c>
      <c r="E64" s="21" t="n">
        <v>38</v>
      </c>
      <c r="F64" s="20" t="n">
        <f aca="false">IF(COUNT(B64:E64)=0,"",SUM(B64:E64))</f>
        <v>97</v>
      </c>
      <c r="G64" s="16" t="n">
        <f aca="false">IF(COUNT(B64:D64)=0,"",SUM(B64:D64))</f>
        <v>59</v>
      </c>
      <c r="H64" s="20" t="n">
        <f aca="false">IF(COUNT($B$45:$E64)=0,"",SUM($F$45:F64))</f>
        <v>2152</v>
      </c>
      <c r="I64" s="16" t="n">
        <f aca="false">IF(COUNT($B$45:$D64)=0,"",SUM($G$45:G64))</f>
        <v>1100</v>
      </c>
      <c r="J64" s="51" t="n">
        <f aca="false">IFERROR(H64/$D$5,"")</f>
        <v>0.652121212121212</v>
      </c>
      <c r="K64" s="52" t="n">
        <f aca="false">IF(H64="","",IF(H64&gt;=$D$5,$D$7,$D$6))</f>
        <v>5</v>
      </c>
    </row>
    <row r="65" customFormat="false" ht="15" hidden="false" customHeight="true" outlineLevel="0" collapsed="false">
      <c r="A65" s="50" t="n">
        <v>46255</v>
      </c>
      <c r="B65" s="21" t="n">
        <v>13</v>
      </c>
      <c r="C65" s="21" t="n">
        <v>26</v>
      </c>
      <c r="D65" s="21" t="n">
        <v>1</v>
      </c>
      <c r="E65" s="21" t="n">
        <v>26</v>
      </c>
      <c r="F65" s="20" t="n">
        <f aca="false">IF(COUNT(B65:E65)=0,"",SUM(B65:E65))</f>
        <v>66</v>
      </c>
      <c r="G65" s="16" t="n">
        <f aca="false">IF(COUNT(B65:D65)=0,"",SUM(B65:D65))</f>
        <v>40</v>
      </c>
      <c r="H65" s="20" t="n">
        <f aca="false">IF(COUNT($B$45:$E65)=0,"",SUM($F$45:F65))</f>
        <v>2218</v>
      </c>
      <c r="I65" s="16" t="n">
        <f aca="false">IF(COUNT($B$45:$D65)=0,"",SUM($G$45:G65))</f>
        <v>1140</v>
      </c>
      <c r="J65" s="51" t="n">
        <f aca="false">IFERROR(H65/$D$5,"")</f>
        <v>0.672121212121212</v>
      </c>
      <c r="K65" s="52" t="n">
        <f aca="false">IF(H65="","",IF(H65&gt;=$D$5,$D$7,$D$6))</f>
        <v>5</v>
      </c>
    </row>
    <row r="66" customFormat="false" ht="15" hidden="false" customHeight="true" outlineLevel="0" collapsed="false">
      <c r="A66" s="50" t="n">
        <v>46256</v>
      </c>
      <c r="B66" s="21" t="n">
        <v>24</v>
      </c>
      <c r="C66" s="21" t="n">
        <v>34</v>
      </c>
      <c r="D66" s="21" t="n">
        <v>0</v>
      </c>
      <c r="E66" s="21" t="n">
        <v>28</v>
      </c>
      <c r="F66" s="20" t="n">
        <f aca="false">IF(COUNT(B66:E66)=0,"",SUM(B66:E66))</f>
        <v>86</v>
      </c>
      <c r="G66" s="16" t="n">
        <f aca="false">IF(COUNT(B66:D66)=0,"",SUM(B66:D66))</f>
        <v>58</v>
      </c>
      <c r="H66" s="20" t="n">
        <f aca="false">IF(COUNT($B$45:$E66)=0,"",SUM($F$45:F66))</f>
        <v>2304</v>
      </c>
      <c r="I66" s="16" t="n">
        <f aca="false">IF(COUNT($B$45:$D66)=0,"",SUM($G$45:G66))</f>
        <v>1198</v>
      </c>
      <c r="J66" s="51" t="n">
        <f aca="false">IFERROR(H66/$D$5,"")</f>
        <v>0.698181818181818</v>
      </c>
      <c r="K66" s="52" t="n">
        <f aca="false">IF(H66="","",IF(H66&gt;=$D$5,$D$7,$D$6))</f>
        <v>5</v>
      </c>
    </row>
    <row r="67" customFormat="false" ht="15" hidden="false" customHeight="true" outlineLevel="0" collapsed="false">
      <c r="A67" s="50" t="n">
        <v>46257</v>
      </c>
      <c r="B67" s="21" t="n">
        <v>6</v>
      </c>
      <c r="C67" s="21" t="n">
        <v>31</v>
      </c>
      <c r="D67" s="21" t="n">
        <v>0</v>
      </c>
      <c r="E67" s="21" t="n">
        <v>15</v>
      </c>
      <c r="F67" s="20" t="n">
        <f aca="false">IF(COUNT(B67:E67)=0,"",SUM(B67:E67))</f>
        <v>52</v>
      </c>
      <c r="G67" s="16" t="n">
        <f aca="false">IF(COUNT(B67:D67)=0,"",SUM(B67:D67))</f>
        <v>37</v>
      </c>
      <c r="H67" s="20" t="n">
        <f aca="false">IF(COUNT($B$45:$E67)=0,"",SUM($F$45:F67))</f>
        <v>2356</v>
      </c>
      <c r="I67" s="16" t="n">
        <f aca="false">IF(COUNT($B$45:$D67)=0,"",SUM($G$45:G67))</f>
        <v>1235</v>
      </c>
      <c r="J67" s="51" t="n">
        <f aca="false">IFERROR(H67/$D$5,"")</f>
        <v>0.713939393939394</v>
      </c>
      <c r="K67" s="52" t="n">
        <f aca="false">IF(H67="","",IF(H67&gt;=$D$5,$D$7,$D$6))</f>
        <v>5</v>
      </c>
    </row>
    <row r="68" customFormat="false" ht="15" hidden="false" customHeight="true" outlineLevel="0" collapsed="false">
      <c r="A68" s="50" t="n">
        <v>46258</v>
      </c>
      <c r="B68" s="21" t="n">
        <v>22</v>
      </c>
      <c r="C68" s="21" t="n">
        <v>50</v>
      </c>
      <c r="D68" s="21" t="n">
        <v>1</v>
      </c>
      <c r="E68" s="21" t="n">
        <v>53</v>
      </c>
      <c r="F68" s="20" t="n">
        <f aca="false">IF(COUNT(B68:E68)=0,"",SUM(B68:E68))</f>
        <v>126</v>
      </c>
      <c r="G68" s="16" t="n">
        <f aca="false">IF(COUNT(B68:D68)=0,"",SUM(B68:D68))</f>
        <v>73</v>
      </c>
      <c r="H68" s="20" t="n">
        <f aca="false">IF(COUNT($B$45:$E68)=0,"",SUM($F$45:F68))</f>
        <v>2482</v>
      </c>
      <c r="I68" s="16" t="n">
        <f aca="false">IF(COUNT($B$45:$D68)=0,"",SUM($G$45:G68))</f>
        <v>1308</v>
      </c>
      <c r="J68" s="51" t="n">
        <f aca="false">IFERROR(H68/$D$5,"")</f>
        <v>0.752121212121212</v>
      </c>
      <c r="K68" s="52" t="n">
        <f aca="false">IF(H68="","",IF(H68&gt;=$D$5,$D$7,$D$6))</f>
        <v>5</v>
      </c>
    </row>
    <row r="69" customFormat="false" ht="15" hidden="false" customHeight="true" outlineLevel="0" collapsed="false">
      <c r="A69" s="50" t="n">
        <v>46259</v>
      </c>
      <c r="B69" s="21" t="n">
        <v>25</v>
      </c>
      <c r="C69" s="21" t="n">
        <v>44</v>
      </c>
      <c r="D69" s="21" t="n">
        <v>2</v>
      </c>
      <c r="E69" s="21" t="n">
        <v>79</v>
      </c>
      <c r="F69" s="20" t="n">
        <f aca="false">IF(COUNT(B69:E69)=0,"",SUM(B69:E69))</f>
        <v>150</v>
      </c>
      <c r="G69" s="16" t="n">
        <f aca="false">IF(COUNT(B69:D69)=0,"",SUM(B69:D69))</f>
        <v>71</v>
      </c>
      <c r="H69" s="20" t="n">
        <f aca="false">IF(COUNT($B$45:$E69)=0,"",SUM($F$45:F69))</f>
        <v>2632</v>
      </c>
      <c r="I69" s="16" t="n">
        <f aca="false">IF(COUNT($B$45:$D69)=0,"",SUM($G$45:G69))</f>
        <v>1379</v>
      </c>
      <c r="J69" s="51" t="n">
        <f aca="false">IFERROR(H69/$D$5,"")</f>
        <v>0.797575757575758</v>
      </c>
      <c r="K69" s="52" t="n">
        <f aca="false">IF(H69="","",IF(H69&gt;=$D$5,$D$7,$D$6))</f>
        <v>5</v>
      </c>
    </row>
    <row r="70" customFormat="false" ht="15" hidden="false" customHeight="true" outlineLevel="0" collapsed="false">
      <c r="A70" s="50" t="n">
        <v>46260</v>
      </c>
      <c r="B70" s="21" t="n">
        <v>18</v>
      </c>
      <c r="C70" s="21" t="n">
        <v>45</v>
      </c>
      <c r="D70" s="21" t="n">
        <v>1</v>
      </c>
      <c r="E70" s="21" t="n">
        <v>64</v>
      </c>
      <c r="F70" s="20" t="n">
        <f aca="false">IF(COUNT(B70:E70)=0,"",SUM(B70:E70))</f>
        <v>128</v>
      </c>
      <c r="G70" s="16" t="n">
        <f aca="false">IF(COUNT(B70:D70)=0,"",SUM(B70:D70))</f>
        <v>64</v>
      </c>
      <c r="H70" s="20" t="n">
        <f aca="false">IF(COUNT($B$45:$E70)=0,"",SUM($F$45:F70))</f>
        <v>2760</v>
      </c>
      <c r="I70" s="16" t="n">
        <f aca="false">IF(COUNT($B$45:$D70)=0,"",SUM($G$45:G70))</f>
        <v>1443</v>
      </c>
      <c r="J70" s="51" t="n">
        <f aca="false">IFERROR(H70/$D$5,"")</f>
        <v>0.836363636363636</v>
      </c>
      <c r="K70" s="52" t="n">
        <f aca="false">IF(H70="","",IF(H70&gt;=$D$5,$D$7,$D$6))</f>
        <v>5</v>
      </c>
    </row>
    <row r="71" customFormat="false" ht="15" hidden="false" customHeight="true" outlineLevel="0" collapsed="false">
      <c r="A71" s="50" t="n">
        <v>46261</v>
      </c>
      <c r="B71" s="21" t="n">
        <v>16</v>
      </c>
      <c r="C71" s="21" t="n">
        <v>29</v>
      </c>
      <c r="D71" s="21" t="n">
        <v>0</v>
      </c>
      <c r="E71" s="21" t="n">
        <v>30</v>
      </c>
      <c r="F71" s="20" t="n">
        <f aca="false">IF(COUNT(B71:E71)=0,"",SUM(B71:E71))</f>
        <v>75</v>
      </c>
      <c r="G71" s="16" t="n">
        <f aca="false">IF(COUNT(B71:D71)=0,"",SUM(B71:D71))</f>
        <v>45</v>
      </c>
      <c r="H71" s="20" t="n">
        <f aca="false">IF(COUNT($B$45:$E71)=0,"",SUM($F$45:F71))</f>
        <v>2835</v>
      </c>
      <c r="I71" s="16" t="n">
        <f aca="false">IF(COUNT($B$45:$D71)=0,"",SUM($G$45:G71))</f>
        <v>1488</v>
      </c>
      <c r="J71" s="51" t="n">
        <f aca="false">IFERROR(H71/$D$5,"")</f>
        <v>0.859090909090909</v>
      </c>
      <c r="K71" s="52" t="n">
        <f aca="false">IF(H71="","",IF(H71&gt;=$D$5,$D$7,$D$6))</f>
        <v>5</v>
      </c>
    </row>
    <row r="72" customFormat="false" ht="15" hidden="false" customHeight="true" outlineLevel="0" collapsed="false">
      <c r="A72" s="50" t="n">
        <v>46262</v>
      </c>
      <c r="B72" s="21" t="n">
        <v>8</v>
      </c>
      <c r="C72" s="21" t="n">
        <v>45</v>
      </c>
      <c r="D72" s="21" t="n">
        <v>1</v>
      </c>
      <c r="E72" s="21" t="n">
        <v>44</v>
      </c>
      <c r="F72" s="20" t="n">
        <f aca="false">IF(COUNT(B72:E72)=0,"",SUM(B72:E72))</f>
        <v>98</v>
      </c>
      <c r="G72" s="16" t="n">
        <f aca="false">IF(COUNT(B72:D72)=0,"",SUM(B72:D72))</f>
        <v>54</v>
      </c>
      <c r="H72" s="20" t="n">
        <f aca="false">IF(COUNT($B$45:$E72)=0,"",SUM($F$45:F72))</f>
        <v>2933</v>
      </c>
      <c r="I72" s="16" t="n">
        <f aca="false">IF(COUNT($B$45:$D72)=0,"",SUM($G$45:G72))</f>
        <v>1542</v>
      </c>
      <c r="J72" s="51" t="n">
        <f aca="false">IFERROR(H72/$D$5,"")</f>
        <v>0.888787878787879</v>
      </c>
      <c r="K72" s="52" t="n">
        <f aca="false">IF(H72="","",IF(H72&gt;=$D$5,$D$7,$D$6))</f>
        <v>5</v>
      </c>
    </row>
    <row r="73" customFormat="false" ht="15" hidden="false" customHeight="true" outlineLevel="0" collapsed="false">
      <c r="A73" s="50" t="n">
        <v>46263</v>
      </c>
      <c r="B73" s="21" t="n">
        <v>26</v>
      </c>
      <c r="C73" s="21" t="n">
        <v>43</v>
      </c>
      <c r="D73" s="21" t="n">
        <v>0</v>
      </c>
      <c r="E73" s="21" t="n">
        <v>35</v>
      </c>
      <c r="F73" s="20" t="n">
        <f aca="false">IF(COUNT(B73:E73)=0,"",SUM(B73:E73))</f>
        <v>104</v>
      </c>
      <c r="G73" s="16" t="n">
        <f aca="false">IF(COUNT(B73:D73)=0,"",SUM(B73:D73))</f>
        <v>69</v>
      </c>
      <c r="H73" s="20" t="n">
        <f aca="false">IF(COUNT($B$45:$E73)=0,"",SUM($F$45:F73))</f>
        <v>3037</v>
      </c>
      <c r="I73" s="16" t="n">
        <f aca="false">IF(COUNT($B$45:$D73)=0,"",SUM($G$45:G73))</f>
        <v>1611</v>
      </c>
      <c r="J73" s="51" t="n">
        <f aca="false">IFERROR(H73/$D$5,"")</f>
        <v>0.92030303030303</v>
      </c>
      <c r="K73" s="52" t="n">
        <f aca="false">IF(H73="","",IF(H73&gt;=$D$5,$D$7,$D$6))</f>
        <v>5</v>
      </c>
    </row>
    <row r="74" customFormat="false" ht="15" hidden="false" customHeight="true" outlineLevel="0" collapsed="false">
      <c r="A74" s="50" t="n">
        <v>46264</v>
      </c>
      <c r="B74" s="21" t="n">
        <v>1</v>
      </c>
      <c r="C74" s="21" t="n">
        <v>34</v>
      </c>
      <c r="D74" s="21" t="n">
        <v>0</v>
      </c>
      <c r="E74" s="21" t="n">
        <v>34</v>
      </c>
      <c r="F74" s="20" t="n">
        <f aca="false">IF(COUNT(B74:E74)=0,"",SUM(B74:E74))</f>
        <v>69</v>
      </c>
      <c r="G74" s="16" t="n">
        <f aca="false">IF(COUNT(B74:D74)=0,"",SUM(B74:D74))</f>
        <v>35</v>
      </c>
      <c r="H74" s="20" t="n">
        <f aca="false">IF(COUNT($B$45:$E74)=0,"",SUM($F$45:F74))</f>
        <v>3106</v>
      </c>
      <c r="I74" s="16" t="n">
        <f aca="false">IF(COUNT($B$45:$D74)=0,"",SUM($G$45:G74))</f>
        <v>1646</v>
      </c>
      <c r="J74" s="51" t="n">
        <f aca="false">IFERROR(H74/$D$5,"")</f>
        <v>0.941212121212121</v>
      </c>
      <c r="K74" s="52" t="n">
        <f aca="false">IF(H74="","",IF(H74&gt;=$D$5,$D$7,$D$6))</f>
        <v>5</v>
      </c>
    </row>
    <row r="75" customFormat="false" ht="15" hidden="false" customHeight="true" outlineLevel="0" collapsed="false">
      <c r="A75" s="50" t="n">
        <v>46265</v>
      </c>
      <c r="B75" s="21" t="n">
        <v>18</v>
      </c>
      <c r="C75" s="21" t="n">
        <v>42</v>
      </c>
      <c r="D75" s="21" t="n">
        <v>1</v>
      </c>
      <c r="E75" s="21" t="n">
        <v>51</v>
      </c>
      <c r="F75" s="20" t="n">
        <f aca="false">IF(COUNT(B75:E75)=0,"",SUM(B75:E75))</f>
        <v>112</v>
      </c>
      <c r="G75" s="16" t="n">
        <f aca="false">IF(COUNT(B75:D75)=0,"",SUM(B75:D75))</f>
        <v>61</v>
      </c>
      <c r="H75" s="20" t="n">
        <f aca="false">IF(COUNT($B$45:$E75)=0,"",SUM($F$45:F75))</f>
        <v>3218</v>
      </c>
      <c r="I75" s="16" t="n">
        <f aca="false">IF(COUNT($B$45:$D75)=0,"",SUM($G$45:G75))</f>
        <v>1707</v>
      </c>
      <c r="J75" s="51" t="n">
        <f aca="false">IFERROR(H75/$D$5,"")</f>
        <v>0.975151515151515</v>
      </c>
      <c r="K75" s="52" t="n">
        <f aca="false">IF(H75="","",IF(H75&gt;=$D$5,$D$7,$D$6))</f>
        <v>5</v>
      </c>
    </row>
    <row r="76" customFormat="false" ht="15" hidden="false" customHeight="true" outlineLevel="0" collapsed="false">
      <c r="A76" s="53" t="s">
        <v>9715</v>
      </c>
      <c r="B76" s="54" t="n">
        <f aca="false">SUM(B45:B75)</f>
        <v>593</v>
      </c>
      <c r="C76" s="54" t="n">
        <f aca="false">SUM(C45:C75)</f>
        <v>1089</v>
      </c>
      <c r="D76" s="54" t="n">
        <f aca="false">SUM(D45:D75)</f>
        <v>25</v>
      </c>
      <c r="E76" s="54" t="n">
        <f aca="false">SUM(E45:E75)</f>
        <v>1511</v>
      </c>
      <c r="F76" s="54" t="n">
        <f aca="false">SUM(F45:F75)</f>
        <v>3218</v>
      </c>
      <c r="G76" s="54" t="n">
        <f aca="false">SUM(G45:G75)</f>
        <v>1707</v>
      </c>
      <c r="H76" s="53"/>
      <c r="I76" s="53"/>
      <c r="J76" s="53"/>
      <c r="K76" s="53"/>
    </row>
    <row r="78" customFormat="false" ht="15" hidden="false" customHeight="true" outlineLevel="0" collapsed="false">
      <c r="A78" s="35" t="s">
        <v>9716</v>
      </c>
      <c r="B78" s="35"/>
      <c r="C78" s="35"/>
      <c r="D78" s="35"/>
      <c r="E78" s="35"/>
      <c r="F78" s="35"/>
      <c r="G78" s="35"/>
      <c r="H78" s="35"/>
      <c r="I78" s="35"/>
    </row>
    <row r="79" customFormat="false" ht="1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</row>
    <row r="82" customFormat="false" ht="1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</row>
    <row r="83" customFormat="false" ht="1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</row>
  </sheetData>
  <mergeCells count="1">
    <mergeCell ref="A78:I83"/>
  </mergeCells>
  <conditionalFormatting sqref="D17">
    <cfRule type="cellIs" priority="2" operator="equal" aboveAverage="0" equalAverage="0" bottom="0" percent="0" rank="0" text="" dxfId="14">
      <formula>"MET"</formula>
    </cfRule>
    <cfRule type="cellIs" priority="3" operator="equal" aboveAverage="0" equalAverage="0" bottom="0" percent="0" rank="0" text="" dxfId="20">
      <formula>"NOT YET MET"</formula>
    </cfRule>
  </conditionalFormatting>
  <conditionalFormatting sqref="D26">
    <cfRule type="cellIs" priority="4" operator="equal" aboveAverage="0" equalAverage="0" bottom="0" percent="0" rank="0" text="" dxfId="14">
      <formula>"ON PACE"</formula>
    </cfRule>
    <cfRule type="cellIs" priority="5" operator="equal" aboveAverage="0" equalAverage="0" bottom="0" percent="0" rank="0" text="" dxfId="20">
      <formula>"BEHIND"</formula>
    </cfRule>
  </conditionalFormatting>
  <conditionalFormatting sqref="J45:J75">
    <cfRule type="cellIs" priority="6" operator="greaterThanOrEqual" aboveAverage="0" equalAverage="0" bottom="0" percent="0" rank="0" text="" dxfId="1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2026-08-19T16:10:07Z</dcterms:created>
  <dc:creator>openpyxl</dc:creator>
  <dc:description/>
  <dc:language>en-US</dc:language>
  <cp:lastModifiedBy/>
  <dcterms:modified xsi:type="dcterms:W3CDTF">2026-09-01T17:40:32Z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