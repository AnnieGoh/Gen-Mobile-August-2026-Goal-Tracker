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<sst xmlns="http://schemas.openxmlformats.org/spreadsheetml/2006/main" count="11180" uniqueCount="7878">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</sst>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18</v>
      </c>
      <c r="Z5" s="15" t="n">
        <f aca="false">IF(X5=0,"",X5-Y5)</f>
        <v>225</v>
      </c>
      <c r="AA5" s="21" t="n">
        <f aca="false">IFERROR(Y5/X5,"")</f>
        <v>0.0740740740740741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89</v>
      </c>
      <c r="Z6" s="15" t="n">
        <f aca="false">IF(X6=0,"",X6-Y6)</f>
        <v>149</v>
      </c>
      <c r="AA6" s="21" t="n">
        <f aca="false">IFERROR(Y6/X6,"")</f>
        <v>0.373949579831933</v>
      </c>
      <c r="AB6" s="15" t="n">
        <v>0</v>
      </c>
      <c r="AC6" s="22" t="n">
        <f aca="false">AB6*(1+$L$3)</f>
        <v>0</v>
      </c>
      <c r="AD6" s="20" t="n">
        <v>20</v>
      </c>
      <c r="AE6" s="23" t="n">
        <f aca="false">AC6-AD6</f>
        <v>-20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150</v>
      </c>
      <c r="Z7" s="15" t="n">
        <f aca="false">IF(X7=0,"",X7-Y7)</f>
        <v>10</v>
      </c>
      <c r="AA7" s="21" t="n">
        <f aca="false">IFERROR(Y7/X7,"")</f>
        <v>0.9375</v>
      </c>
      <c r="AB7" s="15" t="n">
        <v>10</v>
      </c>
      <c r="AC7" s="22" t="n">
        <f aca="false">AB7*(1+$L$3)</f>
        <v>11.2</v>
      </c>
      <c r="AD7" s="20" t="n">
        <v>10</v>
      </c>
      <c r="AE7" s="23" t="n">
        <f aca="false">AC7-AD7</f>
        <v>1.2</v>
      </c>
      <c r="AF7" s="21" t="n">
        <f aca="false">IFERROR(AD7/AC7,"")</f>
        <v>0.892857142857143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16</v>
      </c>
      <c r="Z8" s="15" t="n">
        <f aca="false">IF(X8=0,"",X8-Y8)</f>
        <v>136</v>
      </c>
      <c r="AA8" s="21" t="n">
        <f aca="false">IFERROR(Y8/X8,"")</f>
        <v>0.105263157894737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111</v>
      </c>
      <c r="Z9" s="15" t="n">
        <f aca="false">IF(X9=0,"",X9-Y9)</f>
        <v>34</v>
      </c>
      <c r="AA9" s="21" t="n">
        <f aca="false">IFERROR(Y9/X9,"")</f>
        <v>0.76551724137931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25</v>
      </c>
      <c r="Z10" s="15" t="n">
        <f aca="false">IF(X10=0,"",X10-Y10)</f>
        <v>93</v>
      </c>
      <c r="AA10" s="21" t="n">
        <f aca="false">IFERROR(Y10/X10,"")</f>
        <v>0.211864406779661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18</v>
      </c>
      <c r="Z11" s="15" t="n">
        <f aca="false">IF(X11=0,"",X11-Y11)</f>
        <v>70</v>
      </c>
      <c r="AA11" s="21" t="n">
        <f aca="false">IFERROR(Y11/X11,"")</f>
        <v>0.204545454545455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24</v>
      </c>
      <c r="Z13" s="15" t="n">
        <f aca="false">IF(X13=0,"",X13-Y13)</f>
        <v>56</v>
      </c>
      <c r="AA13" s="21" t="n">
        <f aca="false">IFERROR(Y13/X13,"")</f>
        <v>0.3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19</v>
      </c>
      <c r="Z14" s="15" t="n">
        <f aca="false">IF(X14=0,"",X14-Y14)</f>
        <v>53</v>
      </c>
      <c r="AA14" s="21" t="n">
        <f aca="false">IFERROR(Y14/X14,"")</f>
        <v>0.263888888888889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25</v>
      </c>
      <c r="Z15" s="15" t="n">
        <f aca="false">IF(X15=0,"",X15-Y15)</f>
        <v>43</v>
      </c>
      <c r="AA15" s="21" t="n">
        <f aca="false">IFERROR(Y15/X15,"")</f>
        <v>0.367647058823529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14</v>
      </c>
      <c r="Z16" s="15" t="n">
        <f aca="false">IF(X16=0,"",X16-Y16)</f>
        <v>53</v>
      </c>
      <c r="AA16" s="21" t="n">
        <f aca="false">IFERROR(Y16/X16,"")</f>
        <v>0.208955223880597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19</v>
      </c>
      <c r="Z17" s="15" t="n">
        <f aca="false">IF(X17=0,"",X17-Y17)</f>
        <v>41</v>
      </c>
      <c r="AA17" s="21" t="n">
        <f aca="false">IFERROR(Y17/X17,"")</f>
        <v>0.316666666666667</v>
      </c>
      <c r="AB17" s="15" t="n">
        <v>13</v>
      </c>
      <c r="AC17" s="22" t="n">
        <f aca="false">AB17*(1+$L$3)</f>
        <v>14.56</v>
      </c>
      <c r="AD17" s="20" t="n">
        <v>7</v>
      </c>
      <c r="AE17" s="23" t="n">
        <f aca="false">AC17-AD17</f>
        <v>7.56</v>
      </c>
      <c r="AF17" s="21" t="n">
        <f aca="false">IFERROR(AD17/AC17,"")</f>
        <v>0.480769230769231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16</v>
      </c>
      <c r="Z18" s="15" t="n">
        <f aca="false">IF(X18=0,"",X18-Y18)</f>
        <v>41</v>
      </c>
      <c r="AA18" s="21" t="n">
        <f aca="false">IFERROR(Y18/X18,"")</f>
        <v>0.280701754385965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13</v>
      </c>
      <c r="Z19" s="15" t="n">
        <f aca="false">IF(X19=0,"",X19-Y19)</f>
        <v>41</v>
      </c>
      <c r="AA19" s="21" t="n">
        <f aca="false">IFERROR(Y19/X19,"")</f>
        <v>0.240740740740741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5</v>
      </c>
      <c r="Z20" s="15" t="n">
        <f aca="false">IF(X20=0,"",X20-Y20)</f>
        <v>47</v>
      </c>
      <c r="AA20" s="21" t="n">
        <f aca="false">IFERROR(Y20/X20,"")</f>
        <v>0.0961538461538462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16</v>
      </c>
      <c r="Z21" s="15" t="n">
        <f aca="false">IF(X21=0,"",X21-Y21)</f>
        <v>35</v>
      </c>
      <c r="AA21" s="21" t="n">
        <f aca="false">IFERROR(Y21/X21,"")</f>
        <v>0.313725490196078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6</v>
      </c>
      <c r="Z22" s="15" t="n">
        <f aca="false">IF(X22=0,"",X22-Y22)</f>
        <v>44</v>
      </c>
      <c r="AA22" s="21" t="n">
        <f aca="false">IFERROR(Y22/X22,"")</f>
        <v>0.12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8</v>
      </c>
      <c r="Z23" s="15" t="n">
        <f aca="false">IF(X23=0,"",X23-Y23)</f>
        <v>33</v>
      </c>
      <c r="AA23" s="21" t="n">
        <f aca="false">IFERROR(Y23/X23,"")</f>
        <v>0.195121951219512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14</v>
      </c>
      <c r="Z24" s="15" t="n">
        <f aca="false">IF(X24=0,"",X24-Y24)</f>
        <v>26</v>
      </c>
      <c r="AA24" s="21" t="n">
        <f aca="false">IFERROR(Y24/X24,"")</f>
        <v>0.35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10</v>
      </c>
      <c r="Z25" s="15" t="n">
        <f aca="false">IF(X25=0,"",X25-Y25)</f>
        <v>25</v>
      </c>
      <c r="AA25" s="21" t="n">
        <f aca="false">IFERROR(Y25/X25,"")</f>
        <v>0.285714285714286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1</v>
      </c>
      <c r="Z26" s="15" t="n">
        <f aca="false">IF(X26=0,"",X26-Y26)</f>
        <v>29</v>
      </c>
      <c r="AA26" s="21" t="n">
        <f aca="false">IFERROR(Y26/X26,"")</f>
        <v>0.0333333333333333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14</v>
      </c>
      <c r="Z27" s="15" t="n">
        <f aca="false">IF(X27=0,"",X27-Y27)</f>
        <v>15</v>
      </c>
      <c r="AA27" s="21" t="n">
        <f aca="false">IFERROR(Y27/X27,"")</f>
        <v>0.482758620689655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14</v>
      </c>
      <c r="Z28" s="15" t="n">
        <f aca="false">IF(X28=0,"",X28-Y28)</f>
        <v>14</v>
      </c>
      <c r="AA28" s="21" t="n">
        <f aca="false">IFERROR(Y28/X28,"")</f>
        <v>0.5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5</v>
      </c>
      <c r="Z29" s="15" t="n">
        <f aca="false">IF(X29=0,"",X29-Y29)</f>
        <v>21</v>
      </c>
      <c r="AA29" s="21" t="n">
        <f aca="false">IFERROR(Y29/X29,"")</f>
        <v>0.192307692307692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13</v>
      </c>
      <c r="Z30" s="15" t="n">
        <f aca="false">IF(X30=0,"",X30-Y30)</f>
        <v>13</v>
      </c>
      <c r="AA30" s="21" t="n">
        <f aca="false">IFERROR(Y30/X30,"")</f>
        <v>0.5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9</v>
      </c>
      <c r="Z31" s="15" t="n">
        <f aca="false">IF(X31=0,"",X31-Y31)</f>
        <v>15</v>
      </c>
      <c r="AA31" s="21" t="n">
        <f aca="false">IFERROR(Y31/X31,"")</f>
        <v>0.375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/>
      <c r="Z32" s="15" t="n">
        <f aca="false">IF(X32=0,"",X32-Y32)</f>
        <v>24</v>
      </c>
      <c r="AA32" s="21" t="n">
        <f aca="false">IFERROR(Y32/X32,"")</f>
        <v>0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22</v>
      </c>
      <c r="Z33" s="15" t="n">
        <f aca="false">IF(X33=0,"",X33-Y33)</f>
        <v>1</v>
      </c>
      <c r="AA33" s="21" t="n">
        <f aca="false">IFERROR(Y33/X33,"")</f>
        <v>0.956521739130435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 t="n">
        <v>1</v>
      </c>
      <c r="Z35" s="15" t="n">
        <f aca="false">IF(X35=0,"",X35-Y35)</f>
        <v>20</v>
      </c>
      <c r="AA35" s="21" t="n">
        <f aca="false">IFERROR(Y35/X35,"")</f>
        <v>0.0476190476190476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2</v>
      </c>
      <c r="Z37" s="15" t="n">
        <f aca="false">IF(X37=0,"",X37-Y37)</f>
        <v>15</v>
      </c>
      <c r="AA37" s="21" t="n">
        <f aca="false">IFERROR(Y37/X37,"")</f>
        <v>0.117647058823529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 t="n">
        <v>15</v>
      </c>
      <c r="Z38" s="15" t="n">
        <f aca="false">IF(X38=0,"",X38-Y38)</f>
        <v>1</v>
      </c>
      <c r="AA38" s="21" t="n">
        <f aca="false">IFERROR(Y38/X38,"")</f>
        <v>0.9375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1</v>
      </c>
      <c r="Z39" s="15" t="n">
        <f aca="false">IF(X39=0,"",X39-Y39)</f>
        <v>15</v>
      </c>
      <c r="AA39" s="21" t="n">
        <f aca="false">IFERROR(Y39/X39,"")</f>
        <v>0.0625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17</v>
      </c>
      <c r="Z40" s="15" t="n">
        <f aca="false">IF(X40=0,"",X40-Y40)</f>
        <v>-1</v>
      </c>
      <c r="AA40" s="21" t="n">
        <f aca="false">IFERROR(Y40/X40,"")</f>
        <v>1.0625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5</v>
      </c>
      <c r="Z41" s="15" t="n">
        <f aca="false">IF(X41=0,"",X41-Y41)</f>
        <v>11</v>
      </c>
      <c r="AA41" s="21" t="n">
        <f aca="false">IFERROR(Y41/X41,"")</f>
        <v>0.3125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 t="n">
        <v>5</v>
      </c>
      <c r="Z42" s="15" t="n">
        <f aca="false">IF(X42=0,"",X42-Y42)</f>
        <v>10</v>
      </c>
      <c r="AA42" s="21" t="n">
        <f aca="false">IFERROR(Y42/X42,"")</f>
        <v>0.333333333333333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5</v>
      </c>
      <c r="Z43" s="15" t="n">
        <f aca="false">IF(X43=0,"",X43-Y43)</f>
        <v>10</v>
      </c>
      <c r="AA43" s="21" t="n">
        <f aca="false">IFERROR(Y43/X43,"")</f>
        <v>0.333333333333333</v>
      </c>
      <c r="AB43" s="15" t="n">
        <v>13</v>
      </c>
      <c r="AC43" s="22" t="n">
        <f aca="false">AB43*(1+$L$3)</f>
        <v>14.56</v>
      </c>
      <c r="AD43" s="20" t="n">
        <v>5</v>
      </c>
      <c r="AE43" s="23" t="n">
        <f aca="false">AC43-AD43</f>
        <v>9.56</v>
      </c>
      <c r="AF43" s="21" t="n">
        <f aca="false">IFERROR(AD43/AC43,"")</f>
        <v>0.343406593406593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 t="n">
        <v>1</v>
      </c>
      <c r="Z44" s="15" t="n">
        <f aca="false">IF(X44=0,"",X44-Y44)</f>
        <v>12</v>
      </c>
      <c r="AA44" s="21" t="n">
        <f aca="false">IFERROR(Y44/X44,"")</f>
        <v>0.0769230769230769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5</v>
      </c>
      <c r="Z45" s="15" t="n">
        <f aca="false">IF(X45=0,"",X45-Y45)</f>
        <v>8</v>
      </c>
      <c r="AA45" s="21" t="n">
        <f aca="false">IFERROR(Y45/X45,"")</f>
        <v>0.384615384615385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4</v>
      </c>
      <c r="Z46" s="15" t="n">
        <f aca="false">IF(X46=0,"",X46-Y46)</f>
        <v>9</v>
      </c>
      <c r="AA46" s="21" t="n">
        <f aca="false">IFERROR(Y46/X46,"")</f>
        <v>0.307692307692308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2</v>
      </c>
      <c r="Z47" s="15" t="n">
        <f aca="false">IF(X47=0,"",X47-Y47)</f>
        <v>11</v>
      </c>
      <c r="AA47" s="21" t="n">
        <f aca="false">IFERROR(Y47/X47,"")</f>
        <v>0.153846153846154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8</v>
      </c>
      <c r="Z48" s="15" t="n">
        <f aca="false">IF(X48=0,"",X48-Y48)</f>
        <v>4</v>
      </c>
      <c r="AA48" s="21" t="n">
        <f aca="false">IFERROR(Y48/X48,"")</f>
        <v>0.666666666666667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47</v>
      </c>
      <c r="Z49" s="15" t="n">
        <f aca="false">IF(X49=0,"",X49-Y49)</f>
        <v>-35</v>
      </c>
      <c r="AA49" s="21" t="n">
        <f aca="false">IFERROR(Y49/X49,"")</f>
        <v>3.91666666666667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3</v>
      </c>
      <c r="Z50" s="15" t="n">
        <f aca="false">IF(X50=0,"",X50-Y50)</f>
        <v>8</v>
      </c>
      <c r="AA50" s="21" t="n">
        <f aca="false">IFERROR(Y50/X50,"")</f>
        <v>0.272727272727273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11</v>
      </c>
      <c r="Z51" s="15" t="n">
        <f aca="false">IF(X51=0,"",X51-Y51)</f>
        <v>0</v>
      </c>
      <c r="AA51" s="21" t="n">
        <f aca="false">IFERROR(Y51/X51,"")</f>
        <v>1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 t="n">
        <v>1</v>
      </c>
      <c r="Z54" s="15" t="n">
        <f aca="false">IF(X54=0,"",X54-Y54)</f>
        <v>9</v>
      </c>
      <c r="AA54" s="21" t="n">
        <f aca="false">IFERROR(Y54/X54,"")</f>
        <v>0.1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2</v>
      </c>
      <c r="Z55" s="15" t="n">
        <f aca="false">IF(X55=0,"",X55-Y55)</f>
        <v>8</v>
      </c>
      <c r="AA55" s="21" t="n">
        <f aca="false">IFERROR(Y55/X55,"")</f>
        <v>0.2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 t="n">
        <v>7</v>
      </c>
      <c r="Z56" s="15" t="n">
        <f aca="false">IF(X56=0,"",X56-Y56)</f>
        <v>2</v>
      </c>
      <c r="AA56" s="21" t="n">
        <f aca="false">IFERROR(Y56/X56,"")</f>
        <v>0.777777777777778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7</v>
      </c>
      <c r="Z57" s="15" t="n">
        <f aca="false">IF(X57=0,"",X57-Y57)</f>
        <v>2</v>
      </c>
      <c r="AA57" s="21" t="n">
        <f aca="false">IFERROR(Y57/X57,"")</f>
        <v>0.777777777777778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3</v>
      </c>
      <c r="Z58" s="15" t="n">
        <f aca="false">IF(X58=0,"",X58-Y58)</f>
        <v>6</v>
      </c>
      <c r="AA58" s="21" t="n">
        <f aca="false">IFERROR(Y58/X58,"")</f>
        <v>0.333333333333333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 t="n">
        <v>2</v>
      </c>
      <c r="Z59" s="15" t="n">
        <f aca="false">IF(X59=0,"",X59-Y59)</f>
        <v>7</v>
      </c>
      <c r="AA59" s="21" t="n">
        <f aca="false">IFERROR(Y59/X59,"")</f>
        <v>0.222222222222222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3</v>
      </c>
      <c r="Z60" s="15" t="n">
        <f aca="false">IF(X60=0,"",X60-Y60)</f>
        <v>5</v>
      </c>
      <c r="AA60" s="21" t="n">
        <f aca="false">IFERROR(Y60/X60,"")</f>
        <v>0.375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4</v>
      </c>
      <c r="Z62" s="15" t="n">
        <f aca="false">IF(X62=0,"",X62-Y62)</f>
        <v>4</v>
      </c>
      <c r="AA62" s="21" t="n">
        <f aca="false">IFERROR(Y62/X62,"")</f>
        <v>0.5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 t="n">
        <v>2</v>
      </c>
      <c r="Z66" s="15" t="n">
        <f aca="false">IF(X66=0,"",X66-Y66)</f>
        <v>6</v>
      </c>
      <c r="AA66" s="21" t="n">
        <f aca="false">IFERROR(Y66/X66,"")</f>
        <v>0.25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/>
      <c r="Z68" s="15" t="n">
        <f aca="false">IF(X68=0,"",X68-Y68)</f>
        <v>7</v>
      </c>
      <c r="AA68" s="21" t="n">
        <f aca="false">IFERROR(Y68/X68,"")</f>
        <v>0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1</v>
      </c>
      <c r="Z70" s="15" t="n">
        <f aca="false">IF(X70=0,"",X70-Y70)</f>
        <v>6</v>
      </c>
      <c r="AA70" s="21" t="n">
        <f aca="false">IFERROR(Y70/X70,"")</f>
        <v>0.142857142857143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/>
      <c r="Z72" s="15" t="n">
        <f aca="false">IF(X72=0,"",X72-Y72)</f>
        <v>7</v>
      </c>
      <c r="AA72" s="21" t="n">
        <f aca="false">IFERROR(Y72/X72,"")</f>
        <v>0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6</v>
      </c>
      <c r="Z73" s="15" t="n">
        <f aca="false">IF(X73=0,"",X73-Y73)</f>
        <v>1</v>
      </c>
      <c r="AA73" s="21" t="n">
        <f aca="false">IFERROR(Y73/X73,"")</f>
        <v>0.857142857142857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/>
      <c r="Z75" s="15" t="n">
        <f aca="false">IF(X75=0,"",X75-Y75)</f>
        <v>7</v>
      </c>
      <c r="AA75" s="21" t="n">
        <f aca="false">IFERROR(Y75/X75,"")</f>
        <v>0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 t="n">
        <v>1</v>
      </c>
      <c r="Z76" s="15" t="n">
        <f aca="false">IF(X76=0,"",X76-Y76)</f>
        <v>6</v>
      </c>
      <c r="AA76" s="21" t="n">
        <f aca="false">IFERROR(Y76/X76,"")</f>
        <v>0.142857142857143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3</v>
      </c>
      <c r="Z78" s="15" t="n">
        <f aca="false">IF(X78=0,"",X78-Y78)</f>
        <v>4</v>
      </c>
      <c r="AA78" s="21" t="n">
        <f aca="false">IFERROR(Y78/X78,"")</f>
        <v>0.428571428571429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/>
      <c r="Z79" s="15" t="n">
        <f aca="false">IF(X79=0,"",X79-Y79)</f>
        <v>7</v>
      </c>
      <c r="AA79" s="21" t="n">
        <f aca="false">IFERROR(Y79/X79,"")</f>
        <v>0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 t="n">
        <v>1</v>
      </c>
      <c r="Z80" s="15" t="n">
        <f aca="false">IF(X80=0,"",X80-Y80)</f>
        <v>6</v>
      </c>
      <c r="AA80" s="21" t="n">
        <f aca="false">IFERROR(Y80/X80,"")</f>
        <v>0.142857142857143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2</v>
      </c>
      <c r="Z81" s="15" t="n">
        <f aca="false">IF(X81=0,"",X81-Y81)</f>
        <v>5</v>
      </c>
      <c r="AA81" s="21" t="n">
        <f aca="false">IFERROR(Y81/X81,"")</f>
        <v>0.285714285714286</v>
      </c>
      <c r="AB81" s="15" t="n">
        <v>0</v>
      </c>
      <c r="AC81" s="22" t="n">
        <f aca="false">AB81*(1+$L$3)</f>
        <v>0</v>
      </c>
      <c r="AD81" s="20" t="n">
        <v>7</v>
      </c>
      <c r="AE81" s="23" t="n">
        <f aca="false">AC81-AD81</f>
        <v>-7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4</v>
      </c>
      <c r="Z82" s="15" t="n">
        <f aca="false">IF(X82=0,"",X82-Y82)</f>
        <v>3</v>
      </c>
      <c r="AA82" s="21" t="n">
        <f aca="false">IFERROR(Y82/X82,"")</f>
        <v>0.571428571428571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4</v>
      </c>
      <c r="Z83" s="15" t="n">
        <f aca="false">IF(X83=0,"",X83-Y83)</f>
        <v>3</v>
      </c>
      <c r="AA83" s="21" t="n">
        <f aca="false">IFERROR(Y83/X83,"")</f>
        <v>0.571428571428571</v>
      </c>
      <c r="AB83" s="15" t="n">
        <v>5</v>
      </c>
      <c r="AC83" s="22" t="n">
        <f aca="false">AB83*(1+$L$3)</f>
        <v>5.6</v>
      </c>
      <c r="AD83" s="20" t="n">
        <v>8</v>
      </c>
      <c r="AE83" s="23" t="n">
        <f aca="false">AC83-AD83</f>
        <v>-2.4</v>
      </c>
      <c r="AF83" s="21" t="n">
        <f aca="false">IFERROR(AD83/AC83,"")</f>
        <v>1.42857142857143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 t="n">
        <v>2</v>
      </c>
      <c r="Z84" s="15" t="n">
        <f aca="false">IF(X84=0,"",X84-Y84)</f>
        <v>4</v>
      </c>
      <c r="AA84" s="21" t="n">
        <f aca="false">IFERROR(Y84/X84,"")</f>
        <v>0.333333333333333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3</v>
      </c>
      <c r="Z85" s="15" t="n">
        <f aca="false">IF(X85=0,"",X85-Y85)</f>
        <v>3</v>
      </c>
      <c r="AA85" s="21" t="n">
        <f aca="false">IFERROR(Y85/X85,"")</f>
        <v>0.5</v>
      </c>
      <c r="AB85" s="15" t="n">
        <v>0</v>
      </c>
      <c r="AC85" s="22" t="n">
        <f aca="false">AB85*(1+$L$3)</f>
        <v>0</v>
      </c>
      <c r="AD85" s="20" t="n">
        <v>5</v>
      </c>
      <c r="AE85" s="23" t="n">
        <f aca="false">AC85-AD85</f>
        <v>-5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 t="n">
        <v>2</v>
      </c>
      <c r="Z86" s="15" t="n">
        <f aca="false">IF(X86=0,"",X86-Y86)</f>
        <v>4</v>
      </c>
      <c r="AA86" s="21" t="n">
        <f aca="false">IFERROR(Y86/X86,"")</f>
        <v>0.333333333333333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3</v>
      </c>
      <c r="Z87" s="15" t="n">
        <f aca="false">IF(X87=0,"",X87-Y87)</f>
        <v>3</v>
      </c>
      <c r="AA87" s="21" t="n">
        <f aca="false">IFERROR(Y87/X87,"")</f>
        <v>0.5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3</v>
      </c>
      <c r="Z88" s="15" t="n">
        <f aca="false">IF(X88=0,"",X88-Y88)</f>
        <v>3</v>
      </c>
      <c r="AA88" s="21" t="n">
        <f aca="false">IFERROR(Y88/X88,"")</f>
        <v>0.5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/>
      <c r="Z89" s="15" t="n">
        <f aca="false">IF(X89=0,"",X89-Y89)</f>
        <v>6</v>
      </c>
      <c r="AA89" s="21" t="n">
        <f aca="false">IFERROR(Y89/X89,"")</f>
        <v>0</v>
      </c>
      <c r="AB89" s="15" t="n">
        <v>2</v>
      </c>
      <c r="AC89" s="22" t="n">
        <f aca="false">AB89*(1+$L$3)</f>
        <v>2.24</v>
      </c>
      <c r="AD89" s="20" t="n">
        <v>1</v>
      </c>
      <c r="AE89" s="23" t="n">
        <f aca="false">AC89-AD89</f>
        <v>1.24</v>
      </c>
      <c r="AF89" s="21" t="n">
        <f aca="false">IFERROR(AD89/AC89,"")</f>
        <v>0.446428571428571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/>
      <c r="Z90" s="15" t="n">
        <f aca="false">IF(X90=0,"",X90-Y90)</f>
        <v>6</v>
      </c>
      <c r="AA90" s="21" t="n">
        <f aca="false">IFERROR(Y90/X90,"")</f>
        <v>0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/>
      <c r="Z91" s="15" t="n">
        <f aca="false">IF(X91=0,"",X91-Y91)</f>
        <v>6</v>
      </c>
      <c r="AA91" s="21" t="n">
        <f aca="false">IFERROR(Y91/X91,"")</f>
        <v>0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 t="n">
        <v>1</v>
      </c>
      <c r="Z92" s="15" t="n">
        <f aca="false">IF(X92=0,"",X92-Y92)</f>
        <v>5</v>
      </c>
      <c r="AA92" s="21" t="n">
        <f aca="false">IFERROR(Y92/X92,"")</f>
        <v>0.166666666666667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2</v>
      </c>
      <c r="Z93" s="15" t="n">
        <f aca="false">IF(X93=0,"",X93-Y93)</f>
        <v>4</v>
      </c>
      <c r="AA93" s="21" t="n">
        <f aca="false">IFERROR(Y93/X93,"")</f>
        <v>0.333333333333333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2</v>
      </c>
      <c r="Z94" s="15" t="n">
        <f aca="false">IF(X94=0,"",X94-Y94)</f>
        <v>4</v>
      </c>
      <c r="AA94" s="21" t="n">
        <f aca="false">IFERROR(Y94/X94,"")</f>
        <v>0.333333333333333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4</v>
      </c>
      <c r="Z96" s="15" t="n">
        <f aca="false">IF(X96=0,"",X96-Y96)</f>
        <v>2</v>
      </c>
      <c r="AA96" s="21" t="n">
        <f aca="false">IFERROR(Y96/X96,"")</f>
        <v>0.666666666666667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3</v>
      </c>
      <c r="Z97" s="15" t="n">
        <f aca="false">IF(X97=0,"",X97-Y97)</f>
        <v>3</v>
      </c>
      <c r="AA97" s="21" t="n">
        <f aca="false">IFERROR(Y97/X97,"")</f>
        <v>0.5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 t="n">
        <v>1</v>
      </c>
      <c r="Z98" s="15" t="n">
        <f aca="false">IF(X98=0,"",X98-Y98)</f>
        <v>5</v>
      </c>
      <c r="AA98" s="21" t="n">
        <f aca="false">IFERROR(Y98/X98,"")</f>
        <v>0.166666666666667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2</v>
      </c>
      <c r="Z99" s="15" t="n">
        <f aca="false">IF(X99=0,"",X99-Y99)</f>
        <v>4</v>
      </c>
      <c r="AA99" s="21" t="n">
        <f aca="false">IFERROR(Y99/X99,"")</f>
        <v>0.333333333333333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3</v>
      </c>
      <c r="Z100" s="15" t="n">
        <f aca="false">IF(X100=0,"",X100-Y100)</f>
        <v>3</v>
      </c>
      <c r="AA100" s="21" t="n">
        <f aca="false">IFERROR(Y100/X100,"")</f>
        <v>0.5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1</v>
      </c>
      <c r="Z104" s="15" t="n">
        <f aca="false">IF(X104=0,"",X104-Y104)</f>
        <v>4</v>
      </c>
      <c r="AA104" s="21" t="n">
        <f aca="false">IFERROR(Y104/X104,"")</f>
        <v>0.2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5</v>
      </c>
      <c r="Z105" s="15" t="n">
        <f aca="false">IF(X105=0,"",X105-Y105)</f>
        <v>0</v>
      </c>
      <c r="AA105" s="21" t="n">
        <f aca="false">IFERROR(Y105/X105,"")</f>
        <v>1</v>
      </c>
      <c r="AB105" s="15" t="n">
        <v>5</v>
      </c>
      <c r="AC105" s="22" t="n">
        <f aca="false">AB105*(1+$L$3)</f>
        <v>5.6</v>
      </c>
      <c r="AD105" s="20" t="n">
        <v>2</v>
      </c>
      <c r="AE105" s="23" t="n">
        <f aca="false">AC105-AD105</f>
        <v>3.6</v>
      </c>
      <c r="AF105" s="21" t="n">
        <f aca="false">IFERROR(AD105/AC105,"")</f>
        <v>0.357142857142857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1</v>
      </c>
      <c r="Z107" s="15" t="n">
        <f aca="false">IF(X107=0,"",X107-Y107)</f>
        <v>4</v>
      </c>
      <c r="AA107" s="21" t="n">
        <f aca="false">IFERROR(Y107/X107,"")</f>
        <v>0.2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5</v>
      </c>
      <c r="Z109" s="15" t="n">
        <f aca="false">IF(X109=0,"",X109-Y109)</f>
        <v>0</v>
      </c>
      <c r="AA109" s="21" t="n">
        <f aca="false">IFERROR(Y109/X109,"")</f>
        <v>1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2</v>
      </c>
      <c r="Z110" s="15" t="n">
        <f aca="false">IF(X110=0,"",X110-Y110)</f>
        <v>3</v>
      </c>
      <c r="AA110" s="21" t="n">
        <f aca="false">IFERROR(Y110/X110,"")</f>
        <v>0.4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2</v>
      </c>
      <c r="Z112" s="15" t="n">
        <f aca="false">IF(X112=0,"",X112-Y112)</f>
        <v>3</v>
      </c>
      <c r="AA112" s="21" t="n">
        <f aca="false">IFERROR(Y112/X112,"")</f>
        <v>0.4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8</v>
      </c>
      <c r="Z113" s="15" t="n">
        <f aca="false">IF(X113=0,"",X113-Y113)</f>
        <v>-3</v>
      </c>
      <c r="AA113" s="21" t="n">
        <f aca="false">IFERROR(Y113/X113,"")</f>
        <v>1.6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 t="n">
        <v>3</v>
      </c>
      <c r="Z114" s="15" t="n">
        <f aca="false">IF(X114=0,"",X114-Y114)</f>
        <v>2</v>
      </c>
      <c r="AA114" s="21" t="n">
        <f aca="false">IFERROR(Y114/X114,"")</f>
        <v>0.6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/>
      <c r="Z119" s="15" t="n">
        <f aca="false">IF(X119=0,"",X119-Y119)</f>
        <v>5</v>
      </c>
      <c r="AA119" s="21" t="n">
        <f aca="false">IFERROR(Y119/X119,"")</f>
        <v>0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 t="n">
        <v>2</v>
      </c>
      <c r="Z122" s="15" t="n">
        <f aca="false">IF(X122=0,"",X122-Y122)</f>
        <v>3</v>
      </c>
      <c r="AA122" s="21" t="n">
        <f aca="false">IFERROR(Y122/X122,"")</f>
        <v>0.4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 t="n">
        <v>2</v>
      </c>
      <c r="Z123" s="15" t="n">
        <f aca="false">IF(X123=0,"",X123-Y123)</f>
        <v>3</v>
      </c>
      <c r="AA123" s="21" t="n">
        <f aca="false">IFERROR(Y123/X123,"")</f>
        <v>0.4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3</v>
      </c>
      <c r="Z126" s="15" t="n">
        <f aca="false">IF(X126=0,"",X126-Y126)</f>
        <v>2</v>
      </c>
      <c r="AA126" s="21" t="n">
        <f aca="false">IFERROR(Y126/X126,"")</f>
        <v>0.6</v>
      </c>
      <c r="AB126" s="15" t="n">
        <v>16</v>
      </c>
      <c r="AC126" s="22" t="n">
        <f aca="false">AB126*(1+$L$3)</f>
        <v>17.92</v>
      </c>
      <c r="AD126" s="20" t="n">
        <v>2</v>
      </c>
      <c r="AE126" s="23" t="n">
        <f aca="false">AC126-AD126</f>
        <v>15.92</v>
      </c>
      <c r="AF126" s="21" t="n">
        <f aca="false">IFERROR(AD126/AC126,"")</f>
        <v>0.111607142857143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 t="n">
        <v>1</v>
      </c>
      <c r="Z127" s="15" t="n">
        <f aca="false">IF(X127=0,"",X127-Y127)</f>
        <v>4</v>
      </c>
      <c r="AA127" s="21" t="n">
        <f aca="false">IFERROR(Y127/X127,"")</f>
        <v>0.2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/>
      <c r="Z129" s="15" t="n">
        <f aca="false">IF(X129=0,"",X129-Y129)</f>
        <v>4</v>
      </c>
      <c r="AA129" s="21" t="n">
        <f aca="false">IFERROR(Y129/X129,"")</f>
        <v>0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3</v>
      </c>
      <c r="Z131" s="15" t="n">
        <f aca="false">IF(X131=0,"",X131-Y131)</f>
        <v>1</v>
      </c>
      <c r="AA131" s="21" t="n">
        <f aca="false">IFERROR(Y131/X131,"")</f>
        <v>0.75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 t="n">
        <v>1</v>
      </c>
      <c r="Z133" s="15" t="n">
        <f aca="false">IF(X133=0,"",X133-Y133)</f>
        <v>3</v>
      </c>
      <c r="AA133" s="21" t="n">
        <f aca="false">IFERROR(Y133/X133,"")</f>
        <v>0.25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/>
      <c r="Z136" s="15" t="n">
        <f aca="false">IF(X136=0,"",X136-Y136)</f>
        <v>4</v>
      </c>
      <c r="AA136" s="21" t="n">
        <f aca="false">IFERROR(Y136/X136,"")</f>
        <v>0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 t="n">
        <v>1</v>
      </c>
      <c r="Z138" s="15" t="n">
        <f aca="false">IF(X138=0,"",X138-Y138)</f>
        <v>3</v>
      </c>
      <c r="AA138" s="21" t="n">
        <f aca="false">IFERROR(Y138/X138,"")</f>
        <v>0.25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/>
      <c r="Z139" s="15" t="n">
        <f aca="false">IF(X139=0,"",X139-Y139)</f>
        <v>4</v>
      </c>
      <c r="AA139" s="21" t="n">
        <f aca="false">IFERROR(Y139/X139,"")</f>
        <v>0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9</v>
      </c>
      <c r="Z140" s="15" t="n">
        <f aca="false">IF(X140=0,"",X140-Y140)</f>
        <v>-5</v>
      </c>
      <c r="AA140" s="21" t="n">
        <f aca="false">IFERROR(Y140/X140,"")</f>
        <v>2.25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/>
      <c r="Z141" s="15" t="n">
        <f aca="false">IF(X141=0,"",X141-Y141)</f>
        <v>4</v>
      </c>
      <c r="AA141" s="21" t="n">
        <f aca="false">IFERROR(Y141/X141,"")</f>
        <v>0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 t="n">
        <v>1</v>
      </c>
      <c r="Z145" s="15" t="n">
        <f aca="false">IF(X145=0,"",X145-Y145)</f>
        <v>3</v>
      </c>
      <c r="AA145" s="21" t="n">
        <f aca="false">IFERROR(Y145/X145,"")</f>
        <v>0.25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3</v>
      </c>
      <c r="Z146" s="15" t="n">
        <f aca="false">IF(X146=0,"",X146-Y146)</f>
        <v>1</v>
      </c>
      <c r="AA146" s="21" t="n">
        <f aca="false">IFERROR(Y146/X146,"")</f>
        <v>0.75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1</v>
      </c>
      <c r="Z149" s="15" t="n">
        <f aca="false">IF(X149=0,"",X149-Y149)</f>
        <v>3</v>
      </c>
      <c r="AA149" s="21" t="n">
        <f aca="false">IFERROR(Y149/X149,"")</f>
        <v>0.25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2</v>
      </c>
      <c r="Z153" s="15" t="n">
        <f aca="false">IF(X153=0,"",X153-Y153)</f>
        <v>2</v>
      </c>
      <c r="AA153" s="21" t="n">
        <f aca="false">IFERROR(Y153/X153,"")</f>
        <v>0.5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/>
      <c r="Z155" s="15" t="n">
        <f aca="false">IF(X155=0,"",X155-Y155)</f>
        <v>4</v>
      </c>
      <c r="AA155" s="21" t="n">
        <f aca="false">IFERROR(Y155/X155,"")</f>
        <v>0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12</v>
      </c>
      <c r="Z156" s="15" t="n">
        <f aca="false">IF(X156=0,"",X156-Y156)</f>
        <v>-8</v>
      </c>
      <c r="AA156" s="21" t="n">
        <f aca="false">IFERROR(Y156/X156,"")</f>
        <v>3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2</v>
      </c>
      <c r="Z162" s="15" t="n">
        <f aca="false">IF(X162=0,"",X162-Y162)</f>
        <v>1</v>
      </c>
      <c r="AA162" s="21" t="n">
        <f aca="false">IFERROR(Y162/X162,"")</f>
        <v>0.666666666666667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 t="n">
        <v>1</v>
      </c>
      <c r="Z163" s="15" t="n">
        <f aca="false">IF(X163=0,"",X163-Y163)</f>
        <v>2</v>
      </c>
      <c r="AA163" s="21" t="n">
        <f aca="false">IFERROR(Y163/X163,"")</f>
        <v>0.333333333333333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3</v>
      </c>
      <c r="Z164" s="15" t="n">
        <f aca="false">IF(X164=0,"",X164-Y164)</f>
        <v>0</v>
      </c>
      <c r="AA164" s="21" t="n">
        <f aca="false">IFERROR(Y164/X164,"")</f>
        <v>1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3</v>
      </c>
      <c r="Z165" s="15" t="n">
        <f aca="false">IF(X165=0,"",X165-Y165)</f>
        <v>0</v>
      </c>
      <c r="AA165" s="21" t="n">
        <f aca="false">IFERROR(Y165/X165,"")</f>
        <v>1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/>
      <c r="Z166" s="15" t="n">
        <f aca="false">IF(X166=0,"",X166-Y166)</f>
        <v>3</v>
      </c>
      <c r="AA166" s="21" t="n">
        <f aca="false">IFERROR(Y166/X166,"")</f>
        <v>0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 t="n">
        <v>2</v>
      </c>
      <c r="Z168" s="15" t="n">
        <f aca="false">IF(X168=0,"",X168-Y168)</f>
        <v>1</v>
      </c>
      <c r="AA168" s="21" t="n">
        <f aca="false">IFERROR(Y168/X168,"")</f>
        <v>0.666666666666667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2</v>
      </c>
      <c r="Z170" s="15" t="n">
        <f aca="false">IF(X170=0,"",X170-Y170)</f>
        <v>1</v>
      </c>
      <c r="AA170" s="21" t="n">
        <f aca="false">IFERROR(Y170/X170,"")</f>
        <v>0.666666666666667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 t="n">
        <v>3</v>
      </c>
      <c r="Z174" s="15" t="n">
        <f aca="false">IF(X174=0,"",X174-Y174)</f>
        <v>0</v>
      </c>
      <c r="AA174" s="21" t="n">
        <f aca="false">IFERROR(Y174/X174,"")</f>
        <v>1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1</v>
      </c>
      <c r="Z175" s="15" t="n">
        <f aca="false">IF(X175=0,"",X175-Y175)</f>
        <v>2</v>
      </c>
      <c r="AA175" s="21" t="n">
        <f aca="false">IFERROR(Y175/X175,"")</f>
        <v>0.333333333333333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/>
      <c r="Z176" s="15" t="n">
        <f aca="false">IF(X176=0,"",X176-Y176)</f>
        <v>3</v>
      </c>
      <c r="AA176" s="21" t="n">
        <f aca="false">IFERROR(Y176/X176,"")</f>
        <v>0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3</v>
      </c>
      <c r="Z179" s="15" t="n">
        <f aca="false">IF(X179=0,"",X179-Y179)</f>
        <v>0</v>
      </c>
      <c r="AA179" s="21" t="n">
        <f aca="false">IFERROR(Y179/X179,"")</f>
        <v>1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/>
      <c r="Z182" s="15" t="n">
        <f aca="false">IF(X182=0,"",X182-Y182)</f>
        <v>3</v>
      </c>
      <c r="AA182" s="21" t="n">
        <f aca="false">IFERROR(Y182/X182,"")</f>
        <v>0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1</v>
      </c>
      <c r="Z184" s="15" t="n">
        <f aca="false">IF(X184=0,"",X184-Y184)</f>
        <v>2</v>
      </c>
      <c r="AA184" s="21" t="n">
        <f aca="false">IFERROR(Y184/X184,"")</f>
        <v>0.333333333333333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/>
      <c r="Z187" s="15" t="n">
        <f aca="false">IF(X187=0,"",X187-Y187)</f>
        <v>3</v>
      </c>
      <c r="AA187" s="21" t="n">
        <f aca="false">IFERROR(Y187/X187,"")</f>
        <v>0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/>
      <c r="Z188" s="15" t="n">
        <f aca="false">IF(X188=0,"",X188-Y188)</f>
        <v>3</v>
      </c>
      <c r="AA188" s="21" t="n">
        <f aca="false">IFERROR(Y188/X188,"")</f>
        <v>0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 t="n">
        <v>1</v>
      </c>
      <c r="Z193" s="15" t="n">
        <f aca="false">IF(X193=0,"",X193-Y193)</f>
        <v>1</v>
      </c>
      <c r="AA193" s="21" t="n">
        <f aca="false">IFERROR(Y193/X193,"")</f>
        <v>0.5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 t="n">
        <v>2</v>
      </c>
      <c r="Z196" s="15" t="n">
        <f aca="false">IF(X196=0,"",X196-Y196)</f>
        <v>0</v>
      </c>
      <c r="AA196" s="21" t="n">
        <f aca="false">IFERROR(Y196/X196,"")</f>
        <v>1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 t="n">
        <v>1</v>
      </c>
      <c r="Z198" s="15" t="n">
        <f aca="false">IF(X198=0,"",X198-Y198)</f>
        <v>1</v>
      </c>
      <c r="AA198" s="21" t="n">
        <f aca="false">IFERROR(Y198/X198,"")</f>
        <v>0.5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 t="n">
        <v>1</v>
      </c>
      <c r="Z202" s="15" t="n">
        <f aca="false">IF(X202=0,"",X202-Y202)</f>
        <v>1</v>
      </c>
      <c r="AA202" s="21" t="n">
        <f aca="false">IFERROR(Y202/X202,"")</f>
        <v>0.5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1</v>
      </c>
      <c r="Z203" s="15" t="n">
        <f aca="false">IF(X203=0,"",X203-Y203)</f>
        <v>1</v>
      </c>
      <c r="AA203" s="21" t="n">
        <f aca="false">IFERROR(Y203/X203,"")</f>
        <v>0.5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/>
      <c r="Z204" s="15" t="n">
        <f aca="false">IF(X204=0,"",X204-Y204)</f>
        <v>2</v>
      </c>
      <c r="AA204" s="21" t="n">
        <f aca="false">IFERROR(Y204/X204,"")</f>
        <v>0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 t="n">
        <v>1</v>
      </c>
      <c r="Z205" s="15" t="n">
        <f aca="false">IF(X205=0,"",X205-Y205)</f>
        <v>1</v>
      </c>
      <c r="AA205" s="21" t="n">
        <f aca="false">IFERROR(Y205/X205,"")</f>
        <v>0.5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 t="n">
        <v>1</v>
      </c>
      <c r="Z209" s="15" t="n">
        <f aca="false">IF(X209=0,"",X209-Y209)</f>
        <v>1</v>
      </c>
      <c r="AA209" s="21" t="n">
        <f aca="false">IFERROR(Y209/X209,"")</f>
        <v>0.5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 t="n">
        <v>2</v>
      </c>
      <c r="Z216" s="15" t="n">
        <f aca="false">IF(X216=0,"",X216-Y216)</f>
        <v>0</v>
      </c>
      <c r="AA216" s="21" t="n">
        <f aca="false">IFERROR(Y216/X216,"")</f>
        <v>1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2</v>
      </c>
      <c r="Z218" s="15" t="n">
        <f aca="false">IF(X218=0,"",X218-Y218)</f>
        <v>0</v>
      </c>
      <c r="AA218" s="21" t="n">
        <f aca="false">IFERROR(Y218/X218,"")</f>
        <v>1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/>
      <c r="Z236" s="15" t="n">
        <f aca="false">IF(X236=0,"",X236-Y236)</f>
        <v>2</v>
      </c>
      <c r="AA236" s="21" t="n">
        <f aca="false">IFERROR(Y236/X236,"")</f>
        <v>0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/>
      <c r="Z237" s="15" t="n">
        <f aca="false">IF(X237=0,"",X237-Y237)</f>
        <v>2</v>
      </c>
      <c r="AA237" s="21" t="n">
        <f aca="false">IFERROR(Y237/X237,"")</f>
        <v>0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1</v>
      </c>
      <c r="Z239" s="15" t="n">
        <f aca="false">IF(X239=0,"",X239-Y239)</f>
        <v>1</v>
      </c>
      <c r="AA239" s="21" t="n">
        <f aca="false">IFERROR(Y239/X239,"")</f>
        <v>0.5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/>
      <c r="Z240" s="15" t="n">
        <f aca="false">IF(X240=0,"",X240-Y240)</f>
        <v>2</v>
      </c>
      <c r="AA240" s="21" t="n">
        <f aca="false">IFERROR(Y240/X240,"")</f>
        <v>0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2</v>
      </c>
      <c r="Z244" s="15" t="n">
        <f aca="false">IF(X244=0,"",X244-Y244)</f>
        <v>0</v>
      </c>
      <c r="AA244" s="21" t="n">
        <f aca="false">IFERROR(Y244/X244,"")</f>
        <v>1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2</v>
      </c>
      <c r="Z246" s="15" t="n">
        <f aca="false">IF(X246=0,"",X246-Y246)</f>
        <v>0</v>
      </c>
      <c r="AA246" s="21" t="n">
        <f aca="false">IFERROR(Y246/X246,"")</f>
        <v>1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2</v>
      </c>
      <c r="Z247" s="15" t="n">
        <f aca="false">IF(X247=0,"",X247-Y247)</f>
        <v>0</v>
      </c>
      <c r="AA247" s="21" t="n">
        <f aca="false">IFERROR(Y247/X247,"")</f>
        <v>1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3</v>
      </c>
      <c r="Z249" s="15" t="n">
        <f aca="false">IF(X249=0,"",X249-Y249)</f>
        <v>-1</v>
      </c>
      <c r="AA249" s="21" t="n">
        <f aca="false">IFERROR(Y249/X249,"")</f>
        <v>1.5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 t="n">
        <v>1</v>
      </c>
      <c r="Z262" s="15" t="n">
        <f aca="false">IF(X262=0,"",X262-Y262)</f>
        <v>1</v>
      </c>
      <c r="AA262" s="21" t="n">
        <f aca="false">IFERROR(Y262/X262,"")</f>
        <v>0.5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 t="n">
        <v>2</v>
      </c>
      <c r="Z263" s="15" t="n">
        <f aca="false">IF(X263=0,"",X263-Y263)</f>
        <v>0</v>
      </c>
      <c r="AA263" s="21" t="n">
        <f aca="false">IFERROR(Y263/X263,"")</f>
        <v>1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 t="n">
        <v>1</v>
      </c>
      <c r="Z264" s="15" t="n">
        <f aca="false">IF(X264=0,"",X264-Y264)</f>
        <v>1</v>
      </c>
      <c r="AA264" s="21" t="n">
        <f aca="false">IFERROR(Y264/X264,"")</f>
        <v>0.5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 t="n">
        <v>1</v>
      </c>
      <c r="Z267" s="15" t="n">
        <f aca="false">IF(X267=0,"",X267-Y267)</f>
        <v>1</v>
      </c>
      <c r="AA267" s="21" t="n">
        <f aca="false">IFERROR(Y267/X267,"")</f>
        <v>0.5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 t="n">
        <v>2</v>
      </c>
      <c r="Z276" s="15" t="n">
        <f aca="false">IF(X276=0,"",X276-Y276)</f>
        <v>0</v>
      </c>
      <c r="AA276" s="21" t="n">
        <f aca="false">IFERROR(Y276/X276,"")</f>
        <v>1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 t="n">
        <v>1</v>
      </c>
      <c r="Z277" s="15" t="n">
        <f aca="false">IF(X277=0,"",X277-Y277)</f>
        <v>1</v>
      </c>
      <c r="AA277" s="21" t="n">
        <f aca="false">IFERROR(Y277/X277,"")</f>
        <v>0.5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/>
      <c r="Z280" s="15" t="n">
        <f aca="false">IF(X280=0,"",X280-Y280)</f>
        <v>2</v>
      </c>
      <c r="AA280" s="21" t="n">
        <f aca="false">IFERROR(Y280/X280,"")</f>
        <v>0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 t="n">
        <v>1</v>
      </c>
      <c r="Z281" s="15" t="n">
        <f aca="false">IF(X281=0,"",X281-Y281)</f>
        <v>1</v>
      </c>
      <c r="AA281" s="21" t="n">
        <f aca="false">IFERROR(Y281/X281,"")</f>
        <v>0.5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 t="n">
        <v>2</v>
      </c>
      <c r="Z283" s="15" t="n">
        <f aca="false">IF(X283=0,"",X283-Y283)</f>
        <v>0</v>
      </c>
      <c r="AA283" s="21" t="n">
        <f aca="false">IFERROR(Y283/X283,"")</f>
        <v>1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 t="n">
        <v>1</v>
      </c>
      <c r="Z290" s="15" t="n">
        <f aca="false">IF(X290=0,"",X290-Y290)</f>
        <v>1</v>
      </c>
      <c r="AA290" s="21" t="n">
        <f aca="false">IFERROR(Y290/X290,"")</f>
        <v>0.5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2</v>
      </c>
      <c r="Z291" s="15" t="n">
        <f aca="false">IF(X291=0,"",X291-Y291)</f>
        <v>0</v>
      </c>
      <c r="AA291" s="21" t="n">
        <f aca="false">IFERROR(Y291/X291,"")</f>
        <v>1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 t="n">
        <v>1</v>
      </c>
      <c r="Z292" s="15" t="n">
        <f aca="false">IF(X292=0,"",X292-Y292)</f>
        <v>0</v>
      </c>
      <c r="AA292" s="21" t="n">
        <f aca="false">IFERROR(Y292/X292,"")</f>
        <v>1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/>
      <c r="Z300" s="15" t="n">
        <f aca="false">IF(X300=0,"",X300-Y300)</f>
        <v>1</v>
      </c>
      <c r="AA300" s="21" t="n">
        <f aca="false">IFERROR(Y300/X300,"")</f>
        <v>0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 t="n">
        <v>2</v>
      </c>
      <c r="Z302" s="15" t="n">
        <f aca="false">IF(X302=0,"",X302-Y302)</f>
        <v>-1</v>
      </c>
      <c r="AA302" s="21" t="n">
        <f aca="false">IFERROR(Y302/X302,"")</f>
        <v>2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 t="n">
        <v>14</v>
      </c>
      <c r="Z308" s="15" t="n">
        <f aca="false">IF(X308=0,"",X308-Y308)</f>
        <v>-13</v>
      </c>
      <c r="AA308" s="21" t="n">
        <f aca="false">IFERROR(Y308/X308,"")</f>
        <v>14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/>
      <c r="Z316" s="15" t="n">
        <f aca="false">IF(X316=0,"",X316-Y316)</f>
        <v>1</v>
      </c>
      <c r="AA316" s="21" t="n">
        <f aca="false">IFERROR(Y316/X316,"")</f>
        <v>0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 t="n">
        <v>1</v>
      </c>
      <c r="Z318" s="15" t="n">
        <f aca="false">IF(X318=0,"",X318-Y318)</f>
        <v>0</v>
      </c>
      <c r="AA318" s="21" t="n">
        <f aca="false">IFERROR(Y318/X318,"")</f>
        <v>1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 t="n">
        <v>1</v>
      </c>
      <c r="Z326" s="15" t="n">
        <f aca="false">IF(X326=0,"",X326-Y326)</f>
        <v>0</v>
      </c>
      <c r="AA326" s="21" t="n">
        <f aca="false">IFERROR(Y326/X326,"")</f>
        <v>1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 t="n">
        <v>1</v>
      </c>
      <c r="Z327" s="15" t="n">
        <f aca="false">IF(X327=0,"",X327-Y327)</f>
        <v>0</v>
      </c>
      <c r="AA327" s="21" t="n">
        <f aca="false">IFERROR(Y327/X327,"")</f>
        <v>1</v>
      </c>
      <c r="AB327" s="15" t="n">
        <v>0</v>
      </c>
      <c r="AC327" s="22" t="n">
        <f aca="false">AB327*(1+$L$3)</f>
        <v>0</v>
      </c>
      <c r="AD327" s="20" t="n">
        <v>2</v>
      </c>
      <c r="AE327" s="23" t="n">
        <f aca="false">AC327-AD327</f>
        <v>-2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/>
      <c r="Z332" s="15" t="n">
        <f aca="false">IF(X332=0,"",X332-Y332)</f>
        <v>1</v>
      </c>
      <c r="AA332" s="21" t="n">
        <f aca="false">IFERROR(Y332/X332,"")</f>
        <v>0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2</v>
      </c>
      <c r="Z337" s="15" t="n">
        <f aca="false">IF(X337=0,"",X337-Y337)</f>
        <v>-1</v>
      </c>
      <c r="AA337" s="21" t="n">
        <f aca="false">IFERROR(Y337/X337,"")</f>
        <v>2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 t="n">
        <v>1</v>
      </c>
      <c r="Z345" s="15" t="n">
        <f aca="false">IF(X345=0,"",X345-Y345)</f>
        <v>0</v>
      </c>
      <c r="AA345" s="21" t="n">
        <f aca="false">IFERROR(Y345/X345,"")</f>
        <v>1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 t="n">
        <v>1</v>
      </c>
      <c r="Z355" s="15" t="n">
        <f aca="false">IF(X355=0,"",X355-Y355)</f>
        <v>0</v>
      </c>
      <c r="AA355" s="21" t="n">
        <f aca="false">IFERROR(Y355/X355,"")</f>
        <v>1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/>
      <c r="Z358" s="15" t="n">
        <f aca="false">IF(X358=0,"",X358-Y358)</f>
        <v>1</v>
      </c>
      <c r="AA358" s="21" t="n">
        <f aca="false">IFERROR(Y358/X358,"")</f>
        <v>0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 t="n">
        <v>1</v>
      </c>
      <c r="Z362" s="15" t="n">
        <f aca="false">IF(X362=0,"",X362-Y362)</f>
        <v>0</v>
      </c>
      <c r="AA362" s="21" t="n">
        <f aca="false">IFERROR(Y362/X362,"")</f>
        <v>1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2</v>
      </c>
      <c r="Z369" s="15" t="n">
        <f aca="false">IF(X369=0,"",X369-Y369)</f>
        <v>-1</v>
      </c>
      <c r="AA369" s="21" t="n">
        <f aca="false">IFERROR(Y369/X369,"")</f>
        <v>2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 t="n">
        <v>1</v>
      </c>
      <c r="Z372" s="15" t="n">
        <f aca="false">IF(X372=0,"",X372-Y372)</f>
        <v>0</v>
      </c>
      <c r="AA372" s="21" t="n">
        <f aca="false">IFERROR(Y372/X372,"")</f>
        <v>1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4</v>
      </c>
      <c r="Z381" s="15" t="n">
        <f aca="false">IF(X381=0,"",X381-Y381)</f>
        <v>-3</v>
      </c>
      <c r="AA381" s="21" t="n">
        <f aca="false">IFERROR(Y381/X381,"")</f>
        <v>4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3</v>
      </c>
      <c r="Z386" s="15" t="n">
        <f aca="false">IF(X386=0,"",X386-Y386)</f>
        <v>-2</v>
      </c>
      <c r="AA386" s="21" t="n">
        <f aca="false">IFERROR(Y386/X386,"")</f>
        <v>3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/>
      <c r="Z411" s="15" t="n">
        <f aca="false">IF(X411=0,"",X411-Y411)</f>
        <v>1</v>
      </c>
      <c r="AA411" s="21" t="n">
        <f aca="false">IFERROR(Y411/X411,"")</f>
        <v>0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/>
      <c r="Z418" s="15" t="n">
        <f aca="false">IF(X418=0,"",X418-Y418)</f>
        <v>1</v>
      </c>
      <c r="AA418" s="21" t="n">
        <f aca="false">IFERROR(Y418/X418,"")</f>
        <v>0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 t="n">
        <v>2</v>
      </c>
      <c r="Z427" s="15" t="n">
        <f aca="false">IF(X427=0,"",X427-Y427)</f>
        <v>-1</v>
      </c>
      <c r="AA427" s="21" t="n">
        <f aca="false">IFERROR(Y427/X427,"")</f>
        <v>2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/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 t="n">
        <v>1</v>
      </c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 t="n">
        <v>6</v>
      </c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 t="n">
        <v>6</v>
      </c>
      <c r="AE532" s="23" t="n">
        <f aca="false">AC532-AD532</f>
        <v>-6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 t="n">
        <v>25</v>
      </c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 t="n">
        <v>30</v>
      </c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2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 t="n">
        <v>4</v>
      </c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/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/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 t="n">
        <v>1</v>
      </c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 t="n">
        <v>1</v>
      </c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1028</v>
      </c>
      <c r="Z1000" s="25" t="n">
        <f aca="false">X1000-Y1000</f>
        <v>1732</v>
      </c>
      <c r="AA1000" s="27" t="n">
        <f aca="false">IFERROR(Y1000/X1000,"")</f>
        <v>0.372463768115942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316</v>
      </c>
      <c r="Z1001" s="29" t="n">
        <f aca="false">X1001-Y1001</f>
        <v>412</v>
      </c>
      <c r="AA1001" s="31" t="n">
        <f aca="false">IFERROR(Y1001/X1001,"")</f>
        <v>0.434065934065934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1344</v>
      </c>
      <c r="Z1002" s="33" t="n">
        <f aca="false">X1002-Y1002</f>
        <v>2144</v>
      </c>
      <c r="AA1002" s="35" t="n">
        <f aca="false">IFERROR(Y1002/X1002,"")</f>
        <v>0.385321100917431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102</v>
      </c>
      <c r="AE1002" s="36" t="n">
        <f aca="false">AC1002-AD1002</f>
        <v>104.08</v>
      </c>
      <c r="AF1002" s="35" t="n">
        <f aca="false">IFERROR(AD1002/AC1002,"")</f>
        <v>0.494953416149068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1367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676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0.494513533284565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1933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0.414242424242424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12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19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113.916666666667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3531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1933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101.736842105263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ON PACE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676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3380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1746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8730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12222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3492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1352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3" t="n">
        <f aca="false">IFERROR(H50/$D$5,"")</f>
        <v>0.192424242424242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 t="n">
        <v>25</v>
      </c>
      <c r="C51" s="20" t="n">
        <v>29</v>
      </c>
      <c r="D51" s="20" t="n">
        <v>0</v>
      </c>
      <c r="E51" s="20" t="n">
        <v>69</v>
      </c>
      <c r="F51" s="19" t="n">
        <f aca="false">IF(COUNT(B51:E51)=0,"",SUM(B51:E51))</f>
        <v>123</v>
      </c>
      <c r="G51" s="15" t="n">
        <f aca="false">IF(COUNT(B51:D51)=0,"",SUM(B51:D51))</f>
        <v>54</v>
      </c>
      <c r="H51" s="19" t="n">
        <f aca="false">IF(COUNT($B$45:$E51)=0,"",SUM($F$45:F51))</f>
        <v>758</v>
      </c>
      <c r="I51" s="15" t="n">
        <f aca="false">IF(COUNT($B$45:$D51)=0,"",SUM($G$45:G51))</f>
        <v>437</v>
      </c>
      <c r="J51" s="53" t="n">
        <f aca="false">IFERROR(H51/$D$5,"")</f>
        <v>0.22969696969697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 t="n">
        <v>8</v>
      </c>
      <c r="C52" s="20" t="n">
        <v>39</v>
      </c>
      <c r="D52" s="20" t="n">
        <v>0</v>
      </c>
      <c r="E52" s="20" t="n">
        <v>26</v>
      </c>
      <c r="F52" s="19" t="n">
        <f aca="false">IF(COUNT(B52:E52)=0,"",SUM(B52:E52))</f>
        <v>73</v>
      </c>
      <c r="G52" s="15" t="n">
        <f aca="false">IF(COUNT(B52:D52)=0,"",SUM(B52:D52))</f>
        <v>47</v>
      </c>
      <c r="H52" s="19" t="n">
        <f aca="false">IF(COUNT($B$45:$E52)=0,"",SUM($F$45:F52))</f>
        <v>831</v>
      </c>
      <c r="I52" s="15" t="n">
        <f aca="false">IF(COUNT($B$45:$D52)=0,"",SUM($G$45:G52))</f>
        <v>484</v>
      </c>
      <c r="J52" s="53" t="n">
        <f aca="false">IFERROR(H52/$D$5,"")</f>
        <v>0.251818181818182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 t="n">
        <v>3</v>
      </c>
      <c r="C53" s="20" t="n">
        <v>31</v>
      </c>
      <c r="D53" s="20" t="n">
        <v>1</v>
      </c>
      <c r="E53" s="20" t="n">
        <v>81</v>
      </c>
      <c r="F53" s="19" t="n">
        <f aca="false">IF(COUNT(B53:E53)=0,"",SUM(B53:E53))</f>
        <v>116</v>
      </c>
      <c r="G53" s="15" t="n">
        <f aca="false">IF(COUNT(B53:D53)=0,"",SUM(B53:D53))</f>
        <v>35</v>
      </c>
      <c r="H53" s="19" t="n">
        <f aca="false">IF(COUNT($B$45:$E53)=0,"",SUM($F$45:F53))</f>
        <v>947</v>
      </c>
      <c r="I53" s="15" t="n">
        <f aca="false">IF(COUNT($B$45:$D53)=0,"",SUM($G$45:G53))</f>
        <v>519</v>
      </c>
      <c r="J53" s="53" t="n">
        <f aca="false">IFERROR(H53/$D$5,"")</f>
        <v>0.286969696969697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 t="n">
        <v>25</v>
      </c>
      <c r="C54" s="20" t="n">
        <v>33</v>
      </c>
      <c r="D54" s="20" t="n">
        <v>1</v>
      </c>
      <c r="E54" s="20" t="n">
        <v>120</v>
      </c>
      <c r="F54" s="19" t="n">
        <f aca="false">IF(COUNT(B54:E54)=0,"",SUM(B54:E54))</f>
        <v>179</v>
      </c>
      <c r="G54" s="15" t="n">
        <f aca="false">IF(COUNT(B54:D54)=0,"",SUM(B54:D54))</f>
        <v>59</v>
      </c>
      <c r="H54" s="19" t="n">
        <f aca="false">IF(COUNT($B$45:$E54)=0,"",SUM($F$45:F54))</f>
        <v>1126</v>
      </c>
      <c r="I54" s="15" t="n">
        <f aca="false">IF(COUNT($B$45:$D54)=0,"",SUM($G$45:G54))</f>
        <v>578</v>
      </c>
      <c r="J54" s="53" t="n">
        <f aca="false">IFERROR(H54/$D$5,"")</f>
        <v>0.341212121212121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 t="n">
        <v>9</v>
      </c>
      <c r="C55" s="20" t="n">
        <v>50</v>
      </c>
      <c r="D55" s="20" t="n">
        <v>1</v>
      </c>
      <c r="E55" s="20" t="n">
        <v>57</v>
      </c>
      <c r="F55" s="19" t="n">
        <f aca="false">IF(COUNT(B55:E55)=0,"",SUM(B55:E55))</f>
        <v>117</v>
      </c>
      <c r="G55" s="15" t="n">
        <f aca="false">IF(COUNT(B55:D55)=0,"",SUM(B55:D55))</f>
        <v>60</v>
      </c>
      <c r="H55" s="19" t="n">
        <f aca="false">IF(COUNT($B$45:$E55)=0,"",SUM($F$45:F55))</f>
        <v>1243</v>
      </c>
      <c r="I55" s="15" t="n">
        <f aca="false">IF(COUNT($B$45:$D55)=0,"",SUM($G$45:G55))</f>
        <v>638</v>
      </c>
      <c r="J55" s="53" t="n">
        <f aca="false">IFERROR(H55/$D$5,"")</f>
        <v>0.376666666666667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 t="n">
        <v>11</v>
      </c>
      <c r="C56" s="20" t="n">
        <v>26</v>
      </c>
      <c r="D56" s="20" t="n">
        <v>1</v>
      </c>
      <c r="E56" s="20" t="n">
        <v>86</v>
      </c>
      <c r="F56" s="19" t="n">
        <f aca="false">IF(COUNT(B56:E56)=0,"",SUM(B56:E56))</f>
        <v>124</v>
      </c>
      <c r="G56" s="15" t="n">
        <f aca="false">IF(COUNT(B56:D56)=0,"",SUM(B56:D56))</f>
        <v>38</v>
      </c>
      <c r="H56" s="19" t="n">
        <f aca="false">IF(COUNT($B$45:$E56)=0,"",SUM($F$45:F56))</f>
        <v>1367</v>
      </c>
      <c r="I56" s="15" t="n">
        <f aca="false">IF(COUNT($B$45:$D56)=0,"",SUM($G$45:G56))</f>
        <v>676</v>
      </c>
      <c r="J56" s="53" t="n">
        <f aca="false">IFERROR(H56/$D$5,"")</f>
        <v>0.414242424242424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/>
      <c r="C57" s="20"/>
      <c r="D57" s="20"/>
      <c r="E57" s="20"/>
      <c r="F57" s="19" t="str">
        <f aca="false">IF(COUNT(B57:E57)=0,"",SUM(B57:E57))</f>
        <v/>
      </c>
      <c r="G57" s="15" t="str">
        <f aca="false">IF(COUNT(B57:D57)=0,"",SUM(B57:D57))</f>
        <v/>
      </c>
      <c r="H57" s="19" t="n">
        <f aca="false">IF(COUNT($B$45:$E57)=0,"",SUM($F$45:F57))</f>
        <v>1367</v>
      </c>
      <c r="I57" s="15" t="n">
        <f aca="false">IF(COUNT($B$45:$D57)=0,"",SUM($G$45:G57))</f>
        <v>676</v>
      </c>
      <c r="J57" s="53" t="n">
        <f aca="false">IFERROR(H57/$D$5,"")</f>
        <v>0.414242424242424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/>
      <c r="C58" s="20"/>
      <c r="D58" s="20"/>
      <c r="E58" s="20"/>
      <c r="F58" s="19" t="str">
        <f aca="false">IF(COUNT(B58:E58)=0,"",SUM(B58:E58))</f>
        <v/>
      </c>
      <c r="G58" s="15" t="str">
        <f aca="false">IF(COUNT(B58:D58)=0,"",SUM(B58:D58))</f>
        <v/>
      </c>
      <c r="H58" s="19" t="n">
        <f aca="false">IF(COUNT($B$45:$E58)=0,"",SUM($F$45:F58))</f>
        <v>1367</v>
      </c>
      <c r="I58" s="15" t="n">
        <f aca="false">IF(COUNT($B$45:$D58)=0,"",SUM($G$45:G58))</f>
        <v>676</v>
      </c>
      <c r="J58" s="53" t="n">
        <f aca="false">IFERROR(H58/$D$5,"")</f>
        <v>0.414242424242424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/>
      <c r="C59" s="20"/>
      <c r="D59" s="20"/>
      <c r="E59" s="20"/>
      <c r="F59" s="19" t="str">
        <f aca="false">IF(COUNT(B59:E59)=0,"",SUM(B59:E59))</f>
        <v/>
      </c>
      <c r="G59" s="15" t="str">
        <f aca="false">IF(COUNT(B59:D59)=0,"",SUM(B59:D59))</f>
        <v/>
      </c>
      <c r="H59" s="19" t="n">
        <f aca="false">IF(COUNT($B$45:$E59)=0,"",SUM($F$45:F59))</f>
        <v>1367</v>
      </c>
      <c r="I59" s="15" t="n">
        <f aca="false">IF(COUNT($B$45:$D59)=0,"",SUM($G$45:G59))</f>
        <v>676</v>
      </c>
      <c r="J59" s="53" t="n">
        <f aca="false">IFERROR(H59/$D$5,"")</f>
        <v>0.414242424242424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/>
      <c r="C60" s="20"/>
      <c r="D60" s="20"/>
      <c r="E60" s="20"/>
      <c r="F60" s="19" t="str">
        <f aca="false">IF(COUNT(B60:E60)=0,"",SUM(B60:E60))</f>
        <v/>
      </c>
      <c r="G60" s="15" t="str">
        <f aca="false">IF(COUNT(B60:D60)=0,"",SUM(B60:D60))</f>
        <v/>
      </c>
      <c r="H60" s="19" t="n">
        <f aca="false">IF(COUNT($B$45:$E60)=0,"",SUM($F$45:F60))</f>
        <v>1367</v>
      </c>
      <c r="I60" s="15" t="n">
        <f aca="false">IF(COUNT($B$45:$D60)=0,"",SUM($G$45:G60))</f>
        <v>676</v>
      </c>
      <c r="J60" s="53" t="n">
        <f aca="false">IFERROR(H60/$D$5,"")</f>
        <v>0.414242424242424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/>
      <c r="C61" s="20"/>
      <c r="D61" s="20"/>
      <c r="E61" s="20"/>
      <c r="F61" s="19" t="str">
        <f aca="false">IF(COUNT(B61:E61)=0,"",SUM(B61:E61))</f>
        <v/>
      </c>
      <c r="G61" s="15" t="str">
        <f aca="false">IF(COUNT(B61:D61)=0,"",SUM(B61:D61))</f>
        <v/>
      </c>
      <c r="H61" s="19" t="n">
        <f aca="false">IF(COUNT($B$45:$E61)=0,"",SUM($F$45:F61))</f>
        <v>1367</v>
      </c>
      <c r="I61" s="15" t="n">
        <f aca="false">IF(COUNT($B$45:$D61)=0,"",SUM($G$45:G61))</f>
        <v>676</v>
      </c>
      <c r="J61" s="53" t="n">
        <f aca="false">IFERROR(H61/$D$5,"")</f>
        <v>0.414242424242424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1367</v>
      </c>
      <c r="I62" s="15" t="n">
        <f aca="false">IF(COUNT($B$45:$D62)=0,"",SUM($G$45:G62))</f>
        <v>676</v>
      </c>
      <c r="J62" s="53" t="n">
        <f aca="false">IFERROR(H62/$D$5,"")</f>
        <v>0.414242424242424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1367</v>
      </c>
      <c r="I63" s="15" t="n">
        <f aca="false">IF(COUNT($B$45:$D63)=0,"",SUM($G$45:G63))</f>
        <v>676</v>
      </c>
      <c r="J63" s="53" t="n">
        <f aca="false">IFERROR(H63/$D$5,"")</f>
        <v>0.414242424242424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1367</v>
      </c>
      <c r="I64" s="15" t="n">
        <f aca="false">IF(COUNT($B$45:$D64)=0,"",SUM($G$45:G64))</f>
        <v>676</v>
      </c>
      <c r="J64" s="53" t="n">
        <f aca="false">IFERROR(H64/$D$5,"")</f>
        <v>0.414242424242424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1367</v>
      </c>
      <c r="I65" s="15" t="n">
        <f aca="false">IF(COUNT($B$45:$D65)=0,"",SUM($G$45:G65))</f>
        <v>676</v>
      </c>
      <c r="J65" s="53" t="n">
        <f aca="false">IFERROR(H65/$D$5,"")</f>
        <v>0.414242424242424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1367</v>
      </c>
      <c r="I66" s="15" t="n">
        <f aca="false">IF(COUNT($B$45:$D66)=0,"",SUM($G$45:G66))</f>
        <v>676</v>
      </c>
      <c r="J66" s="53" t="n">
        <f aca="false">IFERROR(H66/$D$5,"")</f>
        <v>0.414242424242424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1367</v>
      </c>
      <c r="I67" s="15" t="n">
        <f aca="false">IF(COUNT($B$45:$D67)=0,"",SUM($G$45:G67))</f>
        <v>676</v>
      </c>
      <c r="J67" s="53" t="n">
        <f aca="false">IFERROR(H67/$D$5,"")</f>
        <v>0.414242424242424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1367</v>
      </c>
      <c r="I68" s="15" t="n">
        <f aca="false">IF(COUNT($B$45:$D68)=0,"",SUM($G$45:G68))</f>
        <v>676</v>
      </c>
      <c r="J68" s="53" t="n">
        <f aca="false">IFERROR(H68/$D$5,"")</f>
        <v>0.414242424242424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1367</v>
      </c>
      <c r="I69" s="15" t="n">
        <f aca="false">IF(COUNT($B$45:$D69)=0,"",SUM($G$45:G69))</f>
        <v>676</v>
      </c>
      <c r="J69" s="53" t="n">
        <f aca="false">IFERROR(H69/$D$5,"")</f>
        <v>0.414242424242424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1367</v>
      </c>
      <c r="I70" s="15" t="n">
        <f aca="false">IF(COUNT($B$45:$D70)=0,"",SUM($G$45:G70))</f>
        <v>676</v>
      </c>
      <c r="J70" s="53" t="n">
        <f aca="false">IFERROR(H70/$D$5,"")</f>
        <v>0.414242424242424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1367</v>
      </c>
      <c r="I71" s="15" t="n">
        <f aca="false">IF(COUNT($B$45:$D71)=0,"",SUM($G$45:G71))</f>
        <v>676</v>
      </c>
      <c r="J71" s="53" t="n">
        <f aca="false">IFERROR(H71/$D$5,"")</f>
        <v>0.414242424242424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1367</v>
      </c>
      <c r="I72" s="15" t="n">
        <f aca="false">IF(COUNT($B$45:$D72)=0,"",SUM($G$45:G72))</f>
        <v>676</v>
      </c>
      <c r="J72" s="53" t="n">
        <f aca="false">IFERROR(H72/$D$5,"")</f>
        <v>0.414242424242424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1367</v>
      </c>
      <c r="I73" s="15" t="n">
        <f aca="false">IF(COUNT($B$45:$D73)=0,"",SUM($G$45:G73))</f>
        <v>676</v>
      </c>
      <c r="J73" s="53" t="n">
        <f aca="false">IFERROR(H73/$D$5,"")</f>
        <v>0.414242424242424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1367</v>
      </c>
      <c r="I74" s="15" t="n">
        <f aca="false">IF(COUNT($B$45:$D74)=0,"",SUM($G$45:G74))</f>
        <v>676</v>
      </c>
      <c r="J74" s="53" t="n">
        <f aca="false">IFERROR(H74/$D$5,"")</f>
        <v>0.414242424242424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1367</v>
      </c>
      <c r="I75" s="15" t="n">
        <f aca="false">IF(COUNT($B$45:$D75)=0,"",SUM($G$45:G75))</f>
        <v>676</v>
      </c>
      <c r="J75" s="53" t="n">
        <f aca="false">IFERROR(H75/$D$5,"")</f>
        <v>0.414242424242424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284</v>
      </c>
      <c r="C76" s="56" t="n">
        <f aca="false">SUM(C45:C75)</f>
        <v>383</v>
      </c>
      <c r="D76" s="56" t="n">
        <f aca="false">SUM(D45:D75)</f>
        <v>9</v>
      </c>
      <c r="E76" s="56" t="n">
        <f aca="false">SUM(E45:E75)</f>
        <v>691</v>
      </c>
      <c r="F76" s="56" t="n">
        <f aca="false">SUM(F45:F75)</f>
        <v>1367</v>
      </c>
      <c r="G76" s="56" t="n">
        <f aca="false">SUM(G45:G75)</f>
        <v>676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2026-08-13T20:22:13Z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