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<sst xmlns="http://schemas.openxmlformats.org/spreadsheetml/2006/main" count="13023" uniqueCount="9717">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</sst>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0.805512422360248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36</v>
      </c>
      <c r="Z5" s="16" t="n">
        <f aca="false">IF(X5=0,"",X5-Y5)</f>
        <v>207</v>
      </c>
      <c r="AA5" s="22" t="n">
        <f aca="false">IFERROR(Y5/X5,"")</f>
        <v>0.148148148148148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156</v>
      </c>
      <c r="Z6" s="16" t="n">
        <f aca="false">IF(X6=0,"",X6-Y6)</f>
        <v>82</v>
      </c>
      <c r="AA6" s="22" t="n">
        <f aca="false">IFERROR(Y6/X6,"")</f>
        <v>0.65546218487395</v>
      </c>
      <c r="AB6" s="16" t="n">
        <v>0</v>
      </c>
      <c r="AC6" s="21" t="n">
        <v>20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229</v>
      </c>
      <c r="Z7" s="16" t="n">
        <f aca="false">IF(X7=0,"",X7-Y7)</f>
        <v>-69</v>
      </c>
      <c r="AA7" s="22" t="n">
        <f aca="false">IFERROR(Y7/X7,"")</f>
        <v>1.43125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34</v>
      </c>
      <c r="Z8" s="16" t="n">
        <f aca="false">IF(X8=0,"",X8-Y8)</f>
        <v>118</v>
      </c>
      <c r="AA8" s="22" t="n">
        <f aca="false">IFERROR(Y8/X8,"")</f>
        <v>0.223684210526316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190</v>
      </c>
      <c r="Z9" s="16" t="n">
        <f aca="false">IF(X9=0,"",X9-Y9)</f>
        <v>-45</v>
      </c>
      <c r="AA9" s="22" t="n">
        <f aca="false">IFERROR(Y9/X9,"")</f>
        <v>1.31034482758621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39</v>
      </c>
      <c r="Z10" s="16" t="n">
        <f aca="false">IF(X10=0,"",X10-Y10)</f>
        <v>79</v>
      </c>
      <c r="AA10" s="22" t="n">
        <f aca="false">IFERROR(Y10/X10,"")</f>
        <v>0.330508474576271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22</v>
      </c>
      <c r="Z11" s="16" t="n">
        <f aca="false">IF(X11=0,"",X11-Y11)</f>
        <v>66</v>
      </c>
      <c r="AA11" s="22" t="n">
        <f aca="false">IFERROR(Y11/X11,"")</f>
        <v>0.25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37</v>
      </c>
      <c r="Z13" s="16" t="n">
        <f aca="false">IF(X13=0,"",X13-Y13)</f>
        <v>43</v>
      </c>
      <c r="AA13" s="22" t="n">
        <f aca="false">IFERROR(Y13/X13,"")</f>
        <v>0.4625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41</v>
      </c>
      <c r="Z14" s="16" t="n">
        <f aca="false">IF(X14=0,"",X14-Y14)</f>
        <v>31</v>
      </c>
      <c r="AA14" s="22" t="n">
        <f aca="false">IFERROR(Y14/X14,"")</f>
        <v>0.569444444444444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45</v>
      </c>
      <c r="Z15" s="16" t="n">
        <f aca="false">IF(X15=0,"",X15-Y15)</f>
        <v>23</v>
      </c>
      <c r="AA15" s="22" t="n">
        <f aca="false">IFERROR(Y15/X15,"")</f>
        <v>0.661764705882353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16</v>
      </c>
      <c r="Z16" s="16" t="n">
        <f aca="false">IF(X16=0,"",X16-Y16)</f>
        <v>51</v>
      </c>
      <c r="AA16" s="22" t="n">
        <f aca="false">IFERROR(Y16/X16,"")</f>
        <v>0.238805970149254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30</v>
      </c>
      <c r="Z17" s="16" t="n">
        <f aca="false">IF(X17=0,"",X17-Y17)</f>
        <v>30</v>
      </c>
      <c r="AA17" s="22" t="n">
        <f aca="false">IFERROR(Y17/X17,"")</f>
        <v>0.5</v>
      </c>
      <c r="AB17" s="16" t="n">
        <v>13</v>
      </c>
      <c r="AC17" s="21" t="n">
        <v>7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27</v>
      </c>
      <c r="Z18" s="16" t="n">
        <f aca="false">IF(X18=0,"",X18-Y18)</f>
        <v>30</v>
      </c>
      <c r="AA18" s="22" t="n">
        <f aca="false">IFERROR(Y18/X18,"")</f>
        <v>0.473684210526316</v>
      </c>
      <c r="AB18" s="16" t="n">
        <v>13</v>
      </c>
      <c r="AC18" s="21"/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23</v>
      </c>
      <c r="Z19" s="16" t="n">
        <f aca="false">IF(X19=0,"",X19-Y19)</f>
        <v>31</v>
      </c>
      <c r="AA19" s="22" t="n">
        <f aca="false">IFERROR(Y19/X19,"")</f>
        <v>0.425925925925926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10</v>
      </c>
      <c r="Z20" s="16" t="n">
        <f aca="false">IF(X20=0,"",X20-Y20)</f>
        <v>42</v>
      </c>
      <c r="AA20" s="22" t="n">
        <f aca="false">IFERROR(Y20/X20,"")</f>
        <v>0.192307692307692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25</v>
      </c>
      <c r="Z21" s="16" t="n">
        <f aca="false">IF(X21=0,"",X21-Y21)</f>
        <v>26</v>
      </c>
      <c r="AA21" s="22" t="n">
        <f aca="false">IFERROR(Y21/X21,"")</f>
        <v>0.490196078431373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16</v>
      </c>
      <c r="Z22" s="16" t="n">
        <f aca="false">IF(X22=0,"",X22-Y22)</f>
        <v>34</v>
      </c>
      <c r="AA22" s="22" t="n">
        <f aca="false">IFERROR(Y22/X22,"")</f>
        <v>0.32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8</v>
      </c>
      <c r="Z23" s="16" t="n">
        <f aca="false">IF(X23=0,"",X23-Y23)</f>
        <v>33</v>
      </c>
      <c r="AA23" s="22" t="n">
        <f aca="false">IFERROR(Y23/X23,"")</f>
        <v>0.195121951219512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19</v>
      </c>
      <c r="Z24" s="16" t="n">
        <f aca="false">IF(X24=0,"",X24-Y24)</f>
        <v>21</v>
      </c>
      <c r="AA24" s="22" t="n">
        <f aca="false">IFERROR(Y24/X24,"")</f>
        <v>0.475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17</v>
      </c>
      <c r="Z25" s="16" t="n">
        <f aca="false">IF(X25=0,"",X25-Y25)</f>
        <v>18</v>
      </c>
      <c r="AA25" s="22" t="n">
        <f aca="false">IFERROR(Y25/X25,"")</f>
        <v>0.485714285714286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3</v>
      </c>
      <c r="Z26" s="16" t="n">
        <f aca="false">IF(X26=0,"",X26-Y26)</f>
        <v>27</v>
      </c>
      <c r="AA26" s="22" t="n">
        <f aca="false">IFERROR(Y26/X26,"")</f>
        <v>0.1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22</v>
      </c>
      <c r="Z27" s="16" t="n">
        <f aca="false">IF(X27=0,"",X27-Y27)</f>
        <v>7</v>
      </c>
      <c r="AA27" s="22" t="n">
        <f aca="false">IFERROR(Y27/X27,"")</f>
        <v>0.758620689655172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22</v>
      </c>
      <c r="Z28" s="16" t="n">
        <f aca="false">IF(X28=0,"",X28-Y28)</f>
        <v>6</v>
      </c>
      <c r="AA28" s="22" t="n">
        <f aca="false">IFERROR(Y28/X28,"")</f>
        <v>0.785714285714286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9</v>
      </c>
      <c r="Z29" s="16" t="n">
        <f aca="false">IF(X29=0,"",X29-Y29)</f>
        <v>17</v>
      </c>
      <c r="AA29" s="22" t="n">
        <f aca="false">IFERROR(Y29/X29,"")</f>
        <v>0.346153846153846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17</v>
      </c>
      <c r="Z30" s="16" t="n">
        <f aca="false">IF(X30=0,"",X30-Y30)</f>
        <v>9</v>
      </c>
      <c r="AA30" s="22" t="n">
        <f aca="false">IFERROR(Y30/X30,"")</f>
        <v>0.653846153846154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10</v>
      </c>
      <c r="Z31" s="16" t="n">
        <f aca="false">IF(X31=0,"",X31-Y31)</f>
        <v>14</v>
      </c>
      <c r="AA31" s="22" t="n">
        <f aca="false">IFERROR(Y31/X31,"")</f>
        <v>0.416666666666667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28</v>
      </c>
      <c r="Z33" s="16" t="n">
        <f aca="false">IF(X33=0,"",X33-Y33)</f>
        <v>-5</v>
      </c>
      <c r="AA33" s="22" t="n">
        <f aca="false">IFERROR(Y33/X33,"")</f>
        <v>1.21739130434783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2</v>
      </c>
      <c r="Z34" s="16" t="n">
        <f aca="false">IF(X34=0,"",X34-Y34)</f>
        <v>21</v>
      </c>
      <c r="AA34" s="22" t="n">
        <f aca="false">IFERROR(Y34/X34,"")</f>
        <v>0.0869565217391304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3</v>
      </c>
      <c r="Z37" s="16" t="n">
        <f aca="false">IF(X37=0,"",X37-Y37)</f>
        <v>14</v>
      </c>
      <c r="AA37" s="22" t="n">
        <f aca="false">IFERROR(Y37/X37,"")</f>
        <v>0.176470588235294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15</v>
      </c>
      <c r="Z38" s="16" t="n">
        <f aca="false">IF(X38=0,"",X38-Y38)</f>
        <v>1</v>
      </c>
      <c r="AA38" s="22" t="n">
        <f aca="false">IFERROR(Y38/X38,"")</f>
        <v>0.9375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10</v>
      </c>
      <c r="Z39" s="16" t="n">
        <f aca="false">IF(X39=0,"",X39-Y39)</f>
        <v>6</v>
      </c>
      <c r="AA39" s="22" t="n">
        <f aca="false">IFERROR(Y39/X39,"")</f>
        <v>0.625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31</v>
      </c>
      <c r="Z40" s="16" t="n">
        <f aca="false">IF(X40=0,"",X40-Y40)</f>
        <v>-15</v>
      </c>
      <c r="AA40" s="22" t="n">
        <f aca="false">IFERROR(Y40/X40,"")</f>
        <v>1.9375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6</v>
      </c>
      <c r="Z41" s="16" t="n">
        <f aca="false">IF(X41=0,"",X41-Y41)</f>
        <v>10</v>
      </c>
      <c r="AA41" s="22" t="n">
        <f aca="false">IFERROR(Y41/X41,"")</f>
        <v>0.375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6</v>
      </c>
      <c r="Z42" s="16" t="n">
        <f aca="false">IF(X42=0,"",X42-Y42)</f>
        <v>9</v>
      </c>
      <c r="AA42" s="22" t="n">
        <f aca="false">IFERROR(Y42/X42,"")</f>
        <v>0.4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8</v>
      </c>
      <c r="Z43" s="16" t="n">
        <f aca="false">IF(X43=0,"",X43-Y43)</f>
        <v>7</v>
      </c>
      <c r="AA43" s="22" t="n">
        <f aca="false">IFERROR(Y43/X43,"")</f>
        <v>0.533333333333333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3</v>
      </c>
      <c r="Z44" s="16" t="n">
        <f aca="false">IF(X44=0,"",X44-Y44)</f>
        <v>10</v>
      </c>
      <c r="AA44" s="22" t="n">
        <f aca="false">IFERROR(Y44/X44,"")</f>
        <v>0.230769230769231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8</v>
      </c>
      <c r="Z46" s="16" t="n">
        <f aca="false">IF(X46=0,"",X46-Y46)</f>
        <v>5</v>
      </c>
      <c r="AA46" s="22" t="n">
        <f aca="false">IFERROR(Y46/X46,"")</f>
        <v>0.615384615384615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10</v>
      </c>
      <c r="Z48" s="16" t="n">
        <f aca="false">IF(X48=0,"",X48-Y48)</f>
        <v>2</v>
      </c>
      <c r="AA48" s="22" t="n">
        <f aca="false">IFERROR(Y48/X48,"")</f>
        <v>0.833333333333333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58</v>
      </c>
      <c r="Z49" s="16" t="n">
        <f aca="false">IF(X49=0,"",X49-Y49)</f>
        <v>-46</v>
      </c>
      <c r="AA49" s="22" t="n">
        <f aca="false">IFERROR(Y49/X49,"")</f>
        <v>4.83333333333333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4</v>
      </c>
      <c r="Z50" s="16" t="n">
        <f aca="false">IF(X50=0,"",X50-Y50)</f>
        <v>7</v>
      </c>
      <c r="AA50" s="22" t="n">
        <f aca="false">IFERROR(Y50/X50,"")</f>
        <v>0.363636363636364</v>
      </c>
      <c r="AB50" s="16" t="n">
        <v>0</v>
      </c>
      <c r="AC50" s="21"/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1</v>
      </c>
      <c r="Z53" s="16" t="n">
        <f aca="false">IF(X53=0,"",X53-Y53)</f>
        <v>9</v>
      </c>
      <c r="AA53" s="22" t="n">
        <f aca="false">IFERROR(Y53/X53,"")</f>
        <v>0.1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3</v>
      </c>
      <c r="Z54" s="16" t="n">
        <f aca="false">IF(X54=0,"",X54-Y54)</f>
        <v>7</v>
      </c>
      <c r="AA54" s="22" t="n">
        <f aca="false">IFERROR(Y54/X54,"")</f>
        <v>0.3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3</v>
      </c>
      <c r="Z55" s="16" t="n">
        <f aca="false">IF(X55=0,"",X55-Y55)</f>
        <v>7</v>
      </c>
      <c r="AA55" s="22" t="n">
        <f aca="false">IFERROR(Y55/X55,"")</f>
        <v>0.3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11</v>
      </c>
      <c r="Z57" s="16" t="n">
        <f aca="false">IF(X57=0,"",X57-Y57)</f>
        <v>-2</v>
      </c>
      <c r="AA57" s="22" t="n">
        <f aca="false">IFERROR(Y57/X57,"")</f>
        <v>1.22222222222222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5</v>
      </c>
      <c r="Z58" s="16" t="n">
        <f aca="false">IF(X58=0,"",X58-Y58)</f>
        <v>4</v>
      </c>
      <c r="AA58" s="22" t="n">
        <f aca="false">IFERROR(Y58/X58,"")</f>
        <v>0.555555555555556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4</v>
      </c>
      <c r="Z60" s="16" t="n">
        <f aca="false">IF(X60=0,"",X60-Y60)</f>
        <v>4</v>
      </c>
      <c r="AA60" s="22" t="n">
        <f aca="false">IFERROR(Y60/X60,"")</f>
        <v>0.5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3</v>
      </c>
      <c r="Z63" s="16" t="n">
        <f aca="false">IF(X63=0,"",X63-Y63)</f>
        <v>5</v>
      </c>
      <c r="AA63" s="22" t="n">
        <f aca="false">IFERROR(Y63/X63,"")</f>
        <v>0.375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1</v>
      </c>
      <c r="Z68" s="16" t="n">
        <f aca="false">IF(X68=0,"",X68-Y68)</f>
        <v>6</v>
      </c>
      <c r="AA68" s="22" t="n">
        <f aca="false">IFERROR(Y68/X68,"")</f>
        <v>0.142857142857143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1</v>
      </c>
      <c r="Z69" s="16" t="n">
        <f aca="false">IF(X69=0,"",X69-Y69)</f>
        <v>6</v>
      </c>
      <c r="AA69" s="22" t="n">
        <f aca="false">IFERROR(Y69/X69,"")</f>
        <v>0.142857142857143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4</v>
      </c>
      <c r="Z71" s="16" t="n">
        <f aca="false">IF(X71=0,"",X71-Y71)</f>
        <v>3</v>
      </c>
      <c r="AA71" s="22" t="n">
        <f aca="false">IFERROR(Y71/X71,"")</f>
        <v>0.571428571428571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11</v>
      </c>
      <c r="Z73" s="16" t="n">
        <f aca="false">IF(X73=0,"",X73-Y73)</f>
        <v>-4</v>
      </c>
      <c r="AA73" s="22" t="n">
        <f aca="false">IFERROR(Y73/X73,"")</f>
        <v>1.57142857142857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/>
      <c r="Z74" s="16" t="n">
        <f aca="false">IF(X74=0,"",X74-Y74)</f>
        <v>7</v>
      </c>
      <c r="AA74" s="22" t="n">
        <f aca="false">IFERROR(Y74/X74,"")</f>
        <v>0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1</v>
      </c>
      <c r="Z76" s="16" t="n">
        <f aca="false">IF(X76=0,"",X76-Y76)</f>
        <v>6</v>
      </c>
      <c r="AA76" s="22" t="n">
        <f aca="false">IFERROR(Y76/X76,"")</f>
        <v>0.142857142857143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6</v>
      </c>
      <c r="Z78" s="16" t="n">
        <f aca="false">IF(X78=0,"",X78-Y78)</f>
        <v>1</v>
      </c>
      <c r="AA78" s="22" t="n">
        <f aca="false">IFERROR(Y78/X78,"")</f>
        <v>0.857142857142857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2</v>
      </c>
      <c r="Z79" s="16" t="n">
        <f aca="false">IF(X79=0,"",X79-Y79)</f>
        <v>5</v>
      </c>
      <c r="AA79" s="22" t="n">
        <f aca="false">IFERROR(Y79/X79,"")</f>
        <v>0.285714285714286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1</v>
      </c>
      <c r="Z80" s="16" t="n">
        <f aca="false">IF(X80=0,"",X80-Y80)</f>
        <v>6</v>
      </c>
      <c r="AA80" s="22" t="n">
        <f aca="false">IFERROR(Y80/X80,"")</f>
        <v>0.142857142857143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5</v>
      </c>
      <c r="Z83" s="16" t="n">
        <f aca="false">IF(X83=0,"",X83-Y83)</f>
        <v>2</v>
      </c>
      <c r="AA83" s="22" t="n">
        <f aca="false">IFERROR(Y83/X83,"")</f>
        <v>0.714285714285714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4</v>
      </c>
      <c r="Z85" s="16" t="n">
        <f aca="false">IF(X85=0,"",X85-Y85)</f>
        <v>2</v>
      </c>
      <c r="AA85" s="22" t="n">
        <f aca="false">IFERROR(Y85/X85,"")</f>
        <v>0.666666666666667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5</v>
      </c>
      <c r="Z86" s="16" t="n">
        <f aca="false">IF(X86=0,"",X86-Y86)</f>
        <v>1</v>
      </c>
      <c r="AA86" s="22" t="n">
        <f aca="false">IFERROR(Y86/X86,"")</f>
        <v>0.833333333333333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5</v>
      </c>
      <c r="Z87" s="16" t="n">
        <f aca="false">IF(X87=0,"",X87-Y87)</f>
        <v>1</v>
      </c>
      <c r="AA87" s="22" t="n">
        <f aca="false">IFERROR(Y87/X87,"")</f>
        <v>0.833333333333333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4</v>
      </c>
      <c r="Z88" s="16" t="n">
        <f aca="false">IF(X88=0,"",X88-Y88)</f>
        <v>2</v>
      </c>
      <c r="AA88" s="22" t="n">
        <f aca="false">IFERROR(Y88/X88,"")</f>
        <v>0.666666666666667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1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5</v>
      </c>
      <c r="Z91" s="16" t="n">
        <f aca="false">IF(X91=0,"",X91-Y91)</f>
        <v>1</v>
      </c>
      <c r="AA91" s="22" t="n">
        <f aca="false">IFERROR(Y91/X91,"")</f>
        <v>0.833333333333333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6</v>
      </c>
      <c r="Z93" s="16" t="n">
        <f aca="false">IF(X93=0,"",X93-Y93)</f>
        <v>0</v>
      </c>
      <c r="AA93" s="22" t="n">
        <f aca="false">IFERROR(Y93/X93,"")</f>
        <v>1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2</v>
      </c>
      <c r="Z95" s="16" t="n">
        <f aca="false">IF(X95=0,"",X95-Y95)</f>
        <v>4</v>
      </c>
      <c r="AA95" s="22" t="n">
        <f aca="false">IFERROR(Y95/X95,"")</f>
        <v>0.333333333333333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1</v>
      </c>
      <c r="Z98" s="16" t="n">
        <f aca="false">IF(X98=0,"",X98-Y98)</f>
        <v>5</v>
      </c>
      <c r="AA98" s="22" t="n">
        <f aca="false">IFERROR(Y98/X98,"")</f>
        <v>0.166666666666667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4</v>
      </c>
      <c r="Z99" s="16" t="n">
        <f aca="false">IF(X99=0,"",X99-Y99)</f>
        <v>2</v>
      </c>
      <c r="AA99" s="22" t="n">
        <f aca="false">IFERROR(Y99/X99,"")</f>
        <v>0.666666666666667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8</v>
      </c>
      <c r="Z100" s="16" t="n">
        <f aca="false">IF(X100=0,"",X100-Y100)</f>
        <v>-2</v>
      </c>
      <c r="AA100" s="22" t="n">
        <f aca="false">IFERROR(Y100/X100,"")</f>
        <v>1.33333333333333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3</v>
      </c>
      <c r="Z104" s="16" t="n">
        <f aca="false">IF(X104=0,"",X104-Y104)</f>
        <v>2</v>
      </c>
      <c r="AA104" s="22" t="n">
        <f aca="false">IFERROR(Y104/X104,"")</f>
        <v>0.6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3</v>
      </c>
      <c r="Z106" s="16" t="n">
        <f aca="false">IF(X106=0,"",X106-Y106)</f>
        <v>2</v>
      </c>
      <c r="AA106" s="22" t="n">
        <f aca="false">IFERROR(Y106/X106,"")</f>
        <v>0.6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2</v>
      </c>
      <c r="Z107" s="16" t="n">
        <f aca="false">IF(X107=0,"",X107-Y107)</f>
        <v>3</v>
      </c>
      <c r="AA107" s="22" t="n">
        <f aca="false">IFERROR(Y107/X107,"")</f>
        <v>0.4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/>
      <c r="Z111" s="16" t="n">
        <f aca="false">IF(X111=0,"",X111-Y111)</f>
        <v>5</v>
      </c>
      <c r="AA111" s="22" t="n">
        <f aca="false">IFERROR(Y111/X111,"")</f>
        <v>0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3</v>
      </c>
      <c r="Z112" s="16" t="n">
        <f aca="false">IF(X112=0,"",X112-Y112)</f>
        <v>2</v>
      </c>
      <c r="AA112" s="22" t="n">
        <f aca="false">IFERROR(Y112/X112,"")</f>
        <v>0.6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1</v>
      </c>
      <c r="Z116" s="16" t="n">
        <f aca="false">IF(X116=0,"",X116-Y116)</f>
        <v>4</v>
      </c>
      <c r="AA116" s="22" t="n">
        <f aca="false">IFERROR(Y116/X116,"")</f>
        <v>0.2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/>
      <c r="Z118" s="16" t="n">
        <f aca="false">IF(X118=0,"",X118-Y118)</f>
        <v>5</v>
      </c>
      <c r="AA118" s="22" t="n">
        <f aca="false">IFERROR(Y118/X118,"")</f>
        <v>0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3</v>
      </c>
      <c r="Z123" s="16" t="n">
        <f aca="false">IF(X123=0,"",X123-Y123)</f>
        <v>2</v>
      </c>
      <c r="AA123" s="22" t="n">
        <f aca="false">IFERROR(Y123/X123,"")</f>
        <v>0.6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7</v>
      </c>
      <c r="Z126" s="16" t="n">
        <f aca="false">IF(X126=0,"",X126-Y126)</f>
        <v>-2</v>
      </c>
      <c r="AA126" s="22" t="n">
        <f aca="false">IFERROR(Y126/X126,"")</f>
        <v>1.4</v>
      </c>
      <c r="AB126" s="16" t="n">
        <v>16</v>
      </c>
      <c r="AC126" s="21" t="n">
        <v>2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4</v>
      </c>
      <c r="Z127" s="16" t="n">
        <f aca="false">IF(X127=0,"",X127-Y127)</f>
        <v>1</v>
      </c>
      <c r="AA127" s="22" t="n">
        <f aca="false">IFERROR(Y127/X127,"")</f>
        <v>0.8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1</v>
      </c>
      <c r="Z128" s="16" t="n">
        <f aca="false">IF(X128=0,"",X128-Y128)</f>
        <v>3</v>
      </c>
      <c r="AA128" s="22" t="n">
        <f aca="false">IFERROR(Y128/X128,"")</f>
        <v>0.25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2</v>
      </c>
      <c r="Z129" s="16" t="n">
        <f aca="false">IF(X129=0,"",X129-Y129)</f>
        <v>2</v>
      </c>
      <c r="AA129" s="22" t="n">
        <f aca="false">IFERROR(Y129/X129,"")</f>
        <v>0.5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/>
      <c r="Z130" s="16" t="n">
        <f aca="false">IF(X130=0,"",X130-Y130)</f>
        <v>4</v>
      </c>
      <c r="AA130" s="22" t="n">
        <f aca="false">IFERROR(Y130/X130,"")</f>
        <v>0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4</v>
      </c>
      <c r="Z131" s="16" t="n">
        <f aca="false">IF(X131=0,"",X131-Y131)</f>
        <v>0</v>
      </c>
      <c r="AA131" s="22" t="n">
        <f aca="false">IFERROR(Y131/X131,"")</f>
        <v>1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1</v>
      </c>
      <c r="Z136" s="16" t="n">
        <f aca="false">IF(X136=0,"",X136-Y136)</f>
        <v>3</v>
      </c>
      <c r="AA136" s="22" t="n">
        <f aca="false">IFERROR(Y136/X136,"")</f>
        <v>0.25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2</v>
      </c>
      <c r="Z139" s="16" t="n">
        <f aca="false">IF(X139=0,"",X139-Y139)</f>
        <v>2</v>
      </c>
      <c r="AA139" s="22" t="n">
        <f aca="false">IFERROR(Y139/X139,"")</f>
        <v>0.5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15</v>
      </c>
      <c r="Z140" s="16" t="n">
        <f aca="false">IF(X140=0,"",X140-Y140)</f>
        <v>-11</v>
      </c>
      <c r="AA140" s="22" t="n">
        <f aca="false">IFERROR(Y140/X140,"")</f>
        <v>3.75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8</v>
      </c>
      <c r="Z146" s="16" t="n">
        <f aca="false">IF(X146=0,"",X146-Y146)</f>
        <v>-4</v>
      </c>
      <c r="AA146" s="22" t="n">
        <f aca="false">IFERROR(Y146/X146,"")</f>
        <v>2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13</v>
      </c>
      <c r="Z156" s="16" t="n">
        <f aca="false">IF(X156=0,"",X156-Y156)</f>
        <v>-9</v>
      </c>
      <c r="AA156" s="22" t="n">
        <f aca="false">IFERROR(Y156/X156,"")</f>
        <v>3.25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1</v>
      </c>
      <c r="Z157" s="16" t="n">
        <f aca="false">IF(X157=0,"",X157-Y157)</f>
        <v>3</v>
      </c>
      <c r="AA157" s="22" t="n">
        <f aca="false">IFERROR(Y157/X157,"")</f>
        <v>0.25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2</v>
      </c>
      <c r="Z161" s="16" t="n">
        <f aca="false">IF(X161=0,"",X161-Y161)</f>
        <v>1</v>
      </c>
      <c r="AA161" s="22" t="n">
        <f aca="false">IFERROR(Y161/X161,"")</f>
        <v>0.666666666666667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3</v>
      </c>
      <c r="Z162" s="16" t="n">
        <f aca="false">IF(X162=0,"",X162-Y162)</f>
        <v>0</v>
      </c>
      <c r="AA162" s="22" t="n">
        <f aca="false">IFERROR(Y162/X162,"")</f>
        <v>1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/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2</v>
      </c>
      <c r="Z166" s="16" t="n">
        <f aca="false">IF(X166=0,"",X166-Y166)</f>
        <v>1</v>
      </c>
      <c r="AA166" s="22" t="n">
        <f aca="false">IFERROR(Y166/X166,"")</f>
        <v>0.666666666666667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/>
      <c r="Z167" s="16" t="n">
        <f aca="false">IF(X167=0,"",X167-Y167)</f>
        <v>3</v>
      </c>
      <c r="AA167" s="22" t="n">
        <f aca="false">IFERROR(Y167/X167,"")</f>
        <v>0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/>
      <c r="Z169" s="16" t="n">
        <f aca="false">IF(X169=0,"",X169-Y169)</f>
        <v>3</v>
      </c>
      <c r="AA169" s="22" t="n">
        <f aca="false">IFERROR(Y169/X169,"")</f>
        <v>0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2</v>
      </c>
      <c r="Z170" s="16" t="n">
        <f aca="false">IF(X170=0,"",X170-Y170)</f>
        <v>1</v>
      </c>
      <c r="AA170" s="22" t="n">
        <f aca="false">IFERROR(Y170/X170,"")</f>
        <v>0.666666666666667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/>
      <c r="Z177" s="16" t="n">
        <f aca="false">IF(X177=0,"",X177-Y177)</f>
        <v>3</v>
      </c>
      <c r="AA177" s="22" t="n">
        <f aca="false">IFERROR(Y177/X177,"")</f>
        <v>0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/>
      <c r="Z178" s="16" t="n">
        <f aca="false">IF(X178=0,"",X178-Y178)</f>
        <v>3</v>
      </c>
      <c r="AA178" s="22" t="n">
        <f aca="false">IFERROR(Y178/X178,"")</f>
        <v>0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3</v>
      </c>
      <c r="Z179" s="16" t="n">
        <f aca="false">IF(X179=0,"",X179-Y179)</f>
        <v>0</v>
      </c>
      <c r="AA179" s="22" t="n">
        <f aca="false">IFERROR(Y179/X179,"")</f>
        <v>1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/>
      <c r="Z180" s="16" t="n">
        <f aca="false">IF(X180=0,"",X180-Y180)</f>
        <v>3</v>
      </c>
      <c r="AA180" s="22" t="n">
        <f aca="false">IFERROR(Y180/X180,"")</f>
        <v>0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1</v>
      </c>
      <c r="Z193" s="16" t="n">
        <f aca="false">IF(X193=0,"",X193-Y193)</f>
        <v>1</v>
      </c>
      <c r="AA193" s="22" t="n">
        <f aca="false">IFERROR(Y193/X193,"")</f>
        <v>0.5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/>
      <c r="Z199" s="16" t="n">
        <f aca="false">IF(X199=0,"",X199-Y199)</f>
        <v>2</v>
      </c>
      <c r="AA199" s="22" t="n">
        <f aca="false">IFERROR(Y199/X199,"")</f>
        <v>0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1</v>
      </c>
      <c r="Z204" s="16" t="n">
        <f aca="false">IF(X204=0,"",X204-Y204)</f>
        <v>1</v>
      </c>
      <c r="AA204" s="22" t="n">
        <f aca="false">IFERROR(Y204/X204,"")</f>
        <v>0.5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1</v>
      </c>
      <c r="Z205" s="16" t="n">
        <f aca="false">IF(X205=0,"",X205-Y205)</f>
        <v>1</v>
      </c>
      <c r="AA205" s="22" t="n">
        <f aca="false">IFERROR(Y205/X205,"")</f>
        <v>0.5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3</v>
      </c>
      <c r="Z216" s="16" t="n">
        <f aca="false">IF(X216=0,"",X216-Y216)</f>
        <v>-1</v>
      </c>
      <c r="AA216" s="22" t="n">
        <f aca="false">IFERROR(Y216/X216,"")</f>
        <v>1.5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2</v>
      </c>
      <c r="Z224" s="16" t="n">
        <f aca="false">IF(X224=0,"",X224-Y224)</f>
        <v>0</v>
      </c>
      <c r="AA224" s="22" t="n">
        <f aca="false">IFERROR(Y224/X224,"")</f>
        <v>1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2</v>
      </c>
      <c r="Z225" s="16" t="n">
        <f aca="false">IF(X225=0,"",X225-Y225)</f>
        <v>0</v>
      </c>
      <c r="AA225" s="22" t="n">
        <f aca="false">IFERROR(Y225/X225,"")</f>
        <v>1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/>
      <c r="Z226" s="16" t="n">
        <f aca="false">IF(X226=0,"",X226-Y226)</f>
        <v>2</v>
      </c>
      <c r="AA226" s="22" t="n">
        <f aca="false">IFERROR(Y226/X226,"")</f>
        <v>0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2</v>
      </c>
      <c r="Z234" s="16" t="n">
        <f aca="false">IF(X234=0,"",X234-Y234)</f>
        <v>0</v>
      </c>
      <c r="AA234" s="22" t="n">
        <f aca="false">IFERROR(Y234/X234,"")</f>
        <v>1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1</v>
      </c>
      <c r="Z236" s="16" t="n">
        <f aca="false">IF(X236=0,"",X236-Y236)</f>
        <v>1</v>
      </c>
      <c r="AA236" s="22" t="n">
        <f aca="false">IFERROR(Y236/X236,"")</f>
        <v>0.5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2</v>
      </c>
      <c r="Z239" s="16" t="n">
        <f aca="false">IF(X239=0,"",X239-Y239)</f>
        <v>0</v>
      </c>
      <c r="AA239" s="22" t="n">
        <f aca="false">IFERROR(Y239/X239,"")</f>
        <v>1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4</v>
      </c>
      <c r="Z244" s="16" t="n">
        <f aca="false">IF(X244=0,"",X244-Y244)</f>
        <v>-2</v>
      </c>
      <c r="AA244" s="22" t="n">
        <f aca="false">IFERROR(Y244/X244,"")</f>
        <v>2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2</v>
      </c>
      <c r="Z246" s="16" t="n">
        <f aca="false">IF(X246=0,"",X246-Y246)</f>
        <v>0</v>
      </c>
      <c r="AA246" s="22" t="n">
        <f aca="false">IFERROR(Y246/X246,"")</f>
        <v>1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3</v>
      </c>
      <c r="Z249" s="16" t="n">
        <f aca="false">IF(X249=0,"",X249-Y249)</f>
        <v>-1</v>
      </c>
      <c r="AA249" s="22" t="n">
        <f aca="false">IFERROR(Y249/X249,"")</f>
        <v>1.5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/>
      <c r="Z257" s="16" t="n">
        <f aca="false">IF(X257=0,"",X257-Y257)</f>
        <v>2</v>
      </c>
      <c r="AA257" s="22" t="n">
        <f aca="false">IFERROR(Y257/X257,"")</f>
        <v>0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/>
      <c r="Z271" s="16" t="n">
        <f aca="false">IF(X271=0,"",X271-Y271)</f>
        <v>2</v>
      </c>
      <c r="AA271" s="22" t="n">
        <f aca="false">IFERROR(Y271/X271,"")</f>
        <v>0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/>
      <c r="Z274" s="16" t="n">
        <f aca="false">IF(X274=0,"",X274-Y274)</f>
        <v>2</v>
      </c>
      <c r="AA274" s="22" t="n">
        <f aca="false">IFERROR(Y274/X274,"")</f>
        <v>0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/>
      <c r="Z282" s="16" t="n">
        <f aca="false">IF(X282=0,"",X282-Y282)</f>
        <v>2</v>
      </c>
      <c r="AA282" s="22" t="n">
        <f aca="false">IFERROR(Y282/X282,"")</f>
        <v>0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1</v>
      </c>
      <c r="Z288" s="16" t="n">
        <f aca="false">IF(X288=0,"",X288-Y288)</f>
        <v>1</v>
      </c>
      <c r="AA288" s="22" t="n">
        <f aca="false">IFERROR(Y288/X288,"")</f>
        <v>0.5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/>
      <c r="Z296" s="16" t="n">
        <f aca="false">IF(X296=0,"",X296-Y296)</f>
        <v>1</v>
      </c>
      <c r="AA296" s="22" t="n">
        <f aca="false">IFERROR(Y296/X296,"")</f>
        <v>0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/>
      <c r="Z301" s="16" t="n">
        <f aca="false">IF(X301=0,"",X301-Y301)</f>
        <v>1</v>
      </c>
      <c r="AA301" s="22" t="n">
        <f aca="false">IFERROR(Y301/X301,"")</f>
        <v>0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15</v>
      </c>
      <c r="Z308" s="16" t="n">
        <f aca="false">IF(X308=0,"",X308-Y308)</f>
        <v>-14</v>
      </c>
      <c r="AA308" s="22" t="n">
        <f aca="false">IFERROR(Y308/X308,"")</f>
        <v>15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/>
      <c r="Z309" s="16" t="n">
        <f aca="false">IF(X309=0,"",X309-Y309)</f>
        <v>1</v>
      </c>
      <c r="AA309" s="22" t="n">
        <f aca="false">IFERROR(Y309/X309,"")</f>
        <v>0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/>
      <c r="Z324" s="16" t="n">
        <f aca="false">IF(X324=0,"",X324-Y324)</f>
        <v>1</v>
      </c>
      <c r="AA324" s="22" t="n">
        <f aca="false">IFERROR(Y324/X324,"")</f>
        <v>0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/>
      <c r="Z325" s="16" t="n">
        <f aca="false">IF(X325=0,"",X325-Y325)</f>
        <v>1</v>
      </c>
      <c r="AA325" s="22" t="n">
        <f aca="false">IFERROR(Y325/X325,"")</f>
        <v>0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1</v>
      </c>
      <c r="Z355" s="16" t="n">
        <f aca="false">IF(X355=0,"",X355-Y355)</f>
        <v>0</v>
      </c>
      <c r="AA355" s="22" t="n">
        <f aca="false">IFERROR(Y355/X355,"")</f>
        <v>1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1</v>
      </c>
      <c r="Z362" s="16" t="n">
        <f aca="false">IF(X362=0,"",X362-Y362)</f>
        <v>0</v>
      </c>
      <c r="AA362" s="22" t="n">
        <f aca="false">IFERROR(Y362/X362,"")</f>
        <v>1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1</v>
      </c>
      <c r="Z372" s="16" t="n">
        <f aca="false">IF(X372=0,"",X372-Y372)</f>
        <v>0</v>
      </c>
      <c r="AA372" s="22" t="n">
        <f aca="false">IFERROR(Y372/X372,"")</f>
        <v>1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/>
      <c r="Z378" s="16" t="n">
        <f aca="false">IF(X378=0,"",X378-Y378)</f>
        <v>1</v>
      </c>
      <c r="AA378" s="22" t="n">
        <f aca="false">IFERROR(Y378/X378,"")</f>
        <v>0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/>
      <c r="Z387" s="16" t="n">
        <f aca="false">IF(X387=0,"",X387-Y387)</f>
        <v>1</v>
      </c>
      <c r="AA387" s="22" t="n">
        <f aca="false">IFERROR(Y387/X387,"")</f>
        <v>0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/>
      <c r="Z400" s="16" t="n">
        <f aca="false">IF(X400=0,"",X400-Y400)</f>
        <v>1</v>
      </c>
      <c r="AA400" s="22" t="n">
        <f aca="false">IFERROR(Y400/X400,"")</f>
        <v>0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/>
      <c r="Z426" s="16" t="n">
        <f aca="false">IF(X426=0,"",X426-Y426)</f>
        <v>1</v>
      </c>
      <c r="AA426" s="22" t="n">
        <f aca="false">IFERROR(Y426/X426,"")</f>
        <v>0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/>
      <c r="Z428" s="16" t="n">
        <f aca="false">IF(X428=0,"",X428-Y428)</f>
        <v>1</v>
      </c>
      <c r="AA428" s="22" t="n">
        <f aca="false">IFERROR(Y428/X428,"")</f>
        <v>0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1</v>
      </c>
      <c r="Z431" s="16" t="n">
        <f aca="false">IF(X431=0,"",X431-Y431)</f>
        <v>0</v>
      </c>
      <c r="AA431" s="22" t="n">
        <f aca="false">IFERROR(Y431/X431,"")</f>
        <v>1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2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7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/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/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32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/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/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/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/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/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1592</v>
      </c>
      <c r="Z1000" s="24" t="n">
        <f aca="false">X1000-Y1000</f>
        <v>1168</v>
      </c>
      <c r="AA1000" s="26" t="n">
        <f aca="false">IFERROR(Y1000/X1000,"")</f>
        <v>0.576811594202899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433</v>
      </c>
      <c r="Z1001" s="28" t="n">
        <f aca="false">X1001-Y1001</f>
        <v>295</v>
      </c>
      <c r="AA1001" s="30" t="n">
        <f aca="false">IFERROR(Y1001/X1001,"")</f>
        <v>0.59478021978022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2025</v>
      </c>
      <c r="Z1002" s="32" t="n">
        <f aca="false">X1002-Y1002</f>
        <v>1463</v>
      </c>
      <c r="AA1002" s="34" t="n">
        <f aca="false">IFERROR(Y1002/X1002,"")</f>
        <v>0.580561926605505</v>
      </c>
      <c r="AB1002" s="32" t="n">
        <f aca="false">SUM($AB$5:$AB$999)</f>
        <v>184</v>
      </c>
      <c r="AC1002" s="32" t="n">
        <f aca="false">SUM($AC$5:$AC$999)</f>
        <v>166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2055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1041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0.506569343065694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1245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0.622727272727273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19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12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108.157894736842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3353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1245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103.75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ON PACE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1041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5205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1699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8495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11893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3398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2082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/>
      <c r="C64" s="21"/>
      <c r="D64" s="21"/>
      <c r="E64" s="21"/>
      <c r="F64" s="20" t="str">
        <f aca="false">IF(COUNT(B64:E64)=0,"",SUM(B64:E64))</f>
        <v/>
      </c>
      <c r="G64" s="16" t="str">
        <f aca="false">IF(COUNT(B64:D64)=0,"",SUM(B64:D64))</f>
        <v/>
      </c>
      <c r="H64" s="20" t="n">
        <f aca="false">IF(COUNT($B$45:$E64)=0,"",SUM($F$45:F64))</f>
        <v>2055</v>
      </c>
      <c r="I64" s="16" t="n">
        <f aca="false">IF(COUNT($B$45:$D64)=0,"",SUM($G$45:G64))</f>
        <v>1041</v>
      </c>
      <c r="J64" s="51" t="n">
        <f aca="false">IFERROR(H64/$D$5,"")</f>
        <v>0.622727272727273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/>
      <c r="C65" s="21"/>
      <c r="D65" s="21"/>
      <c r="E65" s="21"/>
      <c r="F65" s="20" t="str">
        <f aca="false">IF(COUNT(B65:E65)=0,"",SUM(B65:E65))</f>
        <v/>
      </c>
      <c r="G65" s="16" t="str">
        <f aca="false">IF(COUNT(B65:D65)=0,"",SUM(B65:D65))</f>
        <v/>
      </c>
      <c r="H65" s="20" t="n">
        <f aca="false">IF(COUNT($B$45:$E65)=0,"",SUM($F$45:F65))</f>
        <v>2055</v>
      </c>
      <c r="I65" s="16" t="n">
        <f aca="false">IF(COUNT($B$45:$D65)=0,"",SUM($G$45:G65))</f>
        <v>1041</v>
      </c>
      <c r="J65" s="51" t="n">
        <f aca="false">IFERROR(H65/$D$5,"")</f>
        <v>0.622727272727273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/>
      <c r="C66" s="21"/>
      <c r="D66" s="21"/>
      <c r="E66" s="21"/>
      <c r="F66" s="20" t="str">
        <f aca="false">IF(COUNT(B66:E66)=0,"",SUM(B66:E66))</f>
        <v/>
      </c>
      <c r="G66" s="16" t="str">
        <f aca="false">IF(COUNT(B66:D66)=0,"",SUM(B66:D66))</f>
        <v/>
      </c>
      <c r="H66" s="20" t="n">
        <f aca="false">IF(COUNT($B$45:$E66)=0,"",SUM($F$45:F66))</f>
        <v>2055</v>
      </c>
      <c r="I66" s="16" t="n">
        <f aca="false">IF(COUNT($B$45:$D66)=0,"",SUM($G$45:G66))</f>
        <v>1041</v>
      </c>
      <c r="J66" s="51" t="n">
        <f aca="false">IFERROR(H66/$D$5,"")</f>
        <v>0.622727272727273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/>
      <c r="C67" s="21"/>
      <c r="D67" s="21"/>
      <c r="E67" s="21"/>
      <c r="F67" s="20" t="str">
        <f aca="false">IF(COUNT(B67:E67)=0,"",SUM(B67:E67))</f>
        <v/>
      </c>
      <c r="G67" s="16" t="str">
        <f aca="false">IF(COUNT(B67:D67)=0,"",SUM(B67:D67))</f>
        <v/>
      </c>
      <c r="H67" s="20" t="n">
        <f aca="false">IF(COUNT($B$45:$E67)=0,"",SUM($F$45:F67))</f>
        <v>2055</v>
      </c>
      <c r="I67" s="16" t="n">
        <f aca="false">IF(COUNT($B$45:$D67)=0,"",SUM($G$45:G67))</f>
        <v>1041</v>
      </c>
      <c r="J67" s="51" t="n">
        <f aca="false">IFERROR(H67/$D$5,"")</f>
        <v>0.622727272727273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/>
      <c r="C68" s="21"/>
      <c r="D68" s="21"/>
      <c r="E68" s="21"/>
      <c r="F68" s="20" t="str">
        <f aca="false">IF(COUNT(B68:E68)=0,"",SUM(B68:E68))</f>
        <v/>
      </c>
      <c r="G68" s="16" t="str">
        <f aca="false">IF(COUNT(B68:D68)=0,"",SUM(B68:D68))</f>
        <v/>
      </c>
      <c r="H68" s="20" t="n">
        <f aca="false">IF(COUNT($B$45:$E68)=0,"",SUM($F$45:F68))</f>
        <v>2055</v>
      </c>
      <c r="I68" s="16" t="n">
        <f aca="false">IF(COUNT($B$45:$D68)=0,"",SUM($G$45:G68))</f>
        <v>1041</v>
      </c>
      <c r="J68" s="51" t="n">
        <f aca="false">IFERROR(H68/$D$5,"")</f>
        <v>0.622727272727273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/>
      <c r="C69" s="21"/>
      <c r="D69" s="21"/>
      <c r="E69" s="21"/>
      <c r="F69" s="20" t="str">
        <f aca="false">IF(COUNT(B69:E69)=0,"",SUM(B69:E69))</f>
        <v/>
      </c>
      <c r="G69" s="16" t="str">
        <f aca="false">IF(COUNT(B69:D69)=0,"",SUM(B69:D69))</f>
        <v/>
      </c>
      <c r="H69" s="20" t="n">
        <f aca="false">IF(COUNT($B$45:$E69)=0,"",SUM($F$45:F69))</f>
        <v>2055</v>
      </c>
      <c r="I69" s="16" t="n">
        <f aca="false">IF(COUNT($B$45:$D69)=0,"",SUM($G$45:G69))</f>
        <v>1041</v>
      </c>
      <c r="J69" s="51" t="n">
        <f aca="false">IFERROR(H69/$D$5,"")</f>
        <v>0.622727272727273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/>
      <c r="C70" s="21"/>
      <c r="D70" s="21"/>
      <c r="E70" s="21"/>
      <c r="F70" s="20" t="str">
        <f aca="false">IF(COUNT(B70:E70)=0,"",SUM(B70:E70))</f>
        <v/>
      </c>
      <c r="G70" s="16" t="str">
        <f aca="false">IF(COUNT(B70:D70)=0,"",SUM(B70:D70))</f>
        <v/>
      </c>
      <c r="H70" s="20" t="n">
        <f aca="false">IF(COUNT($B$45:$E70)=0,"",SUM($F$45:F70))</f>
        <v>2055</v>
      </c>
      <c r="I70" s="16" t="n">
        <f aca="false">IF(COUNT($B$45:$D70)=0,"",SUM($G$45:G70))</f>
        <v>1041</v>
      </c>
      <c r="J70" s="51" t="n">
        <f aca="false">IFERROR(H70/$D$5,"")</f>
        <v>0.622727272727273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/>
      <c r="C71" s="21"/>
      <c r="D71" s="21"/>
      <c r="E71" s="21"/>
      <c r="F71" s="20" t="str">
        <f aca="false">IF(COUNT(B71:E71)=0,"",SUM(B71:E71))</f>
        <v/>
      </c>
      <c r="G71" s="16" t="str">
        <f aca="false">IF(COUNT(B71:D71)=0,"",SUM(B71:D71))</f>
        <v/>
      </c>
      <c r="H71" s="20" t="n">
        <f aca="false">IF(COUNT($B$45:$E71)=0,"",SUM($F$45:F71))</f>
        <v>2055</v>
      </c>
      <c r="I71" s="16" t="n">
        <f aca="false">IF(COUNT($B$45:$D71)=0,"",SUM($G$45:G71))</f>
        <v>1041</v>
      </c>
      <c r="J71" s="51" t="n">
        <f aca="false">IFERROR(H71/$D$5,"")</f>
        <v>0.622727272727273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2055</v>
      </c>
      <c r="I72" s="16" t="n">
        <f aca="false">IF(COUNT($B$45:$D72)=0,"",SUM($G$45:G72))</f>
        <v>1041</v>
      </c>
      <c r="J72" s="51" t="n">
        <f aca="false">IFERROR(H72/$D$5,"")</f>
        <v>0.622727272727273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2055</v>
      </c>
      <c r="I73" s="16" t="n">
        <f aca="false">IF(COUNT($B$45:$D73)=0,"",SUM($G$45:G73))</f>
        <v>1041</v>
      </c>
      <c r="J73" s="51" t="n">
        <f aca="false">IFERROR(H73/$D$5,"")</f>
        <v>0.622727272727273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2055</v>
      </c>
      <c r="I74" s="16" t="n">
        <f aca="false">IF(COUNT($B$45:$D74)=0,"",SUM($G$45:G74))</f>
        <v>1041</v>
      </c>
      <c r="J74" s="51" t="n">
        <f aca="false">IFERROR(H74/$D$5,"")</f>
        <v>0.622727272727273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2055</v>
      </c>
      <c r="I75" s="16" t="n">
        <f aca="false">IF(COUNT($B$45:$D75)=0,"",SUM($G$45:G75))</f>
        <v>1041</v>
      </c>
      <c r="J75" s="51" t="n">
        <f aca="false">IFERROR(H75/$D$5,"")</f>
        <v>0.622727272727273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400</v>
      </c>
      <c r="C76" s="54" t="n">
        <f aca="false">SUM(C45:C75)</f>
        <v>624</v>
      </c>
      <c r="D76" s="54" t="n">
        <f aca="false">SUM(D45:D75)</f>
        <v>17</v>
      </c>
      <c r="E76" s="54" t="n">
        <f aca="false">SUM(E45:E75)</f>
        <v>1014</v>
      </c>
      <c r="F76" s="54" t="n">
        <f aca="false">SUM(F45:F75)</f>
        <v>2055</v>
      </c>
      <c r="G76" s="54" t="n">
        <f aca="false">SUM(G45:G75)</f>
        <v>1041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2026-08-20T14:42:21Z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